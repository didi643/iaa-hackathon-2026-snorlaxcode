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6384" windowHeight="8192" firstSheet="0" activeTab="0"/>
  </bookViews>
  <sheets>
    <sheet name="README" sheetId="1" state="visible" r:id="rId1"/>
    <sheet name="Summary" sheetId="2" state="visible" r:id="rId2"/>
    <sheet name="Target_Assumptions" sheetId="3" state="visible" r:id="rId3"/>
    <sheet name="Features_Motor" sheetId="4" state="visible" r:id="rId4"/>
    <sheet name="Features_Buildings" sheetId="5" state="visible" r:id="rId5"/>
    <sheet name="Features_Contents" sheetId="6" state="visible" r:id="rId6"/>
    <sheet name="Model_Spec" sheetId="7" state="visible" r:id="rId7"/>
    <sheet name="Structural_Zeros" sheetId="8" state="visible" r:id="rId8"/>
    <sheet name="Settings" sheetId="9" state="visible" r:id="rId9"/>
    <sheet name="Column_Register" sheetId="10" state="visible" r:id="rId10"/>
    <sheet name="Method_Mix" sheetId="11" state="visible" r:id="rId11"/>
    <sheet name="Changes_vs_WENDY4" sheetId="12" state="visible" r:id="rId12"/>
    <sheet name="Final_Features" sheetId="13" state="visible" r:id="rId13"/>
    <sheet name="Feature_Matrix" sheetId="14" state="visible" r:id="rId14"/>
    <sheet name="IBNR_Chain_Ladder" sheetId="15" state="visible" r:id="rId15"/>
    <sheet name="CL_Triangle_Factors" sheetId="16" state="visible" r:id="rId16"/>
    <sheet name="Validation" sheetId="17" state="visible" r:id="rId17"/>
    <sheet name="Peril_Scores" sheetId="18" state="visible" r:id="rId18"/>
    <sheet name="SAM3_Blend" sheetId="19" state="visible" r:id="rId19"/>
    <sheet name="Forecast_2025" sheetId="20" state="visible" r:id="rId20"/>
    <sheet name="Feature_Counts" sheetId="21" state="visible" r:id="rId21"/>
    <sheet name="Week2_Edits" sheetId="22" state="visible" r:id="rId22"/>
  </sheets>
  <definedNames>
    <definedName function="false" hidden="true" localSheetId="9" name="_xlnm._FilterDatabase" vbProcedure="false">Column_Register!$A$1:$H$107</definedName>
    <definedName function="false" hidden="true" localSheetId="4" name="_xlnm._FilterDatabase" vbProcedure="false">Features_Buildings!$A$1:$Q$61</definedName>
    <definedName function="false" hidden="true" localSheetId="5" name="_xlnm._FilterDatabase" vbProcedure="false">Features_Contents!$A$1:$O$62</definedName>
    <definedName function="false" hidden="true" localSheetId="3" name="_xlnm._FilterDatabase" vbProcedure="false">Features_Motor!$A$1:$P$73</definedName>
  </definedNames>
  <calcPr iterateCount="100" refMode="A1" iterate="false" iterateDelta="0.0001"/>
</workbook>
</file>

<file path=xl/sharedStrings.xml><?xml version="1.0" encoding="utf-8"?>
<sst xmlns="http://schemas.openxmlformats.org/spreadsheetml/2006/main" count="948" uniqueCount="948">
  <si>
    <t xml:space="preserve">WENDY 4 - actuarial assumptions and feature map</t>
  </si>
  <si>
    <t xml:space="preserve">Purpose</t>
  </si>
  <si>
    <t xml:space="preserve">One place for every target, data and feature decision behind iteration WENDY 4. The R script R/4_models_iterwendy04.R READS this workbook: sheets Features_*, Model_Spec, Structural_Zeros and Settings drive the model. Edit them here, re-run the script, compare scores.</t>
  </si>
  <si>
    <t xml:space="preserve">Where to save</t>
  </si>
  <si>
    <t xml:space="preserve">docs/assumptions_wendy04.xlsx in the repo (or set env var ASSUMPTIONS_XLSX to another path).</t>
  </si>
  <si>
    <t xml:space="preserve">Editable cells</t>
  </si>
  <si>
    <t xml:space="preserve">Blue text on yellow fill = inputs the script reads. Everything else is documentation.</t>
  </si>
  <si>
    <t xml:space="preserve">Feature codes</t>
  </si>
  <si>
    <t xml:space="preserve">In Features_&lt;line&gt;, each peril column holds: F = frequency model only, S = severity model only, B = both, - = not used. A feature is used only if its 'use' cell is Y.</t>
  </si>
  <si>
    <t xml:space="preserve">decision column</t>
  </si>
  <si>
    <t xml:space="preserve">Include = actuarial rationale, kept. Test = plausible but unproven, kept only if validation supports it (set use = N to drop). Exclude = no mechanism, noise, leakage, circular or duplicate.</t>
  </si>
  <si>
    <t xml:space="preserve">mono_freq / mono_sev</t>
  </si>
  <si>
    <t xml:space="preserve">Monotone constraint for numeric/boolean features: 1 = can only increase, -1 = can only decrease, 0 = free. Ignored for text categories.</t>
  </si>
  <si>
    <t xml:space="preserve">Model per peril</t>
  </si>
  <si>
    <t xml:space="preserve">Model_Spec: frequency = Poisson GBM (exposure x reported share as volume); severity = Gamma GBM (data-rich perils) or Gamma GLM on few factors (sparse/heavy perils); Tweedie GBM challenger; 'auto' selection keeps the better one per peril on the two validation folds.</t>
  </si>
  <si>
    <t xml:space="preserve">Validation</t>
  </si>
  <si>
    <t xml:space="preserve">Two out-of-time folds: fit 2021-22 -&gt; score 2023, fit 2021-23 -&gt; score 2024. Actuals are DEVELOPED (divided by the row's reported share) so models that predict ultimate cost are not penalised - this fixes the WENDY 3 scoring bias.</t>
  </si>
  <si>
    <t xml:space="preserve">Example row</t>
  </si>
  <si>
    <t xml:space="preserve">Features_Motor row 'ncb_years': decision Include, use Y, mono_freq -1, codes F F F - - (frequency of own damage, third-party property, bodily injury).</t>
  </si>
  <si>
    <t xml:space="preserve">Changes vs WENDY 3</t>
  </si>
  <si>
    <t xml:space="preserve">1) Frequency x severity per peril instead of one Tweedie per peril; 2) IBNR as a frequency offset, not a target uplift; 3) severity trend to the prediction year; 4) outlier claim limit before capping; 5) per-peril feature lists (noise, marketing and circular columns removed); 6) structural zeros (cover not bought -&gt; 0); 7) prior-year claims history features known at renewal; 8) expected recoveries on open motor own-damage/theft; 9) developed-actual validation on 2 folds.</t>
  </si>
  <si>
    <t xml:space="preserve">Verification status</t>
  </si>
  <si>
    <t xml:space="preserve">Numbers quoted in Target_Assumptions come from the Oct 2026 profiling and the WENDY 3 model card. Treat them as approximate and re-check against the cleaning report after the next run.</t>
  </si>
  <si>
    <t xml:space="preserve">line</t>
  </si>
  <si>
    <t xml:space="preserve">peril</t>
  </si>
  <si>
    <t xml:space="preserve">freq features used</t>
  </si>
  <si>
    <t xml:space="preserve">sev features used</t>
  </si>
  <si>
    <t xml:space="preserve">sev_model</t>
  </si>
  <si>
    <t xml:space="preserve">cap_quantile</t>
  </si>
  <si>
    <t xml:space="preserve">rationale</t>
  </si>
  <si>
    <t xml:space="preserve">motor</t>
  </si>
  <si>
    <t xml:space="preserve">own_damage</t>
  </si>
  <si>
    <t xml:space="preserve">third_party_prop</t>
  </si>
  <si>
    <t xml:space="preserve">bodily_injury</t>
  </si>
  <si>
    <t xml:space="preserve">theft</t>
  </si>
  <si>
    <t xml:space="preserve">glass_hail</t>
  </si>
  <si>
    <t xml:space="preserve">buildings</t>
  </si>
  <si>
    <t xml:space="preserve">storm</t>
  </si>
  <si>
    <t xml:space="preserve">flood</t>
  </si>
  <si>
    <t xml:space="preserve">escape_of_water</t>
  </si>
  <si>
    <t xml:space="preserve">subsidence</t>
  </si>
  <si>
    <t xml:space="preserve">fire</t>
  </si>
  <si>
    <t xml:space="preserve">accidental_damage</t>
  </si>
  <si>
    <t xml:space="preserve">contents</t>
  </si>
  <si>
    <t xml:space="preserve">Counts update when you change 'use' or peril codes in the Features sheets.</t>
  </si>
  <si>
    <t xml:space="preserve">id</t>
  </si>
  <si>
    <t xml:space="preserve">topic</t>
  </si>
  <si>
    <t xml:space="preserve">question</t>
  </si>
  <si>
    <t xml:space="preserve">decision</t>
  </si>
  <si>
    <t xml:space="preserve">treatment in script</t>
  </si>
  <si>
    <t xml:space="preserve">evidence</t>
  </si>
  <si>
    <t xml:space="preserve">if done differently</t>
  </si>
  <si>
    <t xml:space="preserve">status</t>
  </si>
  <si>
    <t xml:space="preserve">Recoveries</t>
  </si>
  <si>
    <t xml:space="preserve">Should recoveries be taken out?</t>
  </si>
  <si>
    <t xml:space="preserve">YES - keep deducting. The target is defined net of recoveries.</t>
  </si>
  <si>
    <t xml:space="preserve">claim cost = incurred_to_date - recoveries (as 2_clean). Open motor own_damage/theft claims have no recoveries booked yet, so expected recoveries are deducted: incurred x (closed recoveries / closed incurred) for that peril (setting open_claim_recovery_adjust).</t>
  </si>
  <si>
    <t xml:space="preserve">Recoveries appear only on CLOSED motor own_damage (~28.6% of claims) and theft (~12.0%); closed recoveries ~27.7M vs closed paid ~656.9M.</t>
  </si>
  <si>
    <t xml:space="preserve">Ignoring recoveries overstates motor cost; ignoring the open-claim gap overstates the immature 2024 year.</t>
  </si>
  <si>
    <t xml:space="preserve">Decided</t>
  </si>
  <si>
    <t xml:space="preserve">Open claims</t>
  </si>
  <si>
    <t xml:space="preserve">Should claims that are not closed be taken out?</t>
  </si>
  <si>
    <t xml:space="preserve">NO - keep them at incurred (paid + case reserve).</t>
  </si>
  <si>
    <t xml:space="preserve">Open claims count in frequency and severity at incurred_to_date.</t>
  </si>
  <si>
    <t xml:space="preserve">Share open by loss year: 2021 0.9%, 2022 1.5%, 2023 3.2%, 2024 20.2%. Large/complex claims (bodily injury, subsidence) stay open longest.</t>
  </si>
  <si>
    <t xml:space="preserve">Dropping open claims removes ~20% of 2024 claims and is biased towards the largest ones -&gt; severe under-prediction.</t>
  </si>
  <si>
    <t xml:space="preserve">Case development (IBNER)</t>
  </si>
  <si>
    <t xml:space="preserve">Will open case reserves move?</t>
  </si>
  <si>
    <t xml:space="preserve">Assume case reserves are adequate on average.</t>
  </si>
  <si>
    <t xml:space="preserve">No IBNER factor. Long-tail perils (bodily injury, subsidence) exclude the latest training year from the SEVERITY fit (Model_Spec sev_exclude_recent_years) so immature small claims do not bias severity down.</t>
  </si>
  <si>
    <t xml:space="preserve">Only one valuation date (31 Dec 2024) - development cannot be measured.</t>
  </si>
  <si>
    <t xml:space="preserve">Applying an untested factor adds error.</t>
  </si>
  <si>
    <t xml:space="preserve">Assumption - verify</t>
  </si>
  <si>
    <t xml:space="preserve">Late reporting (IBNR)</t>
  </si>
  <si>
    <t xml:space="preserve">How to treat claims not yet reported?</t>
  </si>
  <si>
    <t xml:space="preserve">Model ULTIMATE frequency.</t>
  </si>
  <si>
    <t xml:space="preserve">Per peril, reported share = ECDF of report lags (2021-22 losses) at (31 Dec 2024 - row mid-date). Frequency volume = exposure x reported share. Validation actuals divided by the same share.</t>
  </si>
  <si>
    <t xml:space="preserve">2024 IBNR count factor ~1.76 bodily injury, ~1.50 subsidence, ~1.02-1.06 others (WENDY 3).</t>
  </si>
  <si>
    <t xml:space="preserve">WENDY 3 multiplied targets by the factor -&gt; scored against reported actuals -&gt; unfair penalty.</t>
  </si>
  <si>
    <t xml:space="preserve">Repudiated claims</t>
  </si>
  <si>
    <t xml:space="preserve">Include declined claims?</t>
  </si>
  <si>
    <t xml:space="preserve">NO - excluded (cost 0, not counted).</t>
  </si>
  <si>
    <t xml:space="preserve">counts == TRUE only.</t>
  </si>
  <si>
    <t xml:space="preserve">~1.0-1.1% of claims each year.</t>
  </si>
  <si>
    <t xml:space="preserve">-</t>
  </si>
  <si>
    <t xml:space="preserve">Excess</t>
  </si>
  <si>
    <t xml:space="preserve">Deduct the excess?</t>
  </si>
  <si>
    <t xml:space="preserve">NO - paid/incurred are already net of excess.</t>
  </si>
  <si>
    <t xml:space="preserve">Excess kept as a feature only.</t>
  </si>
  <si>
    <t xml:space="preserve">Data dictionary: paid_to_date is net of excess.</t>
  </si>
  <si>
    <t xml:space="preserve">Deducting again double-counts.</t>
  </si>
  <si>
    <t xml:space="preserve">Nil claims</t>
  </si>
  <si>
    <t xml:space="preserve">Non-repudiated claims with zero net cost?</t>
  </si>
  <si>
    <t xml:space="preserve">Excluded from frequency and severity.</t>
  </si>
  <si>
    <t xml:space="preserve">Frequency counts claims with net cost &gt; 0, severity fitted on the same claims, so freq x sev = expected cost.</t>
  </si>
  <si>
    <t xml:space="preserve">Claims closed below the excess.</t>
  </si>
  <si>
    <t xml:space="preserve">Counting them in frequency but not severity overstates cost.</t>
  </si>
  <si>
    <t xml:space="preserve">Outlier claim</t>
  </si>
  <si>
    <t xml:space="preserve">The 11.9M open bodily-injury claim?</t>
  </si>
  <si>
    <t xml:space="preserve">Limit any single claim to 2,000,000 before capping (setting outlier_claim_limit).</t>
  </si>
  <si>
    <t xml:space="preserve">pmin(cost, limit).</t>
  </si>
  <si>
    <t xml:space="preserve">Paid ~0.74M; next largest claim ~1.12M closed. One claim = ~3.4% of all motor cost.</t>
  </si>
  <si>
    <t xml:space="preserve">Kept in full it adds ~7% to every bodily-injury prediction via the cap loading.</t>
  </si>
  <si>
    <t xml:space="preserve">Large-loss cap</t>
  </si>
  <si>
    <t xml:space="preserve">How to treat the tail?</t>
  </si>
  <si>
    <t xml:space="preserve">Cap each claim at a per-peril quantile; spread the excess as a loading.</t>
  </si>
  <si>
    <t xml:space="preserve">Model_Spec cap_quantile (0.99-0.999). Loading = trended total / trended capped total.</t>
  </si>
  <si>
    <t xml:space="preserve">Heavy tails: fire, flood, subsidence, bodily injury.</t>
  </si>
  <si>
    <t xml:space="preserve">Uncapped Gamma/Tweedie fits chase a few claims.</t>
  </si>
  <si>
    <t xml:space="preserve">Severity inflation</t>
  </si>
  <si>
    <t xml:space="preserve">Project severity to 2025?</t>
  </si>
  <si>
    <t xml:space="preserve">YES - log-linear trend per peril, clamped.</t>
  </si>
  <si>
    <t xml:space="preserve">Trend fitted on capped claim severity by loss year (excluding long-tail immature years); each claim trended to the prediction year (validation year or 2025). Clamp in Settings.</t>
  </si>
  <si>
    <t xml:space="preserve">Buildings severity ~8.7k (2021) -&gt; ~10.3k (2024); contents ~2.7k -&gt; ~2.9k.</t>
  </si>
  <si>
    <t xml:space="preserve">Without trend, 2025 is priced at the 2022-23 average.</t>
  </si>
  <si>
    <t xml:space="preserve">Frequency trend</t>
  </si>
  <si>
    <t xml:space="preserve">Project frequency?</t>
  </si>
  <si>
    <t xml:space="preserve">Only motor non-weather perils, residual-based, clamped.</t>
  </si>
  <si>
    <t xml:space="preserve">Model_Spec freq_trend = estimate: log(actual/expected) by year regressed on year after the GBM, so mix change is not counted as trend.</t>
  </si>
  <si>
    <t xml:space="preserve">Motor raw frequency 0.146 -&gt; 0.140 (2021-23); weather perils vary with the year's weather, which is already a feature.</t>
  </si>
  <si>
    <t xml:space="preserve">Extrapolating weather years is noise.</t>
  </si>
  <si>
    <t xml:space="preserve">Unmatched claims</t>
  </si>
  <si>
    <t xml:space="preserve">Claims outside any policy row?</t>
  </si>
  <si>
    <t xml:space="preserve">Excluded.</t>
  </si>
  <si>
    <t xml:space="preserve">Rows with NA row_id dropped (2_clean).</t>
  </si>
  <si>
    <t xml:space="preserve">414 claims; 252 dated exactly 2020-12-01 (placeholder).</t>
  </si>
  <si>
    <t xml:space="preserve">Duplicate claims</t>
  </si>
  <si>
    <t xml:space="preserve">9-digit duplicate claim ids?</t>
  </si>
  <si>
    <t xml:space="preserve">Dropped (2_clean trap 10).</t>
  </si>
  <si>
    <t xml:space="preserve">See 2_clean data_checks.csv.</t>
  </si>
  <si>
    <t xml:space="preserve">Exposure</t>
  </si>
  <si>
    <t xml:space="preserve">Use supplied exposure?</t>
  </si>
  <si>
    <t xml:space="preserve">NO - recomputed from dates (2_clean).</t>
  </si>
  <si>
    <t xml:space="preserve">(end - start + 1) / 365.</t>
  </si>
  <si>
    <t xml:space="preserve">~5.6k motor, ~4.1k buildings, ~4.3k contents train rows were wrong.</t>
  </si>
  <si>
    <t xml:space="preserve">Sum insured</t>
  </si>
  <si>
    <t xml:space="preserve">1000x values?</t>
  </si>
  <si>
    <t xml:space="preserve">Divided by 1000 (2_clean).</t>
  </si>
  <si>
    <t xml:space="preserve">~0.2% of rows, train and test.</t>
  </si>
  <si>
    <t xml:space="preserve">If not a unit error, severity models mis-scale those rows.</t>
  </si>
  <si>
    <t xml:space="preserve">construction_type</t>
  </si>
  <si>
    <t xml:space="preserve">T and W codes?</t>
  </si>
  <si>
    <t xml:space="preserve">Both mapped to timber (2_clean).</t>
  </si>
  <si>
    <t xml:space="preserve">T only 2021-22, W only 2023-25; timber frequency stable ~0.045.</t>
  </si>
  <si>
    <t xml:space="preserve">Structural zeros</t>
  </si>
  <si>
    <t xml:space="preserve">Perils not covered?</t>
  </si>
  <si>
    <t xml:space="preserve">Predict 0 where cover is not bought - only if training shows zero claims there.</t>
  </si>
  <si>
    <t xml:space="preserve">Structural_Zeros sheet; the script checks claim counts and reports which rules it applied.</t>
  </si>
  <si>
    <t xml:space="preserve">Third-party-only cannot have own damage/theft/glass; AD needs AD cover.</t>
  </si>
  <si>
    <t xml:space="preserve">Models leak small positive predictions onto uninsured perils.</t>
  </si>
  <si>
    <t xml:space="preserve">Decided (data-checked at run time)</t>
  </si>
  <si>
    <t xml:space="preserve">Weather</t>
  </si>
  <si>
    <t xml:space="preserve">Use the row year's weather?</t>
  </si>
  <si>
    <t xml:space="preserve">YES - test supplies 2025 weather.</t>
  </si>
  <si>
    <t xml:space="preserve">Joined by address x policy year (2_clean).</t>
  </si>
  <si>
    <t xml:space="preserve">Weather table covers 2021-2025.</t>
  </si>
  <si>
    <t xml:space="preserve">In live pricing weather is unknown in advance - document as a competition-specific choice.</t>
  </si>
  <si>
    <t xml:space="preserve">Claims history</t>
  </si>
  <si>
    <t xml:space="preserve">Use own past claims?</t>
  </si>
  <si>
    <t xml:space="preserve">YES - prior-year claims known at renewal only.</t>
  </si>
  <si>
    <t xml:space="preserve">Count of positive claims with loss in year Y-1 AND reported by 31 Dec Y-1 (policy, and customer's other lines). NA when no prior row or Y = 2021.</t>
  </si>
  <si>
    <t xml:space="preserve">~85% of test rows are renewals.</t>
  </si>
  <si>
    <t xml:space="preserve">Using claims reported later leaks information the insurer did not have.</t>
  </si>
  <si>
    <t xml:space="preserve">Survivorship</t>
  </si>
  <si>
    <t xml:space="preserve">Lapsed/cancelled rows in training?</t>
  </si>
  <si>
    <t xml:space="preserve">Keep - their exposure and claims are genuine.</t>
  </si>
  <si>
    <t xml:space="preserve">No reweighting.</t>
  </si>
  <si>
    <t xml:space="preserve">Test excludes lapsed/cancelled policies.</t>
  </si>
  <si>
    <t xml:space="preserve">Leakage</t>
  </si>
  <si>
    <t xml:space="preserve">Columns known only after the period?</t>
  </si>
  <si>
    <t xml:space="preserve">Excluded: renewal_decision, customer_service_contacts.</t>
  </si>
  <si>
    <t xml:space="preserve">NON_FEATURES in 0_setup.R.</t>
  </si>
  <si>
    <t xml:space="preserve">Service contacts ~3 per claim row vs ~0.4 otherwise.</t>
  </si>
  <si>
    <t xml:space="preserve">Leaky features score well in training, fail on test.</t>
  </si>
  <si>
    <t xml:space="preserve">written_premium</t>
  </si>
  <si>
    <t xml:space="preserve">Use the current premium?</t>
  </si>
  <si>
    <t xml:space="preserve">Excluded from the main model.</t>
  </si>
  <si>
    <t xml:space="preserve">Features_* use = N; flip to Y for a documented challenger.</t>
  </si>
  <si>
    <t xml:space="preserve">Top gain feature in several WENDY 3 perils.</t>
  </si>
  <si>
    <t xml:space="preserve">Circular for a technical price review and embeds loadings.</t>
  </si>
  <si>
    <t xml:space="preserve">Decided - challenger optional</t>
  </si>
  <si>
    <t xml:space="preserve">Fairness</t>
  </si>
  <si>
    <t xml:space="preserve">Sensitive proxies?</t>
  </si>
  <si>
    <t xml:space="preserve">Tested only where a mechanism exists; flagged in guardrail column.</t>
  </si>
  <si>
    <t xml:space="preserve">occupation, marital_status, credit_band, payment features = Test.</t>
  </si>
  <si>
    <t xml:space="preserve">Regulators may restrict credit and marital factors.</t>
  </si>
  <si>
    <t xml:space="preserve">Review</t>
  </si>
  <si>
    <t xml:space="preserve">How to compare models?</t>
  </si>
  <si>
    <t xml:space="preserve">2 out-of-time folds against developed actuals; Tweedie D2 p = 1.5 (Kaggle metric).</t>
  </si>
  <si>
    <t xml:space="preserve">Selection per peril by mean D2 across folds (Settings model_selection = auto).</t>
  </si>
  <si>
    <t xml:space="preserve">WENDY 3 used one fold vs reported actuals.</t>
  </si>
  <si>
    <t xml:space="preserve">column</t>
  </si>
  <si>
    <t xml:space="preserve">source</t>
  </si>
  <si>
    <t xml:space="preserve">type</t>
  </si>
  <si>
    <t xml:space="preserve">description</t>
  </si>
  <si>
    <t xml:space="preserve">actuarial_role</t>
  </si>
  <si>
    <t xml:space="preserve">use</t>
  </si>
  <si>
    <t xml:space="preserve">mono_freq</t>
  </si>
  <si>
    <t xml:space="preserve">mono_sev</t>
  </si>
  <si>
    <t xml:space="preserve">reason</t>
  </si>
  <si>
    <t xml:space="preserve">guardrail</t>
  </si>
  <si>
    <t xml:space="preserve">driver_age</t>
  </si>
  <si>
    <t xml:space="preserve">policies_motor</t>
  </si>
  <si>
    <t xml:space="preserve">num</t>
  </si>
  <si>
    <t xml:space="preserve">Main driver age at row start</t>
  </si>
  <si>
    <t xml:space="preserve">Driver risk</t>
  </si>
  <si>
    <t xml:space="preserve">Include</t>
  </si>
  <si>
    <t xml:space="preserve">Y</t>
  </si>
  <si>
    <t xml:space="preserve">B</t>
  </si>
  <si>
    <t xml:space="preserve">F</t>
  </si>
  <si>
    <t xml:space="preserve">Core driver risk; also drives BI severity (vulnerability of occupants)</t>
  </si>
  <si>
    <t xml:space="preserve">years_licensed</t>
  </si>
  <si>
    <t xml:space="preserve">Years main driver licensed (capped at age-16)</t>
  </si>
  <si>
    <t xml:space="preserve">Driver experience</t>
  </si>
  <si>
    <t xml:space="preserve">Driving experience separate from age</t>
  </si>
  <si>
    <t xml:space="preserve">ncb_years</t>
  </si>
  <si>
    <t xml:space="preserve">No-claims bonus years</t>
  </si>
  <si>
    <t xml:space="preserve">Claims history / experience</t>
  </si>
  <si>
    <t xml:space="preserve">Strong frequency signal for at-fault perils; theft/glass are not at-fault</t>
  </si>
  <si>
    <t xml:space="preserve">vehicle_value_group</t>
  </si>
  <si>
    <t xml:space="preserve">Vehicle value band 1-20</t>
  </si>
  <si>
    <t xml:space="preserve">Exposure to damage / theft severity</t>
  </si>
  <si>
    <t xml:space="preserve">Damage, theft and glass cost scale with value; irrelevant to third-party liability</t>
  </si>
  <si>
    <t xml:space="preserve">vehicle_age</t>
  </si>
  <si>
    <t xml:space="preserve">Vehicle age</t>
  </si>
  <si>
    <t xml:space="preserve">Repair cost, theft attractiveness</t>
  </si>
  <si>
    <t xml:space="preserve">S</t>
  </si>
  <si>
    <t xml:space="preserve">Repair cost and theft target; glass cost</t>
  </si>
  <si>
    <t xml:space="preserve">make_model</t>
  </si>
  <si>
    <t xml:space="preserve">cat</t>
  </si>
  <si>
    <t xml:space="preserve">Anonymised make/model code (high cardinality)</t>
  </si>
  <si>
    <t xml:space="preserve">Vehicle repair cost / theft target</t>
  </si>
  <si>
    <t xml:space="preserve">Test</t>
  </si>
  <si>
    <t xml:space="preserve">Strong but high-cardinality; dropped for BI (spurious in WENDY 3)</t>
  </si>
  <si>
    <t xml:space="preserve">High cardinality - encoded by training rate order; overfit risk on sparse perils</t>
  </si>
  <si>
    <t xml:space="preserve">engine_size_cc</t>
  </si>
  <si>
    <t xml:space="preserve">Engine size</t>
  </si>
  <si>
    <t xml:space="preserve">Performance / driving style</t>
  </si>
  <si>
    <t xml:space="preserve">Performance proxy</t>
  </si>
  <si>
    <t xml:space="preserve">body_type</t>
  </si>
  <si>
    <t xml:space="preserve">Body type</t>
  </si>
  <si>
    <t xml:space="preserve">Repair cost, use pattern</t>
  </si>
  <si>
    <t xml:space="preserve">Repair cost and use pattern</t>
  </si>
  <si>
    <t xml:space="preserve">transmission</t>
  </si>
  <si>
    <t xml:space="preserve">Manual / automatic</t>
  </si>
  <si>
    <t xml:space="preserve">Weak driving-style proxy</t>
  </si>
  <si>
    <t xml:space="preserve">Weak; own damage only</t>
  </si>
  <si>
    <t xml:space="preserve">seats</t>
  </si>
  <si>
    <t xml:space="preserve">Seats</t>
  </si>
  <si>
    <t xml:space="preserve">Occupants exposed to injury</t>
  </si>
  <si>
    <t xml:space="preserve">More occupants -&gt; larger BI claims</t>
  </si>
  <si>
    <t xml:space="preserve">vehicle_colour</t>
  </si>
  <si>
    <t xml:space="preserve">Colour (~12.5% each, uniform)</t>
  </si>
  <si>
    <t xml:space="preserve">None - noise</t>
  </si>
  <si>
    <t xml:space="preserve">Exclude</t>
  </si>
  <si>
    <t xml:space="preserve">N</t>
  </si>
  <si>
    <t xml:space="preserve">Uniform ~12.5% each; no causal path</t>
  </si>
  <si>
    <t xml:space="preserve">No causal path; uniform distribution suggests synthetic noise</t>
  </si>
  <si>
    <t xml:space="preserve">fuel_type</t>
  </si>
  <si>
    <t xml:space="preserve">Petrol/diesel/hybrid/electric</t>
  </si>
  <si>
    <t xml:space="preserve">EV repair cost, theft target</t>
  </si>
  <si>
    <t xml:space="preserve">EV/hybrid repair cost; theft targeting</t>
  </si>
  <si>
    <t xml:space="preserve">driver_assist</t>
  </si>
  <si>
    <t xml:space="preserve">cat/bool</t>
  </si>
  <si>
    <t xml:space="preserve">Driver-assistance tech</t>
  </si>
  <si>
    <t xml:space="preserve">Collision avoidance</t>
  </si>
  <si>
    <t xml:space="preserve">Collision avoidance reduces at-fault frequency</t>
  </si>
  <si>
    <t xml:space="preserve">cover_type</t>
  </si>
  <si>
    <t xml:space="preserve">comprehensive / TPFT / TPO</t>
  </si>
  <si>
    <t xml:space="preserve">Defines which perils are covered (structural)</t>
  </si>
  <si>
    <t xml:space="preserve">Defines cover; structural zeros applied for perils not covered</t>
  </si>
  <si>
    <t xml:space="preserve">Structural zeros enforced - see Structural_Zeros</t>
  </si>
  <si>
    <t xml:space="preserve">annual_mileage</t>
  </si>
  <si>
    <t xml:space="preserve">Declared mileage</t>
  </si>
  <si>
    <t xml:space="preserve">Exposure to road risk</t>
  </si>
  <si>
    <t xml:space="preserve">Road exposure; more mileage -&gt; more chips</t>
  </si>
  <si>
    <t xml:space="preserve">overnight_parking</t>
  </si>
  <si>
    <t xml:space="preserve">Garage / driveway / street</t>
  </si>
  <si>
    <t xml:space="preserve">Theft, hail, vandalism</t>
  </si>
  <si>
    <t xml:space="preserve">Theft and hail protection</t>
  </si>
  <si>
    <t xml:space="preserve">vehicle_use</t>
  </si>
  <si>
    <t xml:space="preserve">Social / commuting / business</t>
  </si>
  <si>
    <t xml:space="preserve">Road exposure</t>
  </si>
  <si>
    <t xml:space="preserve">named_young_driver</t>
  </si>
  <si>
    <t xml:space="preserve">bool</t>
  </si>
  <si>
    <t xml:space="preserve">Under-25 named driver</t>
  </si>
  <si>
    <t xml:space="preserve">Young driver risk</t>
  </si>
  <si>
    <t xml:space="preserve">telematics_opt_in</t>
  </si>
  <si>
    <t xml:space="preserve">Telematics opt-in</t>
  </si>
  <si>
    <t xml:space="preserve">Self-selection signal</t>
  </si>
  <si>
    <t xml:space="preserve">Self-selection of careful drivers</t>
  </si>
  <si>
    <t xml:space="preserve">telematics_score</t>
  </si>
  <si>
    <t xml:space="preserve">Score 1-100, NA if not opted in</t>
  </si>
  <si>
    <t xml:space="preserve">Observed driving behaviour</t>
  </si>
  <si>
    <t xml:space="preserve">Observed behaviour; NA if not opted in (direction of scale not documented, so no constraint)</t>
  </si>
  <si>
    <t xml:space="preserve">NA by design; GBM handles NA natively</t>
  </si>
  <si>
    <t xml:space="preserve">voluntary_excess</t>
  </si>
  <si>
    <t xml:space="preserve">all policy files</t>
  </si>
  <si>
    <t xml:space="preserve">Customer-chosen excess 0/250/500/1000</t>
  </si>
  <si>
    <t xml:space="preserve">Removes small claims; self-selection</t>
  </si>
  <si>
    <t xml:space="preserve">Removes small own-damage/theft/glass claims; BI not subject to excess (assumed)</t>
  </si>
  <si>
    <t xml:space="preserve">Claims already net of excess - do not subtract again</t>
  </si>
  <si>
    <t xml:space="preserve">compulsory_excess</t>
  </si>
  <si>
    <t xml:space="preserve">Insurer-set excess</t>
  </si>
  <si>
    <t xml:space="preserve">Removes small claims</t>
  </si>
  <si>
    <t xml:space="preserve">Same mechanism as voluntary excess</t>
  </si>
  <si>
    <t xml:space="preserve">channel</t>
  </si>
  <si>
    <t xml:space="preserve">direct / comparison / broker</t>
  </si>
  <si>
    <t xml:space="preserve">Selection effect</t>
  </si>
  <si>
    <t xml:space="preserve">Selection effect by channel</t>
  </si>
  <si>
    <t xml:space="preserve">payment_method</t>
  </si>
  <si>
    <t xml:space="preserve">annual / monthly</t>
  </si>
  <si>
    <t xml:space="preserve">Financial-stress proxy</t>
  </si>
  <si>
    <t xml:space="preserve">Proxy factor - document in guardrails</t>
  </si>
  <si>
    <t xml:space="preserve">missed_payments_12m</t>
  </si>
  <si>
    <t xml:space="preserve">Missed payments last 12m</t>
  </si>
  <si>
    <t xml:space="preserve">new_business</t>
  </si>
  <si>
    <t xml:space="preserve">First year with insurer</t>
  </si>
  <si>
    <t xml:space="preserve">Selection / unknown risk</t>
  </si>
  <si>
    <t xml:space="preserve">New customers have unknown/higher risk</t>
  </si>
  <si>
    <t xml:space="preserve">renewal_count</t>
  </si>
  <si>
    <t xml:space="preserve">Previous renewals</t>
  </si>
  <si>
    <t xml:space="preserve">Tenure / survivorship</t>
  </si>
  <si>
    <t xml:space="preserve">Tenure; survivorship</t>
  </si>
  <si>
    <t xml:space="preserve">Survivorship bias: lapsed customers absent from test</t>
  </si>
  <si>
    <t xml:space="preserve">days_quote_to_inception</t>
  </si>
  <si>
    <t xml:space="preserve">Days quote to start</t>
  </si>
  <si>
    <t xml:space="preserve">Anti-selection (last-minute buyers)</t>
  </si>
  <si>
    <t xml:space="preserve">Last-minute buyers anti-selection</t>
  </si>
  <si>
    <t xml:space="preserve">discount_applied</t>
  </si>
  <si>
    <t xml:space="preserve">Discount on price</t>
  </si>
  <si>
    <t xml:space="preserve">Commercial decision, not risk</t>
  </si>
  <si>
    <t xml:space="preserve">Commercial pricing decision, not risk</t>
  </si>
  <si>
    <t xml:space="preserve">Pricing decision - circular</t>
  </si>
  <si>
    <t xml:space="preserve">Premium under current pricing</t>
  </si>
  <si>
    <t xml:space="preserve">Current price = old risk model + loadings</t>
  </si>
  <si>
    <t xml:space="preserve">Circular (current price); top gain in WENDY 3. Flip use to Y only as a documented challenger</t>
  </si>
  <si>
    <t xml:space="preserve">Circular for a technical price review; also embeds expense/profit loadings</t>
  </si>
  <si>
    <t xml:space="preserve">occupation</t>
  </si>
  <si>
    <t xml:space="preserve">customers</t>
  </si>
  <si>
    <t xml:space="preserve">Occupation</t>
  </si>
  <si>
    <t xml:space="preserve">Lifestyle / use</t>
  </si>
  <si>
    <t xml:space="preserve">Lifestyle/use; guardrail review</t>
  </si>
  <si>
    <t xml:space="preserve">Potential proxy for protected traits - guardrail</t>
  </si>
  <si>
    <t xml:space="preserve">marital_status</t>
  </si>
  <si>
    <t xml:space="preserve">Marital status</t>
  </si>
  <si>
    <t xml:space="preserve">Driving behaviour proxy</t>
  </si>
  <si>
    <t xml:space="preserve">Behaviour proxy; guardrail review</t>
  </si>
  <si>
    <t xml:space="preserve">Sensitive in some markets - guardrail</t>
  </si>
  <si>
    <t xml:space="preserve">household_size</t>
  </si>
  <si>
    <t xml:space="preserve">People in household</t>
  </si>
  <si>
    <t xml:space="preserve">Occupancy, AD, EoW usage</t>
  </si>
  <si>
    <t xml:space="preserve">No clear motor mechanism</t>
  </si>
  <si>
    <t xml:space="preserve">credit_band</t>
  </si>
  <si>
    <t xml:space="preserve">Credit band A-E</t>
  </si>
  <si>
    <t xml:space="preserve">Financial-stress / claims propensity</t>
  </si>
  <si>
    <t xml:space="preserve">Claims propensity; regulatory guardrail</t>
  </si>
  <si>
    <t xml:space="preserve">Credit-based insurance scoring restricted in some markets - guardrail</t>
  </si>
  <si>
    <t xml:space="preserve">prior_claims_5y</t>
  </si>
  <si>
    <t xml:space="preserve">Declared claims 5y before joining</t>
  </si>
  <si>
    <t xml:space="preserve">Declared history</t>
  </si>
  <si>
    <t xml:space="preserve">licence_points</t>
  </si>
  <si>
    <t xml:space="preserve">Driving penalty points</t>
  </si>
  <si>
    <t xml:space="preserve">Driver conduct</t>
  </si>
  <si>
    <t xml:space="preserve">years_at_address</t>
  </si>
  <si>
    <t xml:space="preserve">Years at address</t>
  </si>
  <si>
    <t xml:space="preserve">Stability</t>
  </si>
  <si>
    <t xml:space="preserve">customer_since_year</t>
  </si>
  <si>
    <t xml:space="preserve">First policy year</t>
  </si>
  <si>
    <t xml:space="preserve">Calendar cohort</t>
  </si>
  <si>
    <t xml:space="preserve">Cohort year; duplicates renewal_count</t>
  </si>
  <si>
    <t xml:space="preserve">Duplicates renewal_count; cohort year drifts out of range for 2025</t>
  </si>
  <si>
    <t xml:space="preserve">email_domain</t>
  </si>
  <si>
    <t xml:space="preserve">Anonymised email domain (~20% each)</t>
  </si>
  <si>
    <t xml:space="preserve">Noise</t>
  </si>
  <si>
    <t xml:space="preserve">Uniform; no causal path</t>
  </si>
  <si>
    <t xml:space="preserve">marketing_consent</t>
  </si>
  <si>
    <t xml:space="preserve">Marketing consent</t>
  </si>
  <si>
    <t xml:space="preserve">None</t>
  </si>
  <si>
    <t xml:space="preserve">No causal path</t>
  </si>
  <si>
    <t xml:space="preserve">document_preference</t>
  </si>
  <si>
    <t xml:space="preserve">email / post / app</t>
  </si>
  <si>
    <t xml:space="preserve">None (age proxy at best)</t>
  </si>
  <si>
    <t xml:space="preserve">Proxy only</t>
  </si>
  <si>
    <t xml:space="preserve">previous_insurer</t>
  </si>
  <si>
    <t xml:space="preserve">Previous insurer</t>
  </si>
  <si>
    <t xml:space="preserve">Weak selection signal</t>
  </si>
  <si>
    <t xml:space="preserve">Spurious signal in sparse perils; no clear mechanism</t>
  </si>
  <si>
    <t xml:space="preserve">Showed spurious top-10 importance for fire / subsidence in WENDY 3</t>
  </si>
  <si>
    <t xml:space="preserve">campaign_code</t>
  </si>
  <si>
    <t xml:space="preserve">Acquisition campaign</t>
  </si>
  <si>
    <t xml:space="preserve">Marketing</t>
  </si>
  <si>
    <t xml:space="preserve">No causal path; null = no campaign</t>
  </si>
  <si>
    <t xml:space="preserve">branch_id</t>
  </si>
  <si>
    <t xml:space="preserve">Servicing branch</t>
  </si>
  <si>
    <t xml:space="preserve">Geography proxy (region already used)</t>
  </si>
  <si>
    <t xml:space="preserve">Duplicates geography</t>
  </si>
  <si>
    <t xml:space="preserve">marketing_segment</t>
  </si>
  <si>
    <t xml:space="preserve">Marketing segment</t>
  </si>
  <si>
    <t xml:space="preserve">Opaque derived score</t>
  </si>
  <si>
    <t xml:space="preserve">Unknown construction - could encode price or protected traits</t>
  </si>
  <si>
    <t xml:space="preserve">region</t>
  </si>
  <si>
    <t xml:space="preserve">addresses</t>
  </si>
  <si>
    <t xml:space="preserve">Region R01-R12</t>
  </si>
  <si>
    <t xml:space="preserve">Geography</t>
  </si>
  <si>
    <t xml:space="preserve">Geography: repair costs, claims culture, crime</t>
  </si>
  <si>
    <t xml:space="preserve">urban_density</t>
  </si>
  <si>
    <t xml:space="preserve">rural ... dense_urban</t>
  </si>
  <si>
    <t xml:space="preserve">Traffic, crime density</t>
  </si>
  <si>
    <t xml:space="preserve">Traffic density and theft; rural crashes are faster (BI severity)</t>
  </si>
  <si>
    <t xml:space="preserve">flood_zone</t>
  </si>
  <si>
    <t xml:space="preserve">Flood zone 1-5</t>
  </si>
  <si>
    <t xml:space="preserve">Flood hazard</t>
  </si>
  <si>
    <t xml:space="preserve">Home hazard; no motor flood peril</t>
  </si>
  <si>
    <t xml:space="preserve">distance_to_river_km</t>
  </si>
  <si>
    <t xml:space="preserve">Distance to river</t>
  </si>
  <si>
    <t xml:space="preserve">Home hazard</t>
  </si>
  <si>
    <t xml:space="preserve">elevation_m</t>
  </si>
  <si>
    <t xml:space="preserve">Height above river level</t>
  </si>
  <si>
    <t xml:space="preserve">soil_type</t>
  </si>
  <si>
    <t xml:space="preserve">clay/sand/loam/chalk/rock</t>
  </si>
  <si>
    <t xml:space="preserve">Subsidence hazard (clay shrink-swell)</t>
  </si>
  <si>
    <t xml:space="preserve">year_built</t>
  </si>
  <si>
    <t xml:space="preserve">Year built</t>
  </si>
  <si>
    <t xml:space="preserve">Plumbing age, construction standard</t>
  </si>
  <si>
    <t xml:space="preserve">Home attribute</t>
  </si>
  <si>
    <t xml:space="preserve">property_type</t>
  </si>
  <si>
    <t xml:space="preserve">detached/semi/terraced/flat</t>
  </si>
  <si>
    <t xml:space="preserve">Exposure, flood floor level</t>
  </si>
  <si>
    <t xml:space="preserve">roof_type</t>
  </si>
  <si>
    <t xml:space="preserve">pitched / flat</t>
  </si>
  <si>
    <t xml:space="preserve">Storm and water ingress</t>
  </si>
  <si>
    <t xml:space="preserve">basement</t>
  </si>
  <si>
    <t xml:space="preserve">Basement</t>
  </si>
  <si>
    <t xml:space="preserve">Flood / EoW / subsidence</t>
  </si>
  <si>
    <t xml:space="preserve">trees_within_5m</t>
  </si>
  <si>
    <t xml:space="preserve">Trees within 5m</t>
  </si>
  <si>
    <t xml:space="preserve">Subsidence (root shrinkage), storm debris</t>
  </si>
  <si>
    <t xml:space="preserve">listed_building</t>
  </si>
  <si>
    <t xml:space="preserve">Listed building</t>
  </si>
  <si>
    <t xml:space="preserve">Rebuild cost (severity)</t>
  </si>
  <si>
    <t xml:space="preserve">bedrooms</t>
  </si>
  <si>
    <t xml:space="preserve">Bedrooms</t>
  </si>
  <si>
    <t xml:space="preserve">Size / severity</t>
  </si>
  <si>
    <t xml:space="preserve">energy_rating</t>
  </si>
  <si>
    <t xml:space="preserve">Energy rating A-G</t>
  </si>
  <si>
    <t xml:space="preserve">Building age / heating proxy</t>
  </si>
  <si>
    <t xml:space="preserve">Proxy - keep only where it validates</t>
  </si>
  <si>
    <t xml:space="preserve">solar_panels</t>
  </si>
  <si>
    <t xml:space="preserve">Solar panels</t>
  </si>
  <si>
    <t xml:space="preserve">Electrical fire, roof damage</t>
  </si>
  <si>
    <t xml:space="preserve">hail_days</t>
  </si>
  <si>
    <t xml:space="preserve">weather (policy year)</t>
  </si>
  <si>
    <t xml:space="preserve">Hail days in year</t>
  </si>
  <si>
    <t xml:space="preserve">Hail hazard</t>
  </si>
  <si>
    <t xml:space="preserve">Hail damage to glass/bodywork</t>
  </si>
  <si>
    <t xml:space="preserve">Realised weather of the row's year (2025 supplied for test)</t>
  </si>
  <si>
    <t xml:space="preserve">wind_exposure_index</t>
  </si>
  <si>
    <t xml:space="preserve">Wind exposure 0-10</t>
  </si>
  <si>
    <t xml:space="preserve">Storm hazard</t>
  </si>
  <si>
    <t xml:space="preserve">Debris chips</t>
  </si>
  <si>
    <t xml:space="preserve">Realised weather</t>
  </si>
  <si>
    <t xml:space="preserve">freezing_days</t>
  </si>
  <si>
    <t xml:space="preserve">Days below freezing</t>
  </si>
  <si>
    <t xml:space="preserve">Burst pipes, icy roads</t>
  </si>
  <si>
    <t xml:space="preserve">Icy roads, cold-crack glass</t>
  </si>
  <si>
    <t xml:space="preserve">dry_summer_index</t>
  </si>
  <si>
    <t xml:space="preserve">Dry summer 0-1</t>
  </si>
  <si>
    <t xml:space="preserve">Clay shrinkage (subsidence), fire</t>
  </si>
  <si>
    <t xml:space="preserve">No motor mechanism</t>
  </si>
  <si>
    <t xml:space="preserve">wildfire_index</t>
  </si>
  <si>
    <t xml:space="preserve">Wildfire 0-1</t>
  </si>
  <si>
    <t xml:space="preserve">Fire hazard</t>
  </si>
  <si>
    <t xml:space="preserve">No motor fire peril</t>
  </si>
  <si>
    <t xml:space="preserve">rainfall_mm</t>
  </si>
  <si>
    <t xml:space="preserve">Annual rainfall</t>
  </si>
  <si>
    <t xml:space="preserve">Flood, storm ingress, wet roads</t>
  </si>
  <si>
    <t xml:space="preserve">Wet-road collisions</t>
  </si>
  <si>
    <t xml:space="preserve">mean_temperature_c</t>
  </si>
  <si>
    <t xml:space="preserve">Mean temperature</t>
  </si>
  <si>
    <t xml:space="preserve">Freeze / drought conditions</t>
  </si>
  <si>
    <t xml:space="preserve">customer_age</t>
  </si>
  <si>
    <t xml:space="preserve">derived (2_clean)</t>
  </si>
  <si>
    <t xml:space="preserve">Customer age at row start</t>
  </si>
  <si>
    <t xml:space="preserve">Duplicates driver_age / policyholder_age</t>
  </si>
  <si>
    <t xml:space="preserve">driver_age already covers the driving risk</t>
  </si>
  <si>
    <t xml:space="preserve">start_month</t>
  </si>
  <si>
    <t xml:space="preserve">Row start month</t>
  </si>
  <si>
    <t xml:space="preserve">Seasonality of partial-year rows</t>
  </si>
  <si>
    <t xml:space="preserve">years_with_insurer</t>
  </si>
  <si>
    <t xml:space="preserve">policy_year - customer_since_year</t>
  </si>
  <si>
    <t xml:space="preserve">Duplicates renewal_count</t>
  </si>
  <si>
    <t xml:space="preserve">hist_policy_claims_prev</t>
  </si>
  <si>
    <t xml:space="preserve">derived (this script)</t>
  </si>
  <si>
    <t xml:space="preserve">Positive claims on this policy with loss in prior year AND reported by end of prior year; NA if no prior-year row or year 2021</t>
  </si>
  <si>
    <t xml:space="preserve">Own experience rating (renewal knowledge)</t>
  </si>
  <si>
    <t xml:space="preserve">Own prior-year claims known at renewal (experience rating)</t>
  </si>
  <si>
    <t xml:space="preserve">Built only from info known at renewal - no leakage</t>
  </si>
  <si>
    <t xml:space="preserve">hist_customer_claims_other_lines_prev</t>
  </si>
  <si>
    <t xml:space="preserve">Same customer's positive claims on the OTHER two lines, prior year, reported by its end; NA for 2021</t>
  </si>
  <si>
    <t xml:space="preserve">Cross-line behaviour</t>
  </si>
  <si>
    <t xml:space="preserve">Cross-line claims behaviour</t>
  </si>
  <si>
    <t xml:space="preserve">Built only from info known at renewal</t>
  </si>
  <si>
    <t xml:space="preserve">policyholder_age</t>
  </si>
  <si>
    <t xml:space="preserve">policies_buildings/contents</t>
  </si>
  <si>
    <t xml:space="preserve">Policyholder age</t>
  </si>
  <si>
    <t xml:space="preserve">Household behaviour</t>
  </si>
  <si>
    <t xml:space="preserve">Age is a permitted factor in most markets; check local rules</t>
  </si>
  <si>
    <t xml:space="preserve">sum_insured</t>
  </si>
  <si>
    <t xml:space="preserve">Sum insured (1000x unit errors fixed in 2_clean)</t>
  </si>
  <si>
    <t xml:space="preserve">Severity scale / rebuild cost</t>
  </si>
  <si>
    <t xml:space="preserve">Severity scale; size also drives EoW frequency</t>
  </si>
  <si>
    <t xml:space="preserve">policies_buildings</t>
  </si>
  <si>
    <t xml:space="preserve">brick/stone/timber/non_standard (T,W -&gt; timber)</t>
  </si>
  <si>
    <t xml:space="preserve">Fire, storm, subsidence vulnerability</t>
  </si>
  <si>
    <t xml:space="preserve">Timber/non-standard: fire, storm, subsidence vulnerability</t>
  </si>
  <si>
    <t xml:space="preserve">T/W -&gt; timber is an inference</t>
  </si>
  <si>
    <t xml:space="preserve">occupancy</t>
  </si>
  <si>
    <t xml:space="preserve">Owner occupied / let</t>
  </si>
  <si>
    <t xml:space="preserve">Moral hazard, maintenance</t>
  </si>
  <si>
    <t xml:space="preserve">Let properties: maintenance and moral hazard</t>
  </si>
  <si>
    <t xml:space="preserve">days_unoccupied</t>
  </si>
  <si>
    <t xml:space="preserve">Longest period unoccupied</t>
  </si>
  <si>
    <t xml:space="preserve">Undetected leaks, fire</t>
  </si>
  <si>
    <t xml:space="preserve">Undetected leaks; arson/fire</t>
  </si>
  <si>
    <t xml:space="preserve">smoke_alarms</t>
  </si>
  <si>
    <t xml:space="preserve">Smoke alarms present</t>
  </si>
  <si>
    <t xml:space="preserve">Fire mitigation</t>
  </si>
  <si>
    <t xml:space="preserve">Fire detection reduces frequency and size</t>
  </si>
  <si>
    <t xml:space="preserve">accidental_damage_cover</t>
  </si>
  <si>
    <t xml:space="preserve">Optional AD cover</t>
  </si>
  <si>
    <t xml:space="preserve">Defines whether AD is covered (structural)</t>
  </si>
  <si>
    <t xml:space="preserve">Structural for AD peril</t>
  </si>
  <si>
    <t xml:space="preserve">Structural zero when not bought - see Structural_Zeros</t>
  </si>
  <si>
    <t xml:space="preserve">mortgage</t>
  </si>
  <si>
    <t xml:space="preserve">Mortgaged</t>
  </si>
  <si>
    <t xml:space="preserve">Financial proxy only</t>
  </si>
  <si>
    <t xml:space="preserve">No direct causal path</t>
  </si>
  <si>
    <t xml:space="preserve">Removes small claims; behaviour</t>
  </si>
  <si>
    <t xml:space="preserve">Applied per claim</t>
  </si>
  <si>
    <t xml:space="preserve">Selection</t>
  </si>
  <si>
    <t xml:space="preserve">Financial-stress proxy (maintenance)</t>
  </si>
  <si>
    <t xml:space="preserve">Tenure</t>
  </si>
  <si>
    <t xml:space="preserve">Anti-selection (e.g. buying ahead of forecast storms)</t>
  </si>
  <si>
    <t xml:space="preserve">Commercial</t>
  </si>
  <si>
    <t xml:space="preserve">Circular; was top gain for flood in WENDY 3 - flood hazard now from flood_zone/elevation directly</t>
  </si>
  <si>
    <t xml:space="preserve">Spurious in sparse perils</t>
  </si>
  <si>
    <t xml:space="preserve">No home mechanism</t>
  </si>
  <si>
    <t xml:space="preserve">Water usage, cooking fires, AD</t>
  </si>
  <si>
    <t xml:space="preserve">Maintenance proxy; guardrail</t>
  </si>
  <si>
    <t xml:space="preserve">Motor conduct, not home</t>
  </si>
  <si>
    <t xml:space="preserve">Cohort year</t>
  </si>
  <si>
    <t xml:space="preserve">Spurious for fire/subsidence in WENDY 3</t>
  </si>
  <si>
    <t xml:space="preserve">Spurious for subsidence in WENDY 3</t>
  </si>
  <si>
    <t xml:space="preserve">Opaque</t>
  </si>
  <si>
    <t xml:space="preserve">Geography, rebuild cost</t>
  </si>
  <si>
    <t xml:space="preserve">Arson, density</t>
  </si>
  <si>
    <t xml:space="preserve">Clay shrink-swell</t>
  </si>
  <si>
    <t xml:space="preserve">Plumbing age, foundations, standards</t>
  </si>
  <si>
    <t xml:space="preserve">Exposure; flats rarely flood above ground floor</t>
  </si>
  <si>
    <t xml:space="preserve">Flat roofs: storm and water ingress</t>
  </si>
  <si>
    <t xml:space="preserve">Flood / leak / subsidence</t>
  </si>
  <si>
    <t xml:space="preserve">Root shrinkage; storm debris</t>
  </si>
  <si>
    <t xml:space="preserve">Specialist rebuild cost</t>
  </si>
  <si>
    <t xml:space="preserve">Heating/age proxy; strong for fire in WENDY 3</t>
  </si>
  <si>
    <t xml:space="preserve">Electrical fire; roof damage cost</t>
  </si>
  <si>
    <t xml:space="preserve">Roof hail damage</t>
  </si>
  <si>
    <t xml:space="preserve">Burst pipes</t>
  </si>
  <si>
    <t xml:space="preserve">Clay shrinkage; dry fires</t>
  </si>
  <si>
    <t xml:space="preserve">Flood; storm ingress; soil moisture</t>
  </si>
  <si>
    <t xml:space="preserve">Freeze / drought</t>
  </si>
  <si>
    <t xml:space="preserve">Duplicates policyholder_age</t>
  </si>
  <si>
    <t xml:space="preserve">Own prior-year claims</t>
  </si>
  <si>
    <t xml:space="preserve">Cross-line behaviour (non-weather perils)</t>
  </si>
  <si>
    <t xml:space="preserve">Severity scale; more contents more theft/AD</t>
  </si>
  <si>
    <t xml:space="preserve">tenure</t>
  </si>
  <si>
    <t xml:space="preserve">policies_contents</t>
  </si>
  <si>
    <t xml:space="preserve">Owner / renter</t>
  </si>
  <si>
    <t xml:space="preserve">Theft, EoW exposure</t>
  </si>
  <si>
    <t xml:space="preserve">Renters: different exposure</t>
  </si>
  <si>
    <t xml:space="preserve">security_level</t>
  </si>
  <si>
    <t xml:space="preserve">standard / locks / alarm_and_locks</t>
  </si>
  <si>
    <t xml:space="preserve">Theft mitigation</t>
  </si>
  <si>
    <t xml:space="preserve">high_value_items</t>
  </si>
  <si>
    <t xml:space="preserve">Declared high-value items</t>
  </si>
  <si>
    <t xml:space="preserve">Theft attractiveness, severity</t>
  </si>
  <si>
    <t xml:space="preserve">Theft attractiveness and size</t>
  </si>
  <si>
    <t xml:space="preserve">works_from_home</t>
  </si>
  <si>
    <t xml:space="preserve">Someone works from home</t>
  </si>
  <si>
    <t xml:space="preserve">Daytime occupancy (theft), AD</t>
  </si>
  <si>
    <t xml:space="preserve">Daytime occupancy</t>
  </si>
  <si>
    <t xml:space="preserve">lodgers</t>
  </si>
  <si>
    <t xml:space="preserve">Lodgers/students in household</t>
  </si>
  <si>
    <t xml:space="preserve">Theft, AD</t>
  </si>
  <si>
    <t xml:space="preserve">Theft/AD by occupants</t>
  </si>
  <si>
    <t xml:space="preserve">bicycle_cover</t>
  </si>
  <si>
    <t xml:space="preserve">Optional bicycle cover</t>
  </si>
  <si>
    <t xml:space="preserve">Adds bicycle theft exposure</t>
  </si>
  <si>
    <t xml:space="preserve">Anti-selection</t>
  </si>
  <si>
    <t xml:space="preserve">Circular; top gain for theft/EoW in WENDY 3</t>
  </si>
  <si>
    <t xml:space="preserve">Proxy; not needed</t>
  </si>
  <si>
    <t xml:space="preserve">No mechanism</t>
  </si>
  <si>
    <t xml:space="preserve">Occupants</t>
  </si>
  <si>
    <t xml:space="preserve">Claims propensity; guardrail</t>
  </si>
  <si>
    <t xml:space="preserve">Motor conduct</t>
  </si>
  <si>
    <t xml:space="preserve">Opaque; ranked high for theft/EoW in WENDY 3 without a mechanism</t>
  </si>
  <si>
    <t xml:space="preserve">Crime density</t>
  </si>
  <si>
    <t xml:space="preserve">No contents subsidence peril</t>
  </si>
  <si>
    <t xml:space="preserve">Plumbing age</t>
  </si>
  <si>
    <t xml:space="preserve">Flats: theft access, flood floor level</t>
  </si>
  <si>
    <t xml:space="preserve">Water ingress</t>
  </si>
  <si>
    <t xml:space="preserve">Flood / leaks</t>
  </si>
  <si>
    <t xml:space="preserve">Building, not contents</t>
  </si>
  <si>
    <t xml:space="preserve">Size of household contents</t>
  </si>
  <si>
    <t xml:space="preserve">No contents hail peril</t>
  </si>
  <si>
    <t xml:space="preserve">No contents storm peril</t>
  </si>
  <si>
    <t xml:space="preserve">No contents fire peril</t>
  </si>
  <si>
    <t xml:space="preserve">Flood</t>
  </si>
  <si>
    <t xml:space="preserve">Freeze conditions</t>
  </si>
  <si>
    <t xml:space="preserve">Seasonality</t>
  </si>
  <si>
    <t xml:space="preserve">freq_model</t>
  </si>
  <si>
    <t xml:space="preserve">challenger_tweedie</t>
  </si>
  <si>
    <t xml:space="preserve">sev_trend</t>
  </si>
  <si>
    <t xml:space="preserve">freq_trend</t>
  </si>
  <si>
    <t xml:space="preserve">sev_exclude_recent_years</t>
  </si>
  <si>
    <t xml:space="preserve">freq_max_depth</t>
  </si>
  <si>
    <t xml:space="preserve">freq_eta</t>
  </si>
  <si>
    <t xml:space="preserve">freq_min_child_weight</t>
  </si>
  <si>
    <t xml:space="preserve">sev_max_depth</t>
  </si>
  <si>
    <t xml:space="preserve">sev_eta</t>
  </si>
  <si>
    <t xml:space="preserve">sev_min_child_weight</t>
  </si>
  <si>
    <t xml:space="preserve">tweedie_p</t>
  </si>
  <si>
    <t xml:space="preserve">poisson_gbm</t>
  </si>
  <si>
    <t xml:space="preserve">gamma_gbm</t>
  </si>
  <si>
    <t xml:space="preserve">estimate</t>
  </si>
  <si>
    <t xml:space="preserve">~49k claims: data-rich, GBM for both parts.</t>
  </si>
  <si>
    <t xml:space="preserve">~34k claims: data-rich.</t>
  </si>
  <si>
    <t xml:space="preserve">gamma_glm</t>
  </si>
  <si>
    <t xml:space="preserve">~7.6k claims, long tail (median report lag ~127 days), 2024 immature: Poisson GBM frequency + Gamma GLM severity on few factors; latest year left out of severity fit.</t>
  </si>
  <si>
    <t xml:space="preserve">none</t>
  </si>
  <si>
    <t xml:space="preserve">~6.5k claims; recoveries matter.</t>
  </si>
  <si>
    <t xml:space="preserve">Weather-driven: no frequency trend.</t>
  </si>
  <si>
    <t xml:space="preserve">~7.8k claims; weather-driven.</t>
  </si>
  <si>
    <t xml:space="preserve">~2.2k claims, strong hazard structure: GBM frequency, GLM severity.</t>
  </si>
  <si>
    <t xml:space="preserve">~10k claims: data-rich.</t>
  </si>
  <si>
    <t xml:space="preserve">~1.3k claims, long tail (median lag ~94 days): GLM severity, latest year excluded from severity.</t>
  </si>
  <si>
    <t xml:space="preserve">~1.1k claims, very heavy severity: GLM severity, lower cap.</t>
  </si>
  <si>
    <t xml:space="preserve">~3.8k claims; structural zero without AD cover.</t>
  </si>
  <si>
    <t xml:space="preserve">~7.9k claims.</t>
  </si>
  <si>
    <t xml:space="preserve">~5.4k claims.</t>
  </si>
  <si>
    <t xml:space="preserve">~9.2k claims; structural zero without AD cover.</t>
  </si>
  <si>
    <t xml:space="preserve">~1.6k claims: GLM severity.</t>
  </si>
  <si>
    <t xml:space="preserve">Notes</t>
  </si>
  <si>
    <t xml:space="preserve">freq_min_child_weight ~ minimum expected claim count per leaf (Poisson hessian ~ expected count; xgboost's max_delta_step inflates it roughly 2x - approximate).</t>
  </si>
  <si>
    <t xml:space="preserve">sev_min_child_weight ~ minimum claims per leaf for the Gamma GBM. sev_* depth/eta are ignored when sev_model = gamma_glm.</t>
  </si>
  <si>
    <t xml:space="preserve">sev_trend / freq_trend: estimate = fit inside each training window and clamp to the Settings bounds; none = no trend.</t>
  </si>
  <si>
    <t xml:space="preserve">cap_quantile is taken over that peril's positive claim costs in the training window (after the outlier limit and trend).</t>
  </si>
  <si>
    <t xml:space="preserve">values</t>
  </si>
  <si>
    <t xml:space="preserve">third_party_only,third_party_fire_theft</t>
  </si>
  <si>
    <t xml:space="preserve">Own damage is only covered by comprehensive.</t>
  </si>
  <si>
    <t xml:space="preserve">Glass is normally a comprehensive benefit (assumption - the data check decides).</t>
  </si>
  <si>
    <t xml:space="preserve">third_party_only</t>
  </si>
  <si>
    <t xml:space="preserve">Theft is covered by TPFT and comprehensive only.</t>
  </si>
  <si>
    <t xml:space="preserve">FALSE</t>
  </si>
  <si>
    <t xml:space="preserve">AD only covered if bought.</t>
  </si>
  <si>
    <t xml:space="preserve">A rule is applied only if the training data has ZERO positive claims of that peril in those rows; otherwise the script warns and ignores it. Values are matched case-insensitively against the column as text.</t>
  </si>
  <si>
    <t xml:space="preserve">key</t>
  </si>
  <si>
    <t xml:space="preserve">value</t>
  </si>
  <si>
    <t xml:space="preserve">note</t>
  </si>
  <si>
    <t xml:space="preserve">valid_years</t>
  </si>
  <si>
    <t xml:space="preserve">2023,2024</t>
  </si>
  <si>
    <t xml:space="preserve">Out-of-time folds: each is fitted on all earlier years.</t>
  </si>
  <si>
    <t xml:space="preserve">target_year</t>
  </si>
  <si>
    <t xml:space="preserve">2025</t>
  </si>
  <si>
    <t xml:space="preserve">Year the submission predicts (trend target).</t>
  </si>
  <si>
    <t xml:space="preserve">lag_loss_years</t>
  </si>
  <si>
    <t xml:space="preserve">2021,2022</t>
  </si>
  <si>
    <t xml:space="preserve">Loss years whose report lags define the reporting pattern.</t>
  </si>
  <si>
    <t xml:space="preserve">outlier_claim_limit</t>
  </si>
  <si>
    <t xml:space="preserve">2000000</t>
  </si>
  <si>
    <t xml:space="preserve">Single-claim limit applied before caps (CU).</t>
  </si>
  <si>
    <t xml:space="preserve">sev_trend_min</t>
  </si>
  <si>
    <t xml:space="preserve">-0.02</t>
  </si>
  <si>
    <t xml:space="preserve">Lower clamp on annual severity trend.</t>
  </si>
  <si>
    <t xml:space="preserve">sev_trend_max</t>
  </si>
  <si>
    <t xml:space="preserve">0.10</t>
  </si>
  <si>
    <t xml:space="preserve">Upper clamp on annual severity trend.</t>
  </si>
  <si>
    <t xml:space="preserve">freq_trend_min</t>
  </si>
  <si>
    <t xml:space="preserve">-0.05</t>
  </si>
  <si>
    <t xml:space="preserve">Lower clamp on annual frequency trend.</t>
  </si>
  <si>
    <t xml:space="preserve">freq_trend_max</t>
  </si>
  <si>
    <t xml:space="preserve">0.03</t>
  </si>
  <si>
    <t xml:space="preserve">Upper clamp on annual frequency trend.</t>
  </si>
  <si>
    <t xml:space="preserve">model_selection</t>
  </si>
  <si>
    <t xml:space="preserve">auto</t>
  </si>
  <si>
    <t xml:space="preserve">auto = better of freq_sev / tweedie per peril by mean validation D2; freq_sev or tweedie forces one.</t>
  </si>
  <si>
    <t xml:space="preserve">open_claim_recovery_adjust</t>
  </si>
  <si>
    <t xml:space="preserve">Deduct expected recoveries from OPEN claims of perils with recoveries (closed recovery ratio).</t>
  </si>
  <si>
    <t xml:space="preserve">history_features</t>
  </si>
  <si>
    <t xml:space="preserve">Build hist_* prior-year claims features (Y/N).</t>
  </si>
  <si>
    <t xml:space="preserve">max_rounds</t>
  </si>
  <si>
    <t xml:space="preserve">3000</t>
  </si>
  <si>
    <t xml:space="preserve">Max boosting rounds (early stopping decides).</t>
  </si>
  <si>
    <t xml:space="preserve">early_stopping_rounds</t>
  </si>
  <si>
    <t xml:space="preserve">50</t>
  </si>
  <si>
    <t xml:space="preserve">holdout_share</t>
  </si>
  <si>
    <t xml:space="preserve">Share of training POLICIES held out for early stopping.</t>
  </si>
  <si>
    <t xml:space="preserve">subsample</t>
  </si>
  <si>
    <t xml:space="preserve">0.8</t>
  </si>
  <si>
    <t xml:space="preserve">Row subsample per tree.</t>
  </si>
  <si>
    <t xml:space="preserve">colsample_bytree</t>
  </si>
  <si>
    <t xml:space="preserve">Feature subsample per tree.</t>
  </si>
  <si>
    <t xml:space="preserve">reg_lambda</t>
  </si>
  <si>
    <t xml:space="preserve">5</t>
  </si>
  <si>
    <t xml:space="preserve">L2 regularisation.</t>
  </si>
  <si>
    <t xml:space="preserve">glm_min_level_claims</t>
  </si>
  <si>
    <t xml:space="preserve">30</t>
  </si>
  <si>
    <t xml:space="preserve">GLM severity: category levels with fewer claims are pooled into 'other'.</t>
  </si>
  <si>
    <t xml:space="preserve">glm_log_features</t>
  </si>
  <si>
    <t xml:space="preserve">sum_insured,annual_mileage,distance_to_river_km</t>
  </si>
  <si>
    <t xml:space="preserve">Numeric features entered as log(1+x) in GLM severity.</t>
  </si>
  <si>
    <t xml:space="preserve">score_tweedie_p</t>
  </si>
  <si>
    <t xml:space="preserve">1.5</t>
  </si>
  <si>
    <t xml:space="preserve">Power of the Tweedie D2 metric (Kaggle).</t>
  </si>
  <si>
    <t xml:space="preserve">nthread</t>
  </si>
  <si>
    <t xml:space="preserve">0</t>
  </si>
  <si>
    <t xml:space="preserve">0 = all cores.</t>
  </si>
  <si>
    <t xml:space="preserve">row_id</t>
  </si>
  <si>
    <t xml:space="preserve">Row key</t>
  </si>
  <si>
    <t xml:space="preserve">Identifier</t>
  </si>
  <si>
    <t xml:space="preserve">n/a</t>
  </si>
  <si>
    <t xml:space="preserve">Identifier - excluded</t>
  </si>
  <si>
    <t xml:space="preserve">policy_id</t>
  </si>
  <si>
    <t xml:space="preserve">Policy key (constant across years)</t>
  </si>
  <si>
    <t xml:space="preserve">Identifier; used to build history and holdouts</t>
  </si>
  <si>
    <t xml:space="preserve">customer_id</t>
  </si>
  <si>
    <t xml:space="preserve">Customer key (leading zeros fixed)</t>
  </si>
  <si>
    <t xml:space="preserve">Identifier; used for cross-line history</t>
  </si>
  <si>
    <t xml:space="preserve">address_id</t>
  </si>
  <si>
    <t xml:space="preserve">Address key</t>
  </si>
  <si>
    <t xml:space="preserve">Join key to addresses/weather</t>
  </si>
  <si>
    <t xml:space="preserve">period_start / period_end</t>
  </si>
  <si>
    <t xml:space="preserve">Cover dates</t>
  </si>
  <si>
    <t xml:space="preserve">Exposure, IBNR share, start_month</t>
  </si>
  <si>
    <t xml:space="preserve">Raw dates excluded</t>
  </si>
  <si>
    <t xml:space="preserve">exposure</t>
  </si>
  <si>
    <t xml:space="preserve">Years on cover (recomputed)</t>
  </si>
  <si>
    <t xml:space="preserve">Frequency volume</t>
  </si>
  <si>
    <t xml:space="preserve">Volume, not a feature</t>
  </si>
  <si>
    <t xml:space="preserve">renewal_decision</t>
  </si>
  <si>
    <t xml:space="preserve">train only</t>
  </si>
  <si>
    <t xml:space="preserve">Row outcome</t>
  </si>
  <si>
    <t xml:space="preserve">LEAKAGE</t>
  </si>
  <si>
    <t xml:space="preserve">Dropped in 2_clean</t>
  </si>
  <si>
    <t xml:space="preserve">customer_service_contacts</t>
  </si>
  <si>
    <t xml:space="preserve">Service contacts</t>
  </si>
  <si>
    <t xml:space="preserve">Excluded in 0_setup</t>
  </si>
  <si>
    <t xml:space="preserve">surname</t>
  </si>
  <si>
    <t xml:space="preserve">Anonymised surname</t>
  </si>
  <si>
    <t xml:space="preserve">Dropped (possible ethnicity proxy)</t>
  </si>
  <si>
    <t xml:space="preserve">date_of_birth</t>
  </si>
  <si>
    <t xml:space="preserve">DOB</t>
  </si>
  <si>
    <t xml:space="preserve">Becomes customer_age</t>
  </si>
  <si>
    <t xml:space="preserve">Raw date dropped</t>
  </si>
  <si>
    <t xml:space="preserve">claim_id</t>
  </si>
  <si>
    <t xml:space="preserve">claims</t>
  </si>
  <si>
    <t xml:space="preserve">Claim key</t>
  </si>
  <si>
    <t xml:space="preserve">Peril</t>
  </si>
  <si>
    <t xml:space="preserve">Splits targets into per-peril models</t>
  </si>
  <si>
    <t xml:space="preserve">loss_date</t>
  </si>
  <si>
    <t xml:space="preserve">Date of loss</t>
  </si>
  <si>
    <t xml:space="preserve">Matches claim to row; trend year; history</t>
  </si>
  <si>
    <t xml:space="preserve">report_date</t>
  </si>
  <si>
    <t xml:space="preserve">Date reported</t>
  </si>
  <si>
    <t xml:space="preserve">Report lag -&gt; IBNR share; history 'known at renewal'</t>
  </si>
  <si>
    <t xml:space="preserve">closed/open/repudiated</t>
  </si>
  <si>
    <t xml:space="preserve">Repudiated excluded; open kept at incurred</t>
  </si>
  <si>
    <t xml:space="preserve">paid_to_date</t>
  </si>
  <si>
    <t xml:space="preserve">Paid, net of excess</t>
  </si>
  <si>
    <t xml:space="preserve">Not used directly (incurred includes it)</t>
  </si>
  <si>
    <t xml:space="preserve">incurred_to_date</t>
  </si>
  <si>
    <t xml:space="preserve">Paid + case reserve</t>
  </si>
  <si>
    <t xml:space="preserve">Claim cost basis</t>
  </si>
  <si>
    <t xml:space="preserve">recoveries</t>
  </si>
  <si>
    <t xml:space="preserve">Third-party / salvage recoveries</t>
  </si>
  <si>
    <t xml:space="preserve">Deducted (target is net of recoveries)</t>
  </si>
  <si>
    <t xml:space="preserve">repairer_id / third_party_id</t>
  </si>
  <si>
    <t xml:space="preserve">Motor claim parties</t>
  </si>
  <si>
    <t xml:space="preserve">Not known for test rows</t>
  </si>
  <si>
    <t xml:space="preserve">Excluded</t>
  </si>
  <si>
    <t xml:space="preserve">LEAKAGE - rises after a claim</t>
  </si>
  <si>
    <t xml:space="preserve">Excluded in 0_setup (leakage)</t>
  </si>
  <si>
    <t xml:space="preserve">ibnr_method</t>
  </si>
  <si>
    <t xml:space="preserve">report_share</t>
  </si>
  <si>
    <t xml:space="preserve">WENDY 7: report_share (A0, mid-date ECDF) | report_share_days (A1) | chain_ladder (A2, count triangle). Env IBNR_METHOD overrides.</t>
  </si>
  <si>
    <t xml:space="preserve">chain_ladder</t>
  </si>
  <si>
    <t xml:space="preserve">WENDY 7: reported-count chain ladder per peril (loss quarter x development quarter, 2021-24 losses).</t>
  </si>
  <si>
    <t xml:space="preserve">ibnr_override</t>
  </si>
  <si>
    <t xml:space="preserve">buildings/subsidence=report_share_days</t>
  </si>
  <si>
    <t xml:space="preserve">Per-peril IBNR method: subsidence uses the lag ECDF averaged over the row's days (sparse triangle).</t>
  </si>
  <si>
    <t xml:space="preserve">bags</t>
  </si>
  <si>
    <t xml:space="preserve">WENDY 7: each xgboost component = mean of 5 boosters (own policy holdout, seed SEED + b); bag 1 = WENDY 4 fit.</t>
  </si>
  <si>
    <t xml:space="preserve">method_mix</t>
  </si>
  <si>
    <t xml:space="preserve">sheet</t>
  </si>
  <si>
    <t xml:space="preserve">WENDY 7: freq_sev / tweedie per peril read from sheet Method_Mix (environment METHOD_MIX overrides).</t>
  </si>
  <si>
    <t xml:space="preserve">method</t>
  </si>
  <si>
    <t xml:space="preserve">wendy04_method</t>
  </si>
  <si>
    <t xml:space="preserve">freq_sev</t>
  </si>
  <si>
    <t xml:space="preserve">WENDY 4 pick (mean developed D2 over 2023-24)</t>
  </si>
  <si>
    <t xml:space="preserve">tweedie</t>
  </si>
  <si>
    <t xml:space="preserve">Peril lab: freq_sev beats Tweedie by +0.0005 ALL (2023 +0.00059 / 2024 +0.00043 / 2022 +0.00001)</t>
  </si>
  <si>
    <t xml:space="preserve">WENDY 7 - final2 (on hold, not submitted): actuarial assumptions and feature map</t>
  </si>
  <si>
    <t xml:space="preserve">This version</t>
  </si>
  <si>
    <t xml:space="preserve">Model run 'c5' of R/4_models_iterwendy07.R (models/wendy_iteration_07/c5/). All its changes are baked into the input sheets; sheet Changes_vs_WENDY4 lists each one with its reason and measured effect.</t>
  </si>
  <si>
    <t xml:space="preserve">How to run</t>
  </si>
  <si>
    <t xml:space="preserve">ASSUMPTIONS_XLSX=docs/assumptions_wendy07_final2.xlsx FINAL_FIT=1 FINAL_METHODS=all RUN_TAG=&lt;tag&gt; Rscript R/4_models_iterwendy07.R (no FEATURE_EDITS / SPEC_EDITS / IBNR_* / BAGS / METHOD_MIX needed). Then R/4_final_wendy07.R blends with SAM 3.</t>
  </si>
  <si>
    <t xml:space="preserve">Changes vs WENDY 4</t>
  </si>
  <si>
    <t xml:space="preserve">See sheet Changes_vs_WENDY4. Full reasoning per step: docs/wendy07_experiment_log.md; every try: docs/wendy07_experiment_register.xlsx.</t>
  </si>
  <si>
    <t xml:space="preserve">Orange cells</t>
  </si>
  <si>
    <t xml:space="preserve">Cells changed from the WENDY 4 workbook (feature codes, Model_Spec, Settings).</t>
  </si>
  <si>
    <t xml:space="preserve">Line blend</t>
  </si>
  <si>
    <t xml:space="preserve">The submitted prediction is a per-line blend with SAM 3 (sheet SAM3_Blend); this workbook drives the WENDY 7 part.</t>
  </si>
  <si>
    <t xml:space="preserve">Submission file</t>
  </si>
  <si>
    <t xml:space="preserve">output/submission/submission_20261022_2328_wendy07_final2.csv (MD5 99135ba796a021c92c186e3e7bf71d3f)</t>
  </si>
  <si>
    <t xml:space="preserve">--- WENDY 4 notes (still valid unless changed above) ---</t>
  </si>
  <si>
    <t xml:space="preserve">area</t>
  </si>
  <si>
    <t xml:space="preserve">item</t>
  </si>
  <si>
    <t xml:space="preserve">wendy04_value</t>
  </si>
  <si>
    <t xml:space="preserve">this_model</t>
  </si>
  <si>
    <t xml:space="preserve">reason_and_evidence</t>
  </si>
  <si>
    <t xml:space="preserve">Features</t>
  </si>
  <si>
    <t xml:space="preserve">Excess removes small claims and slices every claim: frequency and severity of every peril (B6: ALL +0.0010, 100% of bootstrap draws; BI Tweedie +0.0055, fire +0.0053, flood +0.002).</t>
  </si>
  <si>
    <t xml:space="preserve">Peril lab: admin fields have no flood mechanism; drop gained +0.00005 (2023 0.00000 / 2024 +0.00010 / 2022 -0.00008).</t>
  </si>
  <si>
    <t xml:space="preserve">Dropped together with days_quote_to_inception (lab variant drop_admin).</t>
  </si>
  <si>
    <t xml:space="preserve">Peril lab: realised weather adds noise to third-party property; drop gained +0.00036 (2023 +0.00064 / 2024 +0.00008 / 2022 +0.00012).</t>
  </si>
  <si>
    <t xml:space="preserve">Dropped together with freezing_days (lab variant drop_weather).</t>
  </si>
  <si>
    <t xml:space="preserve">Model_Spec</t>
  </si>
  <si>
    <t xml:space="preserve">BI trend fitted on immature cost read IBNER as a decline (-2.7%/yr freq, -2%/yr sev) -&gt; 2025 BI burn 177 below every year; held at recent level (200). Local -0.0006 (within noise), chosen on actuarial grounds.</t>
  </si>
  <si>
    <t xml:space="preserve">Peril lab: GLM severity steadier than GBM; +0.00008 (2023 +0.00005 / 2024 +0.00012 / 2022 0.00000).</t>
  </si>
  <si>
    <t xml:space="preserve">15</t>
  </si>
  <si>
    <t xml:space="preserve">Peril lab: finer leaves for sparse fire frequency; +0.00007 (2023 -0.00004 / 2024 +0.00018 / 2022 -0.00003).</t>
  </si>
  <si>
    <t xml:space="preserve">Peril lab: GLM severity; +0.00007 (2023 +0.00007 / 2024 +0.00008 / 2022 +0.00014).</t>
  </si>
  <si>
    <t xml:space="preserve">Peril lab: GLM severity; +0.00008 (2023 +0.00015 / 2024 +0.00001 / 2022 +0.00001).</t>
  </si>
  <si>
    <t xml:space="preserve">Settings</t>
  </si>
  <si>
    <t xml:space="preserve">all</t>
  </si>
  <si>
    <t xml:space="preserve">One-year-ahead backtest (value at 31 Dec 2023, compare with 31 Dec 2024): latest loss year projected/actual 0.999 vs 0.971 for the WENDY 4 mid-date ECDF.</t>
  </si>
  <si>
    <t xml:space="preserve">(not set)</t>
  </si>
  <si>
    <t xml:space="preserve">Backtest subsidence: chain ladder 1.12 (sparse, volatile), ECDF over days 1.06.</t>
  </si>
  <si>
    <t xml:space="preserve">Averages away fit-to-fit noise (single-fit per-peril noise ~0.0005); buildings +0.0007, contents +0.0004.</t>
  </si>
  <si>
    <t xml:space="preserve">Fixed mix (no per-run re-selection) so a run changes only what it is meant to change.</t>
  </si>
  <si>
    <t xml:space="preserve">Method_Mix</t>
  </si>
  <si>
    <t xml:space="preserve">feature</t>
  </si>
  <si>
    <t xml:space="preserve">code</t>
  </si>
  <si>
    <t xml:space="preserve">part</t>
  </si>
  <si>
    <t xml:space="preserve">used_by_method</t>
  </si>
  <si>
    <t xml:space="preserve">severity only</t>
  </si>
  <si>
    <t xml:space="preserve">freq x sev: F/B in frequency, S/B in severity</t>
  </si>
  <si>
    <t xml:space="preserve">frequency only</t>
  </si>
  <si>
    <t xml:space="preserve">frequency + severity</t>
  </si>
  <si>
    <t xml:space="preserve">Tweedie GBM: uses every code (F, S, B) in one model</t>
  </si>
  <si>
    <t xml:space="preserve">buildings accidental_damage</t>
  </si>
  <si>
    <t xml:space="preserve">buildings escape_of_water</t>
  </si>
  <si>
    <t xml:space="preserve">buildings fire</t>
  </si>
  <si>
    <t xml:space="preserve">buildings flood</t>
  </si>
  <si>
    <t xml:space="preserve">buildings storm</t>
  </si>
  <si>
    <t xml:space="preserve">buildings subsidence</t>
  </si>
  <si>
    <t xml:space="preserve">contents accidental_damage</t>
  </si>
  <si>
    <t xml:space="preserve">contents escape_of_water</t>
  </si>
  <si>
    <t xml:space="preserve">contents flood</t>
  </si>
  <si>
    <t xml:space="preserve">contents theft</t>
  </si>
  <si>
    <t xml:space="preserve">motor bodily_injury</t>
  </si>
  <si>
    <t xml:space="preserve">motor glass_hail</t>
  </si>
  <si>
    <t xml:space="preserve">motor own_damage</t>
  </si>
  <si>
    <t xml:space="preserve">motor theft</t>
  </si>
  <si>
    <t xml:space="preserve">motor third_party_prop</t>
  </si>
  <si>
    <t xml:space="preserve">policy_year</t>
  </si>
  <si>
    <t xml:space="preserve">reported_share_wendy4</t>
  </si>
  <si>
    <t xml:space="preserve">reported_share_this_model</t>
  </si>
  <si>
    <t xml:space="preserve">ibnr_factor</t>
  </si>
  <si>
    <t xml:space="preserve">ratio_to_wendy4</t>
  </si>
  <si>
    <t xml:space="preserve">loss_quarter</t>
  </si>
  <si>
    <t xml:space="preserve">dev_quarter_latest</t>
  </si>
  <si>
    <t xml:space="preserve">reported</t>
  </si>
  <si>
    <t xml:space="preserve">cdf_to_ult</t>
  </si>
  <si>
    <t xml:space="preserve">share</t>
  </si>
  <si>
    <t xml:space="preserve">dev_k</t>
  </si>
  <si>
    <t xml:space="preserve">age_to_age_k_to_k1</t>
  </si>
  <si>
    <t xml:space="preserve">model</t>
  </si>
  <si>
    <t xml:space="preserve">basis</t>
  </si>
  <si>
    <t xml:space="preserve">2023</t>
  </si>
  <si>
    <t xml:space="preserve">2024</t>
  </si>
  <si>
    <t xml:space="preserve">mean_2023_24</t>
  </si>
  <si>
    <t xml:space="preserve">SAM 3 (rerun)</t>
  </si>
  <si>
    <t xml:space="preserve">developed</t>
  </si>
  <si>
    <t xml:space="preserve">ALL</t>
  </si>
  <si>
    <t xml:space="preserve">reported_adj</t>
  </si>
  <si>
    <t xml:space="preserve">reported_raw</t>
  </si>
  <si>
    <t xml:space="preserve">WENDY 7 c5 alone</t>
  </si>
  <si>
    <t xml:space="preserve">blend with SAM 3 (submitted form)</t>
  </si>
  <si>
    <t xml:space="preserve">developed_2023</t>
  </si>
  <si>
    <t xml:space="preserve">developed_2024</t>
  </si>
  <si>
    <t xml:space="preserve">reported_adj_2023</t>
  </si>
  <si>
    <t xml:space="preserve">reported_adj_2024</t>
  </si>
  <si>
    <t xml:space="preserve">reported_raw_2023</t>
  </si>
  <si>
    <t xml:space="preserve">reported_raw_2024</t>
  </si>
  <si>
    <t xml:space="preserve">weight_wendy07</t>
  </si>
  <si>
    <t xml:space="preserve">weight_sam03</t>
  </si>
  <si>
    <t xml:space="preserve">d2_wendy07</t>
  </si>
  <si>
    <t xml:space="preserve">d2_sam03</t>
  </si>
  <si>
    <t xml:space="preserve">d2_blend</t>
  </si>
  <si>
    <t xml:space="preserve">crossfold_gain_vs_wendy07</t>
  </si>
  <si>
    <t xml:space="preserve">rule</t>
  </si>
  <si>
    <t xml:space="preserve">1e-04 / 1e-04</t>
  </si>
  <si>
    <t xml:space="preserve">weight on grid 0.1 maximising mean 2023-24 reported_raw D2; cross-fold = chosen on one fold, scored on the other</t>
  </si>
  <si>
    <t xml:space="preserve">0.00108 / 0.00038</t>
  </si>
  <si>
    <t xml:space="preserve">0.00082 / 0.00051</t>
  </si>
  <si>
    <t xml:space="preserve">level</t>
  </si>
  <si>
    <t xml:space="preserve">predicted_total</t>
  </si>
  <si>
    <t xml:space="preserve">predicted_burn</t>
  </si>
  <si>
    <t xml:space="preserve">peril (WENDY 7 part)</t>
  </si>
  <si>
    <t xml:space="preserve">line (WENDY 7 part)</t>
  </si>
  <si>
    <t xml:space="preserve">freq_features</t>
  </si>
  <si>
    <t xml:space="preserve">sev_features</t>
  </si>
  <si>
    <t xml:space="preserve">all_features</t>
  </si>
  <si>
    <t xml:space="preserve">driver_age_band</t>
  </si>
  <si>
    <t xml:space="preserve">-1</t>
  </si>
  <si>
    <t xml:space="preserve">1</t>
  </si>
  <si>
    <t xml:space="preserve">Week 2: not shared by both markets or excluded. Self-selection of careful drivers</t>
  </si>
  <si>
    <t xml:space="preserve">Week 2: not shared by both markets or excluded. Observed behaviour; NA if not opted in (direction of scale not documented, so no constraint)</t>
  </si>
  <si>
    <t xml:space="preserve">Week 2: not shared by both markets or excluded. Same mechanism as voluntary excess</t>
  </si>
  <si>
    <t xml:space="preserve">Week 2: not shared by both markets or excluded. Claims propensity; regulatory guardrail</t>
  </si>
  <si>
    <t xml:space="preserve">Week 2: not shared by both markets or excluded. Geography: repair costs, claims culture, crime</t>
  </si>
  <si>
    <t xml:space="preserve">policyholder_age_band</t>
  </si>
  <si>
    <t xml:space="preserve">Week 2: not shared by both markets or excluded. Applied per claim</t>
  </si>
  <si>
    <t xml:space="preserve">Week 2: not shared by both markets or excluded. Maintenance proxy; guardrail</t>
  </si>
  <si>
    <t xml:space="preserve">Week 2: not shared by both markets or excluded. Geography, rebuild cost</t>
  </si>
  <si>
    <t xml:space="preserve">Week 2: not shared by both markets or excluded. Claims propensity; guardrail</t>
  </si>
  <si>
    <t xml:space="preserve">Week 2: not shared by both markets or excluded. Geography</t>
  </si>
  <si>
    <t xml:space="preserve">edit</t>
  </si>
  <si>
    <t xml:space="preserve">Features_Motor</t>
  </si>
  <si>
    <t xml:space="preserve">renamed to driver_age_band (category, no monotone constraint)</t>
  </si>
  <si>
    <t xml:space="preserve">use Y -&gt; N (not shared / excluded)</t>
  </si>
  <si>
    <t xml:space="preserve">Features_Buildings</t>
  </si>
  <si>
    <t xml:space="preserve">renamed to policyholder_age_band (category, no monotone constraint)</t>
  </si>
  <si>
    <t xml:space="preserve">Features_Contents</t>
  </si>
  <si>
    <t xml:space="preserve">5 -&gt; 1</t>
  </si>
  <si>
    <t xml:space="preserve">auto -&gt; freq_sev</t>
  </si>
  <si>
    <t xml:space="preserve">sheet -&gt;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</si>
</sst>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color theme="1"/>
      <name val="Arial"/>
    </font>
    <font>
      <sz val="10"/>
      <color rgb="FF1F3864"/>
      <name val="Arial"/>
      <b/>
    </font>
    <font>
      <sz val="14"/>
      <color rgb="FF1F3864"/>
      <name val="Arial"/>
      <b/>
    </font>
    <font>
      <sz val="10"/>
      <color theme="1"/>
      <name val="Arial"/>
      <b/>
    </font>
    <font>
      <sz val="10"/>
      <color rgb="FFFFFFFF"/>
      <name val="Arial"/>
      <b/>
    </font>
    <font>
      <sz val="10"/>
      <color rgb="FF000000"/>
      <name val="Arial"/>
    </font>
    <font>
      <sz val="10"/>
      <color rgb="FF008000"/>
      <name val="Arial"/>
    </font>
    <font>
      <sz val="10"/>
      <color rgb="FF0000FF"/>
      <name val="Arial"/>
    </font>
    <font>
      <sz val="11"/>
      <color rgb="FF1F3864"/>
      <name val="Calibri"/>
      <b/>
    </font>
    <font>
      <sz val="11"/>
      <color theme="1"/>
      <name val="Calibri"/>
      <b/>
    </font>
    <font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4B183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FFF2CC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1" fillId="0" borderId="0" xfId="0" applyFont="1" applyNumberFormat="1" applyAlignment="1" applyProtection="1">
      <alignment textRotation="0" horizontal="general" vertical="top" indent="0" wrapText="1"/>
      <protection hidden="0" locked="0"/>
    </xf>
    <xf numFmtId="164" fontId="2" fillId="2" borderId="0" xfId="0" applyFont="1" applyNumberFormat="1" applyFill="1" applyAlignment="1" applyProtection="1">
      <alignment textRotation="0" horizontal="general" vertical="top" indent="0" wrapText="1"/>
      <protection hidden="0" locked="0"/>
    </xf>
    <xf numFmtId="164" fontId="3" fillId="2" borderId="0" xfId="0" applyFont="1" applyNumberFormat="1" applyFill="1" applyAlignment="1" applyProtection="1">
      <alignment textRotation="0" horizontal="general" vertical="top" indent="0" wrapText="1"/>
      <protection hidden="0" locked="0"/>
    </xf>
    <xf numFmtId="164" fontId="4" fillId="0" borderId="0" xfId="0" applyFont="1" applyNumberFormat="1" applyAlignment="1" applyProtection="1">
      <alignment textRotation="0" horizontal="general" vertical="top" indent="0" wrapText="1"/>
      <protection hidden="0" locked="0"/>
    </xf>
    <xf numFmtId="164" fontId="5" fillId="3" borderId="0" xfId="0" applyFont="1" applyNumberFormat="1" applyFill="1" applyAlignment="1" applyProtection="1">
      <alignment textRotation="0" horizontal="general" vertical="center" indent="0" wrapText="1"/>
      <protection hidden="0" locked="0"/>
    </xf>
    <xf numFmtId="165" fontId="6" fillId="0" borderId="0" xfId="0" applyFont="1" applyNumberFormat="1" applyAlignment="1" applyProtection="1">
      <alignment textRotation="0" horizontal="general" vertical="top" indent="0" wrapText="1"/>
      <protection hidden="0" locked="0"/>
    </xf>
    <xf numFmtId="164" fontId="7" fillId="0" borderId="0" xfId="0" applyFont="1" applyNumberFormat="1" applyAlignment="1" applyProtection="1">
      <alignment textRotation="0" horizontal="general" vertical="top" indent="0" wrapText="1"/>
      <protection hidden="0" locked="0"/>
    </xf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2" fillId="2" borderId="0" xfId="0" applyFont="1" applyNumberFormat="1" applyFill="1" applyAlignment="1" applyProtection="1">
      <alignment textRotation="0" horizontal="center" vertical="top" indent="0"/>
      <protection hidden="0" locked="0"/>
    </xf>
    <xf numFmtId="164" fontId="8" fillId="4" borderId="0" xfId="0" applyFont="1" applyNumberFormat="1" applyFill="1" applyAlignment="1" applyProtection="1">
      <alignment textRotation="0" horizontal="general" vertical="top" indent="0" wrapText="1"/>
      <protection hidden="0" locked="0"/>
    </xf>
    <xf numFmtId="164" fontId="8" fillId="4" borderId="0" xfId="0" applyFont="1" applyNumberFormat="1" applyFill="1" applyAlignment="1" applyProtection="1">
      <alignment textRotation="0" horizontal="center" vertical="top" indent="0"/>
      <protection hidden="0" locked="0"/>
    </xf>
    <xf numFmtId="164" fontId="1" fillId="5" borderId="0" xfId="0" applyFont="1" applyNumberFormat="1" applyFill="1" applyAlignment="1" applyProtection="1">
      <alignment textRotation="0" horizontal="general" vertical="top" indent="0" wrapText="1"/>
      <protection hidden="0" locked="0"/>
    </xf>
    <xf numFmtId="164" fontId="4" fillId="0" borderId="0" xfId="0" applyFont="1" applyNumberFormat="1" applyAlignment="1" applyProtection="1">
      <alignment textRotation="0" horizontal="general" vertical="bottom" indent="0"/>
      <protection hidden="0" locked="0"/>
    </xf>
    <xf numFmtId="0" fontId="9" fillId="2" borderId="0" xfId="0" applyFont="1" applyFill="1"/>
    <xf numFmtId="164" fontId="7" fillId="0" borderId="0" xfId="0" applyFont="1" applyNumberFormat="1" applyAlignment="1" applyProtection="1">
      <alignment textRotation="0" horizontal="center" vertical="top" indent="0"/>
      <protection hidden="0" locked="0"/>
    </xf>
    <xf numFmtId="0" fontId="10" fillId="6" borderId="0" xfId="0" applyFont="1" applyFill="1"/>
    <xf numFmtId="14" fontId="11" fillId="0" borderId="0" xfId="0" applyFont="1" applyNumberFormat="1"/>
  </cellXfs>
  <cellStyles count="1">
    <cellStyle name="Normal" xfId="0" builtinId="0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0" baseColWidth="10" outlineLevelCol="0"/>
  <cols>
    <col min="1" max="1" width="26" hidden="false" outlineLevel="0" customWidth="1"/>
    <col min="2" max="2" width="110" hidden="false" outlineLevel="0" customWidth="1"/>
  </cols>
  <sheetData>
    <row r="1" ht="48.5" customHeight="1">
      <c r="A1" s="3" t="s">
        <v>811</v>
      </c>
      <c r="B1" s="2"/>
    </row>
    <row r="2" ht="35.05" customHeight="1">
      <c r="A2" s="2" t="s">
        <v>812</v>
      </c>
      <c r="B2" s="2" t="s">
        <v>813</v>
      </c>
    </row>
    <row r="3" ht="15" customHeight="1">
      <c r="A3" s="2" t="s">
        <v>814</v>
      </c>
      <c r="B3" s="2" t="s">
        <v>815</v>
      </c>
    </row>
    <row r="4" ht="15" customHeight="1">
      <c r="A4" s="2" t="s">
        <v>816</v>
      </c>
      <c r="B4" s="2" t="s">
        <v>817</v>
      </c>
    </row>
    <row r="5" ht="23.85" customHeight="1">
      <c r="A5" s="2" t="s">
        <v>818</v>
      </c>
      <c r="B5" s="2" t="s">
        <v>819</v>
      </c>
    </row>
    <row r="6" ht="23.85" customHeight="1">
      <c r="A6" s="2" t="s">
        <v>820</v>
      </c>
      <c r="B6" s="2" t="s">
        <v>821</v>
      </c>
    </row>
    <row r="7" ht="15" customHeight="1">
      <c r="A7" s="2" t="s">
        <v>822</v>
      </c>
      <c r="B7" s="2" t="s">
        <v>823</v>
      </c>
    </row>
    <row r="8" ht="35.05" customHeight="1">
      <c r="A8" s="4" t="s">
        <v>13</v>
      </c>
      <c r="B8" s="1" t="s">
        <v>14</v>
      </c>
    </row>
    <row r="9" ht="23.85" customHeight="1">
      <c r="A9" s="4" t="s">
        <v>824</v>
      </c>
      <c r="B9" s="1"/>
    </row>
    <row r="10" ht="23.85" customHeight="1">
      <c r="A10" s="4" t="s">
        <v>1</v>
      </c>
      <c r="B10" s="1" t="s">
        <v>2</v>
      </c>
    </row>
    <row r="11" ht="46.25" customHeight="1">
      <c r="A11" s="4" t="s">
        <v>3</v>
      </c>
      <c r="B11" s="1" t="s">
        <v>4</v>
      </c>
    </row>
    <row r="12" ht="23.85" customHeight="1">
      <c r="A12" s="4" t="s">
        <v>5</v>
      </c>
      <c r="B12" s="1" t="s">
        <v>6</v>
      </c>
    </row>
    <row r="13">
      <c r="A13" t="s">
        <v>7</v>
      </c>
      <c r="B13" t="s">
        <v>8</v>
      </c>
    </row>
    <row r="14">
      <c r="A14" t="s">
        <v>9</v>
      </c>
      <c r="B14" t="s">
        <v>10</v>
      </c>
    </row>
    <row r="15">
      <c r="A15" t="s">
        <v>11</v>
      </c>
      <c r="B15" t="s">
        <v>12</v>
      </c>
    </row>
    <row r="16">
      <c r="A16" t="s">
        <v>13</v>
      </c>
      <c r="B16" t="s">
        <v>14</v>
      </c>
    </row>
    <row r="17">
      <c r="A17" t="s">
        <v>15</v>
      </c>
      <c r="B17" t="s">
        <v>16</v>
      </c>
    </row>
    <row r="18">
      <c r="A18" t="s">
        <v>17</v>
      </c>
      <c r="B18" t="s">
        <v>18</v>
      </c>
    </row>
    <row r="19">
      <c r="A19" t="s">
        <v>19</v>
      </c>
      <c r="B19" t="s">
        <v>20</v>
      </c>
    </row>
    <row r="20">
      <c r="A20" t="s">
        <v>21</v>
      </c>
      <c r="B20" t="s">
        <v>22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11" hidden="false" outlineLevel="0" customWidth="1"/>
    <col min="2" max="2" width="18" hidden="false" outlineLevel="0" customWidth="1"/>
    <col min="3" max="3" width="14" hidden="false" outlineLevel="0" customWidth="1"/>
    <col min="4" max="4" width="14" hidden="false" outlineLevel="0" customWidth="1"/>
    <col min="5" max="5" width="12" hidden="false" outlineLevel="0" customWidth="1"/>
    <col min="6" max="6" width="10" hidden="false" outlineLevel="0" customWidth="1"/>
    <col min="7" max="7" width="60" hidden="false" outlineLevel="0" customWidth="1"/>
  </cols>
  <sheetData>
    <row r="1" ht="30" customHeight="1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</row>
    <row r="2" ht="15" customHeight="1">
      <c r="A2" s="1" t="s">
        <v>30</v>
      </c>
      <c r="B2" s="1" t="s">
        <v>31</v>
      </c>
      <c r="C2" s="6" t="n">
        <f aca="false">COUNTIFS(Features_Motor!$G:$G,"Y",Features_Motor!J:J,"F")+COUNTIFS(Features_Motor!$G:$G,"Y",Features_Motor!J:J,"B")</f>
        <v>38</v>
      </c>
      <c r="D2" s="6" t="n">
        <f aca="false">COUNTIFS(Features_Motor!$G:$G,"Y",Features_Motor!J:J,"S")+COUNTIFS(Features_Motor!$G:$G,"Y",Features_Motor!J:J,"B")</f>
        <v>11</v>
      </c>
      <c r="E2" s="7" t="str">
        <f aca="false">Model_Spec!D2</f>
        <v>gamma_gbm</v>
      </c>
      <c r="F2" s="7" t="n">
        <f aca="false">Model_Spec!F2</f>
        <v>0.999</v>
      </c>
      <c r="G2" s="7" t="str">
        <f aca="false">Model_Spec!Q2</f>
        <v>~49k claims: data-rich, GBM for both parts.</v>
      </c>
    </row>
    <row r="3" ht="15" customHeight="1">
      <c r="A3" s="1" t="s">
        <v>30</v>
      </c>
      <c r="B3" s="1" t="s">
        <v>32</v>
      </c>
      <c r="C3" s="6" t="n">
        <f aca="false">COUNTIFS(Features_Motor!$G:$G,"Y",Features_Motor!K:K,"F")+COUNTIFS(Features_Motor!$G:$G,"Y",Features_Motor!K:K,"B")</f>
        <v>33</v>
      </c>
      <c r="D3" s="6" t="n">
        <f aca="false">COUNTIFS(Features_Motor!$G:$G,"Y",Features_Motor!K:K,"S")+COUNTIFS(Features_Motor!$G:$G,"Y",Features_Motor!K:K,"B")</f>
        <v>5</v>
      </c>
      <c r="E3" s="7" t="str">
        <f aca="false">Model_Spec!D3</f>
        <v>gamma_gbm</v>
      </c>
      <c r="F3" s="7" t="n">
        <f aca="false">Model_Spec!F3</f>
        <v>0.999</v>
      </c>
      <c r="G3" s="7" t="str">
        <f aca="false">Model_Spec!Q3</f>
        <v>~34k claims: data-rich.</v>
      </c>
    </row>
    <row r="4" ht="35.05" customHeight="1">
      <c r="A4" s="1" t="s">
        <v>30</v>
      </c>
      <c r="B4" s="1" t="s">
        <v>33</v>
      </c>
      <c r="C4" s="6" t="n">
        <f aca="false">COUNTIFS(Features_Motor!$G:$G,"Y",Features_Motor!L:L,"F")+COUNTIFS(Features_Motor!$G:$G,"Y",Features_Motor!L:L,"B")</f>
        <v>17</v>
      </c>
      <c r="D4" s="6" t="n">
        <f aca="false">COUNTIFS(Features_Motor!$G:$G,"Y",Features_Motor!L:L,"S")+COUNTIFS(Features_Motor!$G:$G,"Y",Features_Motor!L:L,"B")</f>
        <v>4</v>
      </c>
      <c r="E4" s="7" t="str">
        <f aca="false">Model_Spec!D4</f>
        <v>gamma_glm</v>
      </c>
      <c r="F4" s="7" t="n">
        <f aca="false">Model_Spec!F4</f>
        <v>0.995</v>
      </c>
      <c r="G4" s="7" t="str">
        <f aca="false">Model_Spec!Q4</f>
        <v>~7.6k claims, long tail (median report lag ~127 days), 2024 immature: Poisson GBM frequency + Gamma GLM severity on few factors; latest year left out of severity fit.</v>
      </c>
    </row>
    <row r="5" ht="15" customHeight="1">
      <c r="A5" s="1" t="s">
        <v>30</v>
      </c>
      <c r="B5" s="1" t="s">
        <v>34</v>
      </c>
      <c r="C5" s="6" t="n">
        <f aca="false">COUNTIFS(Features_Motor!$G:$G,"Y",Features_Motor!M:M,"F")+COUNTIFS(Features_Motor!$G:$G,"Y",Features_Motor!M:M,"B")</f>
        <v>21</v>
      </c>
      <c r="D5" s="6" t="n">
        <f aca="false">COUNTIFS(Features_Motor!$G:$G,"Y",Features_Motor!M:M,"S")+COUNTIFS(Features_Motor!$G:$G,"Y",Features_Motor!M:M,"B")</f>
        <v>9</v>
      </c>
      <c r="E5" s="7" t="str">
        <f aca="false">Model_Spec!D5</f>
        <v>gamma_gbm</v>
      </c>
      <c r="F5" s="7" t="n">
        <f aca="false">Model_Spec!F5</f>
        <v>0.999</v>
      </c>
      <c r="G5" s="7" t="str">
        <f aca="false">Model_Spec!Q5</f>
        <v>~6.5k claims; recoveries matter.</v>
      </c>
    </row>
    <row r="6" ht="15" customHeight="1">
      <c r="A6" s="1" t="s">
        <v>30</v>
      </c>
      <c r="B6" s="1" t="s">
        <v>35</v>
      </c>
      <c r="C6" s="6" t="n">
        <f aca="false">COUNTIFS(Features_Motor!$G:$G,"Y",Features_Motor!N:N,"F")+COUNTIFS(Features_Motor!$G:$G,"Y",Features_Motor!N:N,"B")</f>
        <v>16</v>
      </c>
      <c r="D6" s="6" t="n">
        <f aca="false">COUNTIFS(Features_Motor!$G:$G,"Y",Features_Motor!N:N,"S")+COUNTIFS(Features_Motor!$G:$G,"Y",Features_Motor!N:N,"B")</f>
        <v>9</v>
      </c>
      <c r="E6" s="7" t="str">
        <f aca="false">Model_Spec!D6</f>
        <v>gamma_gbm</v>
      </c>
      <c r="F6" s="7" t="n">
        <f aca="false">Model_Spec!F6</f>
        <v>0.999</v>
      </c>
      <c r="G6" s="7" t="str">
        <f aca="false">Model_Spec!Q6</f>
        <v>Weather-driven: no frequency trend.</v>
      </c>
    </row>
    <row r="7" ht="15" customHeight="1">
      <c r="A7" s="1" t="s">
        <v>36</v>
      </c>
      <c r="B7" s="1" t="s">
        <v>37</v>
      </c>
      <c r="C7" s="6" t="n">
        <f aca="false">COUNTIFS(Features_Buildings!$G:$G,"Y",Features_Buildings!J:J,"F")+COUNTIFS(Features_Buildings!$G:$G,"Y",Features_Buildings!J:J,"B")</f>
        <v>17</v>
      </c>
      <c r="D7" s="6" t="n">
        <f aca="false">COUNTIFS(Features_Buildings!$G:$G,"Y",Features_Buildings!J:J,"S")+COUNTIFS(Features_Buildings!$G:$G,"Y",Features_Buildings!J:J,"B")</f>
        <v>11</v>
      </c>
      <c r="E7" s="7" t="str">
        <f aca="false">Model_Spec!D7</f>
        <v>gamma_gbm</v>
      </c>
      <c r="F7" s="7" t="n">
        <f aca="false">Model_Spec!F7</f>
        <v>0.999</v>
      </c>
      <c r="G7" s="7" t="str">
        <f aca="false">Model_Spec!Q7</f>
        <v>~7.8k claims; weather-driven.</v>
      </c>
    </row>
    <row r="8" ht="15" customHeight="1">
      <c r="A8" s="1" t="s">
        <v>36</v>
      </c>
      <c r="B8" s="1" t="s">
        <v>38</v>
      </c>
      <c r="C8" s="6" t="n">
        <f aca="false">COUNTIFS(Features_Buildings!$G:$G,"Y",Features_Buildings!K:K,"F")+COUNTIFS(Features_Buildings!$G:$G,"Y",Features_Buildings!K:K,"B")</f>
        <v>12</v>
      </c>
      <c r="D8" s="6" t="n">
        <f aca="false">COUNTIFS(Features_Buildings!$G:$G,"Y",Features_Buildings!K:K,"S")+COUNTIFS(Features_Buildings!$G:$G,"Y",Features_Buildings!K:K,"B")</f>
        <v>10</v>
      </c>
      <c r="E8" s="7" t="str">
        <f aca="false">Model_Spec!D8</f>
        <v>gamma_glm</v>
      </c>
      <c r="F8" s="7" t="n">
        <f aca="false">Model_Spec!F8</f>
        <v>0.995</v>
      </c>
      <c r="G8" s="7" t="str">
        <f aca="false">Model_Spec!Q8</f>
        <v>~2.2k claims, strong hazard structure: GBM frequency, GLM severity.</v>
      </c>
    </row>
    <row r="9" ht="15" customHeight="1">
      <c r="A9" s="1" t="s">
        <v>36</v>
      </c>
      <c r="B9" s="1" t="s">
        <v>39</v>
      </c>
      <c r="C9" s="6" t="n">
        <f aca="false">COUNTIFS(Features_Buildings!$G:$G,"Y",Features_Buildings!L:L,"F")+COUNTIFS(Features_Buildings!$G:$G,"Y",Features_Buildings!L:L,"B")</f>
        <v>28</v>
      </c>
      <c r="D9" s="6" t="n">
        <f aca="false">COUNTIFS(Features_Buildings!$G:$G,"Y",Features_Buildings!L:L,"S")+COUNTIFS(Features_Buildings!$G:$G,"Y",Features_Buildings!L:L,"B")</f>
        <v>10</v>
      </c>
      <c r="E9" s="7" t="str">
        <f aca="false">Model_Spec!D9</f>
        <v>gamma_gbm</v>
      </c>
      <c r="F9" s="7" t="n">
        <f aca="false">Model_Spec!F9</f>
        <v>0.999</v>
      </c>
      <c r="G9" s="7" t="str">
        <f aca="false">Model_Spec!Q9</f>
        <v>~10k claims: data-rich.</v>
      </c>
    </row>
    <row r="10" ht="23.85" customHeight="1">
      <c r="A10" s="1" t="s">
        <v>36</v>
      </c>
      <c r="B10" s="1" t="s">
        <v>40</v>
      </c>
      <c r="C10" s="6" t="n">
        <f aca="false">COUNTIFS(Features_Buildings!$G:$G,"Y",Features_Buildings!M:M,"F")+COUNTIFS(Features_Buildings!$G:$G,"Y",Features_Buildings!M:M,"B")</f>
        <v>14</v>
      </c>
      <c r="D10" s="6" t="n">
        <f aca="false">COUNTIFS(Features_Buildings!$G:$G,"Y",Features_Buildings!M:M,"S")+COUNTIFS(Features_Buildings!$G:$G,"Y",Features_Buildings!M:M,"B")</f>
        <v>11</v>
      </c>
      <c r="E10" s="7" t="str">
        <f aca="false">Model_Spec!D10</f>
        <v>gamma_glm</v>
      </c>
      <c r="F10" s="7" t="n">
        <f aca="false">Model_Spec!F10</f>
        <v>0.995</v>
      </c>
      <c r="G10" s="7" t="str">
        <f aca="false">Model_Spec!Q10</f>
        <v>~1.3k claims, long tail (median lag ~94 days): GLM severity, latest year excluded from severity.</v>
      </c>
    </row>
    <row r="11" ht="15" customHeight="1">
      <c r="A11" s="1" t="s">
        <v>36</v>
      </c>
      <c r="B11" s="1" t="s">
        <v>41</v>
      </c>
      <c r="C11" s="6" t="n">
        <f aca="false">COUNTIFS(Features_Buildings!$G:$G,"Y",Features_Buildings!N:N,"F")+COUNTIFS(Features_Buildings!$G:$G,"Y",Features_Buildings!N:N,"B")</f>
        <v>19</v>
      </c>
      <c r="D11" s="6" t="n">
        <f aca="false">COUNTIFS(Features_Buildings!$G:$G,"Y",Features_Buildings!N:N,"S")+COUNTIFS(Features_Buildings!$G:$G,"Y",Features_Buildings!N:N,"B")</f>
        <v>9</v>
      </c>
      <c r="E11" s="7" t="str">
        <f aca="false">Model_Spec!D11</f>
        <v>gamma_glm</v>
      </c>
      <c r="F11" s="7" t="n">
        <f aca="false">Model_Spec!F11</f>
        <v>0.99</v>
      </c>
      <c r="G11" s="7" t="str">
        <f aca="false">Model_Spec!Q11</f>
        <v>~1.1k claims, very heavy severity: GLM severity, lower cap.</v>
      </c>
    </row>
    <row r="12" ht="15" customHeight="1">
      <c r="A12" s="1" t="s">
        <v>36</v>
      </c>
      <c r="B12" s="1" t="s">
        <v>42</v>
      </c>
      <c r="C12" s="6" t="n">
        <f aca="false">COUNTIFS(Features_Buildings!$G:$G,"Y",Features_Buildings!O:O,"F")+COUNTIFS(Features_Buildings!$G:$G,"Y",Features_Buildings!O:O,"B")</f>
        <v>21</v>
      </c>
      <c r="D12" s="6" t="n">
        <f aca="false">COUNTIFS(Features_Buildings!$G:$G,"Y",Features_Buildings!O:O,"S")+COUNTIFS(Features_Buildings!$G:$G,"Y",Features_Buildings!O:O,"B")</f>
        <v>5</v>
      </c>
      <c r="E12" s="7" t="str">
        <f aca="false">Model_Spec!D12</f>
        <v>gamma_gbm</v>
      </c>
      <c r="F12" s="7" t="n">
        <f aca="false">Model_Spec!F12</f>
        <v>0.999</v>
      </c>
      <c r="G12" s="7" t="str">
        <f aca="false">Model_Spec!Q12</f>
        <v>~3.8k claims; structural zero without AD cover.</v>
      </c>
    </row>
    <row r="13" ht="15" customHeight="1">
      <c r="A13" s="1" t="s">
        <v>43</v>
      </c>
      <c r="B13" s="1" t="s">
        <v>34</v>
      </c>
      <c r="C13" s="6" t="n">
        <f aca="false">COUNTIFS(Features_Contents!$G:$G,"Y",Features_Contents!J:J,"F")+COUNTIFS(Features_Contents!$G:$G,"Y",Features_Contents!J:J,"B")</f>
        <v>25</v>
      </c>
      <c r="D13" s="6" t="n">
        <f aca="false">COUNTIFS(Features_Contents!$G:$G,"Y",Features_Contents!J:J,"S")+COUNTIFS(Features_Contents!$G:$G,"Y",Features_Contents!J:J,"B")</f>
        <v>9</v>
      </c>
      <c r="E13" s="7" t="str">
        <f aca="false">Model_Spec!D13</f>
        <v>gamma_gbm</v>
      </c>
      <c r="F13" s="7" t="n">
        <f aca="false">Model_Spec!F13</f>
        <v>0.999</v>
      </c>
      <c r="G13" s="7" t="str">
        <f aca="false">Model_Spec!Q13</f>
        <v>~7.9k claims.</v>
      </c>
    </row>
    <row r="14" ht="15" customHeight="1">
      <c r="A14" s="1" t="s">
        <v>43</v>
      </c>
      <c r="B14" s="1" t="s">
        <v>39</v>
      </c>
      <c r="C14" s="6" t="n">
        <f aca="false">COUNTIFS(Features_Contents!$G:$G,"Y",Features_Contents!K:K,"F")+COUNTIFS(Features_Contents!$G:$G,"Y",Features_Contents!K:K,"B")</f>
        <v>19</v>
      </c>
      <c r="D14" s="6" t="n">
        <f aca="false">COUNTIFS(Features_Contents!$G:$G,"Y",Features_Contents!K:K,"S")+COUNTIFS(Features_Contents!$G:$G,"Y",Features_Contents!K:K,"B")</f>
        <v>8</v>
      </c>
      <c r="E14" s="7" t="str">
        <f aca="false">Model_Spec!D14</f>
        <v>gamma_gbm</v>
      </c>
      <c r="F14" s="7" t="n">
        <f aca="false">Model_Spec!F14</f>
        <v>0.999</v>
      </c>
      <c r="G14" s="7" t="str">
        <f aca="false">Model_Spec!Q14</f>
        <v>~5.4k claims.</v>
      </c>
    </row>
    <row r="15" ht="15" customHeight="1">
      <c r="A15" s="1" t="s">
        <v>43</v>
      </c>
      <c r="B15" s="1" t="s">
        <v>42</v>
      </c>
      <c r="C15" s="6" t="n">
        <f aca="false">COUNTIFS(Features_Contents!$G:$G,"Y",Features_Contents!L:L,"F")+COUNTIFS(Features_Contents!$G:$G,"Y",Features_Contents!L:L,"B")</f>
        <v>21</v>
      </c>
      <c r="D15" s="6" t="n">
        <f aca="false">COUNTIFS(Features_Contents!$G:$G,"Y",Features_Contents!L:L,"S")+COUNTIFS(Features_Contents!$G:$G,"Y",Features_Contents!L:L,"B")</f>
        <v>7</v>
      </c>
      <c r="E15" s="7" t="str">
        <f aca="false">Model_Spec!D15</f>
        <v>gamma_gbm</v>
      </c>
      <c r="F15" s="7" t="n">
        <f aca="false">Model_Spec!F15</f>
        <v>0.999</v>
      </c>
      <c r="G15" s="7" t="str">
        <f aca="false">Model_Spec!Q15</f>
        <v>~9.2k claims; structural zero without AD cover.</v>
      </c>
    </row>
    <row r="16" ht="15" customHeight="1">
      <c r="A16" s="1" t="s">
        <v>43</v>
      </c>
      <c r="B16" s="1" t="s">
        <v>38</v>
      </c>
      <c r="C16" s="6" t="n">
        <f aca="false">COUNTIFS(Features_Contents!$G:$G,"Y",Features_Contents!M:M,"F")+COUNTIFS(Features_Contents!$G:$G,"Y",Features_Contents!M:M,"B")</f>
        <v>13</v>
      </c>
      <c r="D16" s="6" t="n">
        <f aca="false">COUNTIFS(Features_Contents!$G:$G,"Y",Features_Contents!M:M,"S")+COUNTIFS(Features_Contents!$G:$G,"Y",Features_Contents!M:M,"B")</f>
        <v>10</v>
      </c>
      <c r="E16" s="7" t="str">
        <f aca="false">Model_Spec!D16</f>
        <v>gamma_glm</v>
      </c>
      <c r="F16" s="7" t="n">
        <f aca="false">Model_Spec!F16</f>
        <v>0.995</v>
      </c>
      <c r="G16" s="7" t="str">
        <f aca="false">Model_Spec!Q16</f>
        <v>~1.6k claims: GLM severity.</v>
      </c>
    </row>
    <row r="18" ht="15" customHeight="1">
      <c r="A18" s="8" t="s">
        <v>44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5" hidden="false" outlineLevel="0" customWidth="1"/>
    <col min="2" max="2" width="18" hidden="false" outlineLevel="0" customWidth="1"/>
    <col min="3" max="3" width="30" hidden="false" outlineLevel="0" customWidth="1"/>
    <col min="4" max="4" width="34" hidden="false" outlineLevel="0" customWidth="1"/>
    <col min="5" max="5" width="42" hidden="false" outlineLevel="0" customWidth="1"/>
    <col min="6" max="6" width="46" hidden="false" outlineLevel="0" customWidth="1"/>
    <col min="7" max="7" width="34" hidden="false" outlineLevel="0" customWidth="1"/>
    <col min="8" max="8" width="14" hidden="false" outlineLevel="0" customWidth="1"/>
  </cols>
  <sheetData>
    <row r="1" ht="30" customHeight="1">
      <c r="A1" s="5" t="s">
        <v>45</v>
      </c>
      <c r="B1" s="5" t="s">
        <v>46</v>
      </c>
      <c r="C1" s="5" t="s">
        <v>47</v>
      </c>
      <c r="D1" s="5" t="s">
        <v>48</v>
      </c>
      <c r="E1" s="5" t="s">
        <v>49</v>
      </c>
      <c r="F1" s="5" t="s">
        <v>50</v>
      </c>
      <c r="G1" s="5" t="s">
        <v>51</v>
      </c>
      <c r="H1" s="5" t="s">
        <v>52</v>
      </c>
    </row>
    <row r="2" ht="68.65" customHeight="1">
      <c r="A2" s="1" t="n">
        <v>1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</row>
    <row r="3" ht="35.05" customHeight="1">
      <c r="A3" s="1" t="n">
        <v>2</v>
      </c>
      <c r="B3" s="1" t="s">
        <v>60</v>
      </c>
      <c r="C3" s="1" t="s">
        <v>61</v>
      </c>
      <c r="D3" s="1" t="s">
        <v>62</v>
      </c>
      <c r="E3" s="1" t="s">
        <v>63</v>
      </c>
      <c r="F3" s="1" t="s">
        <v>64</v>
      </c>
      <c r="G3" s="1" t="s">
        <v>65</v>
      </c>
      <c r="H3" s="1" t="s">
        <v>59</v>
      </c>
    </row>
    <row r="4" ht="57.45" customHeight="1">
      <c r="A4" s="1" t="n">
        <v>3</v>
      </c>
      <c r="B4" s="1" t="s">
        <v>66</v>
      </c>
      <c r="C4" s="1" t="s">
        <v>67</v>
      </c>
      <c r="D4" s="1" t="s">
        <v>68</v>
      </c>
      <c r="E4" s="1" t="s">
        <v>69</v>
      </c>
      <c r="F4" s="1" t="s">
        <v>70</v>
      </c>
      <c r="G4" s="1" t="s">
        <v>71</v>
      </c>
      <c r="H4" s="1" t="s">
        <v>72</v>
      </c>
    </row>
    <row r="5" ht="46.25" customHeight="1">
      <c r="A5" s="1" t="n">
        <v>4</v>
      </c>
      <c r="B5" s="1" t="s">
        <v>73</v>
      </c>
      <c r="C5" s="1" t="s">
        <v>74</v>
      </c>
      <c r="D5" s="1" t="s">
        <v>75</v>
      </c>
      <c r="E5" s="1" t="s">
        <v>76</v>
      </c>
      <c r="F5" s="1" t="s">
        <v>77</v>
      </c>
      <c r="G5" s="1" t="s">
        <v>78</v>
      </c>
      <c r="H5" s="1" t="s">
        <v>59</v>
      </c>
    </row>
    <row r="6" ht="15" customHeight="1">
      <c r="A6" s="1" t="n">
        <v>5</v>
      </c>
      <c r="B6" s="1" t="s">
        <v>79</v>
      </c>
      <c r="C6" s="1" t="s">
        <v>80</v>
      </c>
      <c r="D6" s="1" t="s">
        <v>81</v>
      </c>
      <c r="E6" s="1" t="s">
        <v>82</v>
      </c>
      <c r="F6" s="1" t="s">
        <v>83</v>
      </c>
      <c r="G6" s="1" t="s">
        <v>84</v>
      </c>
      <c r="H6" s="1" t="s">
        <v>59</v>
      </c>
    </row>
    <row r="7" ht="23.85" customHeight="1">
      <c r="A7" s="1" t="n">
        <v>6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59</v>
      </c>
    </row>
    <row r="8" ht="35.05" customHeight="1">
      <c r="A8" s="1" t="n">
        <v>7</v>
      </c>
      <c r="B8" s="1" t="s">
        <v>91</v>
      </c>
      <c r="C8" s="1" t="s">
        <v>92</v>
      </c>
      <c r="D8" s="1" t="s">
        <v>93</v>
      </c>
      <c r="E8" s="1" t="s">
        <v>94</v>
      </c>
      <c r="F8" s="1" t="s">
        <v>95</v>
      </c>
      <c r="G8" s="1" t="s">
        <v>96</v>
      </c>
      <c r="H8" s="1" t="s">
        <v>59</v>
      </c>
    </row>
    <row r="9" ht="23.85" customHeight="1">
      <c r="A9" s="1" t="n">
        <v>8</v>
      </c>
      <c r="B9" s="1" t="s">
        <v>97</v>
      </c>
      <c r="C9" s="1" t="s">
        <v>98</v>
      </c>
      <c r="D9" s="1" t="s">
        <v>99</v>
      </c>
      <c r="E9" s="1" t="s">
        <v>100</v>
      </c>
      <c r="F9" s="1" t="s">
        <v>101</v>
      </c>
      <c r="G9" s="1" t="s">
        <v>102</v>
      </c>
      <c r="H9" s="1" t="s">
        <v>72</v>
      </c>
    </row>
    <row r="10" ht="23.85" customHeight="1">
      <c r="A10" s="1" t="n">
        <v>9</v>
      </c>
      <c r="B10" s="1" t="s">
        <v>103</v>
      </c>
      <c r="C10" s="1" t="s">
        <v>104</v>
      </c>
      <c r="D10" s="1" t="s">
        <v>105</v>
      </c>
      <c r="E10" s="1" t="s">
        <v>106</v>
      </c>
      <c r="F10" s="1" t="s">
        <v>107</v>
      </c>
      <c r="G10" s="1" t="s">
        <v>108</v>
      </c>
      <c r="H10" s="1" t="s">
        <v>59</v>
      </c>
    </row>
    <row r="11" ht="46.25" customHeight="1">
      <c r="A11" s="1" t="n">
        <v>10</v>
      </c>
      <c r="B11" s="1" t="s">
        <v>109</v>
      </c>
      <c r="C11" s="1" t="s">
        <v>110</v>
      </c>
      <c r="D11" s="1" t="s">
        <v>111</v>
      </c>
      <c r="E11" s="1" t="s">
        <v>112</v>
      </c>
      <c r="F11" s="1" t="s">
        <v>113</v>
      </c>
      <c r="G11" s="1" t="s">
        <v>114</v>
      </c>
      <c r="H11" s="1" t="s">
        <v>59</v>
      </c>
    </row>
    <row r="12" ht="46.25" customHeight="1">
      <c r="A12" s="1" t="n">
        <v>11</v>
      </c>
      <c r="B12" s="1" t="s">
        <v>115</v>
      </c>
      <c r="C12" s="1" t="s">
        <v>116</v>
      </c>
      <c r="D12" s="1" t="s">
        <v>117</v>
      </c>
      <c r="E12" s="1" t="s">
        <v>118</v>
      </c>
      <c r="F12" s="1" t="s">
        <v>119</v>
      </c>
      <c r="G12" s="1" t="s">
        <v>120</v>
      </c>
      <c r="H12" s="1" t="s">
        <v>72</v>
      </c>
    </row>
    <row r="13" ht="15" customHeight="1">
      <c r="A13" s="1" t="n">
        <v>12</v>
      </c>
      <c r="B13" s="1" t="s">
        <v>121</v>
      </c>
      <c r="C13" s="1" t="s">
        <v>122</v>
      </c>
      <c r="D13" s="1" t="s">
        <v>123</v>
      </c>
      <c r="E13" s="1" t="s">
        <v>124</v>
      </c>
      <c r="F13" s="1" t="s">
        <v>125</v>
      </c>
      <c r="G13" s="1" t="s">
        <v>84</v>
      </c>
      <c r="H13" s="1" t="s">
        <v>59</v>
      </c>
    </row>
    <row r="14" ht="15" customHeight="1">
      <c r="A14" s="1" t="n">
        <v>13</v>
      </c>
      <c r="B14" s="1" t="s">
        <v>126</v>
      </c>
      <c r="C14" s="1" t="s">
        <v>127</v>
      </c>
      <c r="D14" s="1" t="s">
        <v>128</v>
      </c>
      <c r="E14" s="1" t="s">
        <v>84</v>
      </c>
      <c r="F14" s="1" t="s">
        <v>129</v>
      </c>
      <c r="G14" s="1" t="s">
        <v>84</v>
      </c>
      <c r="H14" s="1" t="s">
        <v>59</v>
      </c>
    </row>
    <row r="15" ht="23.85" customHeight="1">
      <c r="A15" s="1" t="n">
        <v>14</v>
      </c>
      <c r="B15" s="1" t="s">
        <v>130</v>
      </c>
      <c r="C15" s="1" t="s">
        <v>131</v>
      </c>
      <c r="D15" s="1" t="s">
        <v>132</v>
      </c>
      <c r="E15" s="1" t="s">
        <v>133</v>
      </c>
      <c r="F15" s="1" t="s">
        <v>134</v>
      </c>
      <c r="G15" s="1" t="s">
        <v>84</v>
      </c>
      <c r="H15" s="1" t="s">
        <v>59</v>
      </c>
    </row>
    <row r="16" ht="23.85" customHeight="1">
      <c r="A16" s="1" t="n">
        <v>15</v>
      </c>
      <c r="B16" s="1" t="s">
        <v>135</v>
      </c>
      <c r="C16" s="1" t="s">
        <v>136</v>
      </c>
      <c r="D16" s="1" t="s">
        <v>137</v>
      </c>
      <c r="E16" s="1" t="s">
        <v>84</v>
      </c>
      <c r="F16" s="1" t="s">
        <v>138</v>
      </c>
      <c r="G16" s="1" t="s">
        <v>139</v>
      </c>
      <c r="H16" s="1" t="s">
        <v>72</v>
      </c>
    </row>
    <row r="17" ht="23.85" customHeight="1">
      <c r="A17" s="1" t="n">
        <v>16</v>
      </c>
      <c r="B17" s="1" t="s">
        <v>140</v>
      </c>
      <c r="C17" s="1" t="s">
        <v>141</v>
      </c>
      <c r="D17" s="1" t="s">
        <v>142</v>
      </c>
      <c r="E17" s="1" t="s">
        <v>84</v>
      </c>
      <c r="F17" s="1" t="s">
        <v>143</v>
      </c>
      <c r="G17" s="1" t="s">
        <v>84</v>
      </c>
      <c r="H17" s="1" t="s">
        <v>72</v>
      </c>
    </row>
    <row r="18" ht="35.05" customHeight="1">
      <c r="A18" s="1" t="n">
        <v>17</v>
      </c>
      <c r="B18" s="1" t="s">
        <v>144</v>
      </c>
      <c r="C18" s="1" t="s">
        <v>145</v>
      </c>
      <c r="D18" s="1" t="s">
        <v>146</v>
      </c>
      <c r="E18" s="1" t="s">
        <v>147</v>
      </c>
      <c r="F18" s="1" t="s">
        <v>148</v>
      </c>
      <c r="G18" s="1" t="s">
        <v>149</v>
      </c>
      <c r="H18" s="1" t="s">
        <v>150</v>
      </c>
    </row>
    <row r="19" ht="35.05" customHeight="1">
      <c r="A19" s="1" t="n">
        <v>18</v>
      </c>
      <c r="B19" s="1" t="s">
        <v>151</v>
      </c>
      <c r="C19" s="1" t="s">
        <v>152</v>
      </c>
      <c r="D19" s="1" t="s">
        <v>153</v>
      </c>
      <c r="E19" s="1" t="s">
        <v>154</v>
      </c>
      <c r="F19" s="1" t="s">
        <v>155</v>
      </c>
      <c r="G19" s="1" t="s">
        <v>156</v>
      </c>
      <c r="H19" s="1" t="s">
        <v>59</v>
      </c>
    </row>
    <row r="20" ht="35.05" customHeight="1">
      <c r="A20" s="1" t="n">
        <v>19</v>
      </c>
      <c r="B20" s="1" t="s">
        <v>157</v>
      </c>
      <c r="C20" s="1" t="s">
        <v>158</v>
      </c>
      <c r="D20" s="1" t="s">
        <v>159</v>
      </c>
      <c r="E20" s="1" t="s">
        <v>160</v>
      </c>
      <c r="F20" s="1" t="s">
        <v>161</v>
      </c>
      <c r="G20" s="1" t="s">
        <v>162</v>
      </c>
      <c r="H20" s="1" t="s">
        <v>59</v>
      </c>
    </row>
    <row r="21" ht="23.85" customHeight="1">
      <c r="A21" s="1" t="n">
        <v>20</v>
      </c>
      <c r="B21" s="1" t="s">
        <v>163</v>
      </c>
      <c r="C21" s="1" t="s">
        <v>164</v>
      </c>
      <c r="D21" s="1" t="s">
        <v>165</v>
      </c>
      <c r="E21" s="1" t="s">
        <v>166</v>
      </c>
      <c r="F21" s="1" t="s">
        <v>167</v>
      </c>
      <c r="G21" s="1" t="s">
        <v>84</v>
      </c>
      <c r="H21" s="1" t="s">
        <v>59</v>
      </c>
    </row>
    <row r="22" ht="23.85" customHeight="1">
      <c r="A22" s="1" t="n">
        <v>21</v>
      </c>
      <c r="B22" s="1" t="s">
        <v>168</v>
      </c>
      <c r="C22" s="1" t="s">
        <v>169</v>
      </c>
      <c r="D22" s="1" t="s">
        <v>170</v>
      </c>
      <c r="E22" s="1" t="s">
        <v>171</v>
      </c>
      <c r="F22" s="1" t="s">
        <v>172</v>
      </c>
      <c r="G22" s="1" t="s">
        <v>173</v>
      </c>
      <c r="H22" s="1" t="s">
        <v>59</v>
      </c>
    </row>
    <row r="23" ht="35.05" customHeight="1">
      <c r="A23" s="1" t="n">
        <v>22</v>
      </c>
      <c r="B23" s="1" t="s">
        <v>174</v>
      </c>
      <c r="C23" s="1" t="s">
        <v>175</v>
      </c>
      <c r="D23" s="1" t="s">
        <v>176</v>
      </c>
      <c r="E23" s="1" t="s">
        <v>177</v>
      </c>
      <c r="F23" s="1" t="s">
        <v>178</v>
      </c>
      <c r="G23" s="1" t="s">
        <v>179</v>
      </c>
      <c r="H23" s="1" t="s">
        <v>180</v>
      </c>
    </row>
    <row r="24" ht="23.85" customHeight="1">
      <c r="A24" s="1" t="n">
        <v>23</v>
      </c>
      <c r="B24" s="1" t="s">
        <v>181</v>
      </c>
      <c r="C24" s="1" t="s">
        <v>182</v>
      </c>
      <c r="D24" s="1" t="s">
        <v>183</v>
      </c>
      <c r="E24" s="1" t="s">
        <v>184</v>
      </c>
      <c r="F24" s="1" t="s">
        <v>84</v>
      </c>
      <c r="G24" s="1" t="s">
        <v>185</v>
      </c>
      <c r="H24" s="1" t="s">
        <v>186</v>
      </c>
    </row>
    <row r="25" ht="35.05" customHeight="1">
      <c r="A25" s="1" t="n">
        <v>24</v>
      </c>
      <c r="B25" s="1" t="s">
        <v>15</v>
      </c>
      <c r="C25" s="1" t="s">
        <v>187</v>
      </c>
      <c r="D25" s="1" t="s">
        <v>188</v>
      </c>
      <c r="E25" s="1" t="s">
        <v>189</v>
      </c>
      <c r="F25" s="1" t="s">
        <v>190</v>
      </c>
      <c r="G25" s="1" t="s">
        <v>84</v>
      </c>
      <c r="H25" s="1" t="s">
        <v>59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0" hidden="false" outlineLevel="0" customWidth="1"/>
    <col min="2" max="2" width="20" hidden="false" outlineLevel="0" customWidth="1"/>
    <col min="3" max="3" width="8" hidden="false" outlineLevel="0" customWidth="1"/>
    <col min="4" max="4" width="38" hidden="false" outlineLevel="0" customWidth="1"/>
    <col min="5" max="5" width="30" hidden="false" outlineLevel="0" customWidth="1"/>
    <col min="6" max="6" width="10" hidden="false" outlineLevel="0" customWidth="1"/>
    <col min="7" max="7" width="6" hidden="false" outlineLevel="0" customWidth="1"/>
    <col min="8" max="8" width="9" hidden="false" outlineLevel="0" customWidth="1"/>
    <col min="9" max="9" width="9" hidden="false" outlineLevel="0" customWidth="1"/>
    <col min="10" max="10" width="11" hidden="false" outlineLevel="0" customWidth="1"/>
    <col min="11" max="11" width="11" hidden="false" outlineLevel="0" customWidth="1"/>
    <col min="12" max="12" width="11" hidden="false" outlineLevel="0" customWidth="1"/>
    <col min="13" max="13" width="11" hidden="false" outlineLevel="0" customWidth="1"/>
    <col min="14" max="14" width="11" hidden="false" outlineLevel="0" customWidth="1"/>
    <col min="15" max="15" width="48" hidden="false" outlineLevel="0" customWidth="1"/>
    <col min="16" max="16" width="40" hidden="false" outlineLevel="0" customWidth="1"/>
  </cols>
  <sheetData>
    <row r="1" ht="30" customHeight="1">
      <c r="A1" s="5" t="s">
        <v>191</v>
      </c>
      <c r="B1" s="5" t="s">
        <v>192</v>
      </c>
      <c r="C1" s="5" t="s">
        <v>193</v>
      </c>
      <c r="D1" s="5" t="s">
        <v>194</v>
      </c>
      <c r="E1" s="5" t="s">
        <v>195</v>
      </c>
      <c r="F1" s="5" t="s">
        <v>48</v>
      </c>
      <c r="G1" s="5" t="s">
        <v>196</v>
      </c>
      <c r="H1" s="5" t="s">
        <v>197</v>
      </c>
      <c r="I1" s="5" t="s">
        <v>198</v>
      </c>
      <c r="J1" s="5" t="s">
        <v>31</v>
      </c>
      <c r="K1" s="5" t="s">
        <v>32</v>
      </c>
      <c r="L1" s="5" t="s">
        <v>33</v>
      </c>
      <c r="M1" s="5" t="s">
        <v>34</v>
      </c>
      <c r="N1" s="5" t="s">
        <v>35</v>
      </c>
      <c r="O1" s="5" t="s">
        <v>199</v>
      </c>
      <c r="P1" s="5" t="s">
        <v>200</v>
      </c>
    </row>
    <row r="2" ht="23.85" customHeight="1">
      <c r="A2" s="1" t="s">
        <v>924</v>
      </c>
      <c r="B2" s="1" t="s">
        <v>202</v>
      </c>
      <c r="C2" s="1" t="s">
        <v>229</v>
      </c>
      <c r="D2" s="1" t="s">
        <v>204</v>
      </c>
      <c r="E2" s="1" t="s">
        <v>205</v>
      </c>
      <c r="F2" s="1" t="s">
        <v>206</v>
      </c>
      <c r="G2" s="10" t="s">
        <v>207</v>
      </c>
      <c r="H2" s="10" t="s">
        <v>725</v>
      </c>
      <c r="I2" s="10" t="s">
        <v>725</v>
      </c>
      <c r="J2" s="11" t="s">
        <v>208</v>
      </c>
      <c r="K2" s="11" t="s">
        <v>208</v>
      </c>
      <c r="L2" s="11" t="s">
        <v>208</v>
      </c>
      <c r="M2" s="11" t="s">
        <v>209</v>
      </c>
      <c r="N2" s="11" t="s">
        <v>84</v>
      </c>
      <c r="O2" s="1" t="s">
        <v>210</v>
      </c>
      <c r="P2" s="1"/>
    </row>
    <row r="3" ht="15" customHeight="1">
      <c r="A3" s="1" t="s">
        <v>211</v>
      </c>
      <c r="B3" s="1" t="s">
        <v>202</v>
      </c>
      <c r="C3" s="1" t="s">
        <v>203</v>
      </c>
      <c r="D3" s="1" t="s">
        <v>212</v>
      </c>
      <c r="E3" s="1" t="s">
        <v>213</v>
      </c>
      <c r="F3" s="1" t="s">
        <v>206</v>
      </c>
      <c r="G3" s="10" t="s">
        <v>207</v>
      </c>
      <c r="H3" s="10" t="s">
        <v>725</v>
      </c>
      <c r="I3" s="10" t="s">
        <v>725</v>
      </c>
      <c r="J3" s="11" t="s">
        <v>209</v>
      </c>
      <c r="K3" s="11" t="s">
        <v>209</v>
      </c>
      <c r="L3" s="11" t="s">
        <v>209</v>
      </c>
      <c r="M3" s="11" t="s">
        <v>84</v>
      </c>
      <c r="N3" s="11" t="s">
        <v>84</v>
      </c>
      <c r="O3" s="1" t="s">
        <v>214</v>
      </c>
      <c r="P3" s="1"/>
    </row>
    <row r="4" ht="23.85" customHeight="1">
      <c r="A4" s="1" t="s">
        <v>215</v>
      </c>
      <c r="B4" s="1" t="s">
        <v>202</v>
      </c>
      <c r="C4" s="1" t="s">
        <v>203</v>
      </c>
      <c r="D4" s="1" t="s">
        <v>216</v>
      </c>
      <c r="E4" s="1" t="s">
        <v>217</v>
      </c>
      <c r="F4" s="1" t="s">
        <v>206</v>
      </c>
      <c r="G4" s="10" t="s">
        <v>207</v>
      </c>
      <c r="H4" s="10" t="s">
        <v>925</v>
      </c>
      <c r="I4" s="10" t="s">
        <v>725</v>
      </c>
      <c r="J4" s="11" t="s">
        <v>209</v>
      </c>
      <c r="K4" s="11" t="s">
        <v>209</v>
      </c>
      <c r="L4" s="11" t="s">
        <v>209</v>
      </c>
      <c r="M4" s="11" t="s">
        <v>84</v>
      </c>
      <c r="N4" s="11" t="s">
        <v>84</v>
      </c>
      <c r="O4" s="1" t="s">
        <v>218</v>
      </c>
      <c r="P4" s="1"/>
    </row>
    <row r="5" ht="23.85" customHeight="1">
      <c r="A5" s="1" t="s">
        <v>219</v>
      </c>
      <c r="B5" s="1" t="s">
        <v>202</v>
      </c>
      <c r="C5" s="1" t="s">
        <v>203</v>
      </c>
      <c r="D5" s="1" t="s">
        <v>220</v>
      </c>
      <c r="E5" s="1" t="s">
        <v>221</v>
      </c>
      <c r="F5" s="1" t="s">
        <v>206</v>
      </c>
      <c r="G5" s="10" t="s">
        <v>207</v>
      </c>
      <c r="H5" s="10" t="s">
        <v>725</v>
      </c>
      <c r="I5" s="10" t="s">
        <v>926</v>
      </c>
      <c r="J5" s="11" t="s">
        <v>208</v>
      </c>
      <c r="K5" s="11" t="s">
        <v>84</v>
      </c>
      <c r="L5" s="11" t="s">
        <v>84</v>
      </c>
      <c r="M5" s="11" t="s">
        <v>208</v>
      </c>
      <c r="N5" s="11" t="s">
        <v>208</v>
      </c>
      <c r="O5" s="1" t="s">
        <v>222</v>
      </c>
      <c r="P5" s="1"/>
    </row>
    <row r="6" ht="15" customHeight="1">
      <c r="A6" s="1" t="s">
        <v>223</v>
      </c>
      <c r="B6" s="1" t="s">
        <v>202</v>
      </c>
      <c r="C6" s="1" t="s">
        <v>203</v>
      </c>
      <c r="D6" s="1" t="s">
        <v>224</v>
      </c>
      <c r="E6" s="1" t="s">
        <v>225</v>
      </c>
      <c r="F6" s="1" t="s">
        <v>206</v>
      </c>
      <c r="G6" s="10" t="s">
        <v>207</v>
      </c>
      <c r="H6" s="10" t="s">
        <v>725</v>
      </c>
      <c r="I6" s="10" t="s">
        <v>725</v>
      </c>
      <c r="J6" s="11" t="s">
        <v>208</v>
      </c>
      <c r="K6" s="11" t="s">
        <v>209</v>
      </c>
      <c r="L6" s="11" t="s">
        <v>84</v>
      </c>
      <c r="M6" s="11" t="s">
        <v>208</v>
      </c>
      <c r="N6" s="11" t="s">
        <v>226</v>
      </c>
      <c r="O6" s="1" t="s">
        <v>227</v>
      </c>
      <c r="P6" s="1"/>
    </row>
    <row r="7" ht="23.85" customHeight="1">
      <c r="A7" s="1" t="s">
        <v>228</v>
      </c>
      <c r="B7" s="1" t="s">
        <v>202</v>
      </c>
      <c r="C7" s="1" t="s">
        <v>229</v>
      </c>
      <c r="D7" s="1" t="s">
        <v>230</v>
      </c>
      <c r="E7" s="1" t="s">
        <v>231</v>
      </c>
      <c r="F7" s="1" t="s">
        <v>232</v>
      </c>
      <c r="G7" s="10" t="s">
        <v>207</v>
      </c>
      <c r="H7" s="10" t="s">
        <v>725</v>
      </c>
      <c r="I7" s="10" t="s">
        <v>725</v>
      </c>
      <c r="J7" s="11" t="s">
        <v>208</v>
      </c>
      <c r="K7" s="11" t="s">
        <v>209</v>
      </c>
      <c r="L7" s="11" t="s">
        <v>84</v>
      </c>
      <c r="M7" s="11" t="s">
        <v>208</v>
      </c>
      <c r="N7" s="11" t="s">
        <v>208</v>
      </c>
      <c r="O7" s="1" t="s">
        <v>233</v>
      </c>
      <c r="P7" s="1" t="s">
        <v>234</v>
      </c>
    </row>
    <row r="8" ht="15" customHeight="1">
      <c r="A8" s="1" t="s">
        <v>235</v>
      </c>
      <c r="B8" s="1" t="s">
        <v>202</v>
      </c>
      <c r="C8" s="1" t="s">
        <v>203</v>
      </c>
      <c r="D8" s="1" t="s">
        <v>236</v>
      </c>
      <c r="E8" s="1" t="s">
        <v>237</v>
      </c>
      <c r="F8" s="1" t="s">
        <v>206</v>
      </c>
      <c r="G8" s="10" t="s">
        <v>207</v>
      </c>
      <c r="H8" s="10" t="s">
        <v>725</v>
      </c>
      <c r="I8" s="10" t="s">
        <v>725</v>
      </c>
      <c r="J8" s="11" t="s">
        <v>209</v>
      </c>
      <c r="K8" s="11" t="s">
        <v>208</v>
      </c>
      <c r="L8" s="11" t="s">
        <v>209</v>
      </c>
      <c r="M8" s="11" t="s">
        <v>209</v>
      </c>
      <c r="N8" s="11" t="s">
        <v>84</v>
      </c>
      <c r="O8" s="1" t="s">
        <v>238</v>
      </c>
      <c r="P8" s="1"/>
    </row>
    <row r="9" ht="15" customHeight="1">
      <c r="A9" s="1" t="s">
        <v>239</v>
      </c>
      <c r="B9" s="1" t="s">
        <v>202</v>
      </c>
      <c r="C9" s="1" t="s">
        <v>229</v>
      </c>
      <c r="D9" s="1" t="s">
        <v>240</v>
      </c>
      <c r="E9" s="1" t="s">
        <v>241</v>
      </c>
      <c r="F9" s="1" t="s">
        <v>206</v>
      </c>
      <c r="G9" s="10" t="s">
        <v>207</v>
      </c>
      <c r="H9" s="10" t="s">
        <v>725</v>
      </c>
      <c r="I9" s="10" t="s">
        <v>725</v>
      </c>
      <c r="J9" s="11" t="s">
        <v>208</v>
      </c>
      <c r="K9" s="11" t="s">
        <v>208</v>
      </c>
      <c r="L9" s="11" t="s">
        <v>84</v>
      </c>
      <c r="M9" s="11" t="s">
        <v>209</v>
      </c>
      <c r="N9" s="11" t="s">
        <v>226</v>
      </c>
      <c r="O9" s="1" t="s">
        <v>242</v>
      </c>
      <c r="P9" s="1"/>
    </row>
    <row r="10" ht="15" customHeight="1">
      <c r="A10" s="1" t="s">
        <v>243</v>
      </c>
      <c r="B10" s="1" t="s">
        <v>202</v>
      </c>
      <c r="C10" s="1" t="s">
        <v>229</v>
      </c>
      <c r="D10" s="1" t="s">
        <v>244</v>
      </c>
      <c r="E10" s="1" t="s">
        <v>245</v>
      </c>
      <c r="F10" s="1" t="s">
        <v>232</v>
      </c>
      <c r="G10" s="10" t="s">
        <v>207</v>
      </c>
      <c r="H10" s="10" t="s">
        <v>725</v>
      </c>
      <c r="I10" s="10" t="s">
        <v>725</v>
      </c>
      <c r="J10" s="11" t="s">
        <v>209</v>
      </c>
      <c r="K10" s="11" t="s">
        <v>84</v>
      </c>
      <c r="L10" s="11" t="s">
        <v>84</v>
      </c>
      <c r="M10" s="11" t="s">
        <v>84</v>
      </c>
      <c r="N10" s="11" t="s">
        <v>84</v>
      </c>
      <c r="O10" s="1" t="s">
        <v>246</v>
      </c>
      <c r="P10" s="1"/>
    </row>
    <row r="11" ht="15" customHeight="1">
      <c r="A11" s="1" t="s">
        <v>247</v>
      </c>
      <c r="B11" s="1" t="s">
        <v>202</v>
      </c>
      <c r="C11" s="1" t="s">
        <v>203</v>
      </c>
      <c r="D11" s="1" t="s">
        <v>248</v>
      </c>
      <c r="E11" s="1" t="s">
        <v>249</v>
      </c>
      <c r="F11" s="1" t="s">
        <v>232</v>
      </c>
      <c r="G11" s="10" t="s">
        <v>207</v>
      </c>
      <c r="H11" s="10" t="s">
        <v>725</v>
      </c>
      <c r="I11" s="10" t="s">
        <v>725</v>
      </c>
      <c r="J11" s="11" t="s">
        <v>84</v>
      </c>
      <c r="K11" s="11" t="s">
        <v>84</v>
      </c>
      <c r="L11" s="11" t="s">
        <v>226</v>
      </c>
      <c r="M11" s="11" t="s">
        <v>84</v>
      </c>
      <c r="N11" s="11" t="s">
        <v>84</v>
      </c>
      <c r="O11" s="1" t="s">
        <v>250</v>
      </c>
      <c r="P11" s="1"/>
    </row>
    <row r="12" ht="23.85" customHeight="1">
      <c r="A12" s="12" t="s">
        <v>251</v>
      </c>
      <c r="B12" s="1" t="s">
        <v>202</v>
      </c>
      <c r="C12" s="1" t="s">
        <v>229</v>
      </c>
      <c r="D12" s="1" t="s">
        <v>252</v>
      </c>
      <c r="E12" s="1" t="s">
        <v>253</v>
      </c>
      <c r="F12" s="12" t="s">
        <v>254</v>
      </c>
      <c r="G12" s="10" t="s">
        <v>255</v>
      </c>
      <c r="H12" s="10" t="s">
        <v>725</v>
      </c>
      <c r="I12" s="10" t="s">
        <v>725</v>
      </c>
      <c r="J12" s="11" t="s">
        <v>84</v>
      </c>
      <c r="K12" s="11" t="s">
        <v>84</v>
      </c>
      <c r="L12" s="11" t="s">
        <v>84</v>
      </c>
      <c r="M12" s="11" t="s">
        <v>84</v>
      </c>
      <c r="N12" s="11" t="s">
        <v>84</v>
      </c>
      <c r="O12" s="1" t="s">
        <v>256</v>
      </c>
      <c r="P12" s="1" t="s">
        <v>257</v>
      </c>
    </row>
    <row r="13" ht="15" customHeight="1">
      <c r="A13" s="1" t="s">
        <v>258</v>
      </c>
      <c r="B13" s="1" t="s">
        <v>202</v>
      </c>
      <c r="C13" s="1" t="s">
        <v>229</v>
      </c>
      <c r="D13" s="1" t="s">
        <v>259</v>
      </c>
      <c r="E13" s="1" t="s">
        <v>260</v>
      </c>
      <c r="F13" s="1" t="s">
        <v>232</v>
      </c>
      <c r="G13" s="10" t="s">
        <v>207</v>
      </c>
      <c r="H13" s="10" t="s">
        <v>725</v>
      </c>
      <c r="I13" s="10" t="s">
        <v>725</v>
      </c>
      <c r="J13" s="11" t="s">
        <v>226</v>
      </c>
      <c r="K13" s="11" t="s">
        <v>84</v>
      </c>
      <c r="L13" s="11" t="s">
        <v>84</v>
      </c>
      <c r="M13" s="11" t="s">
        <v>209</v>
      </c>
      <c r="N13" s="11" t="s">
        <v>84</v>
      </c>
      <c r="O13" s="1" t="s">
        <v>261</v>
      </c>
      <c r="P13" s="1"/>
    </row>
    <row r="14" ht="15" customHeight="1">
      <c r="A14" s="1" t="s">
        <v>262</v>
      </c>
      <c r="B14" s="1" t="s">
        <v>202</v>
      </c>
      <c r="C14" s="1" t="s">
        <v>263</v>
      </c>
      <c r="D14" s="1" t="s">
        <v>264</v>
      </c>
      <c r="E14" s="1" t="s">
        <v>265</v>
      </c>
      <c r="F14" s="1" t="s">
        <v>206</v>
      </c>
      <c r="G14" s="10" t="s">
        <v>207</v>
      </c>
      <c r="H14" s="10" t="s">
        <v>725</v>
      </c>
      <c r="I14" s="10" t="s">
        <v>725</v>
      </c>
      <c r="J14" s="11" t="s">
        <v>209</v>
      </c>
      <c r="K14" s="11" t="s">
        <v>209</v>
      </c>
      <c r="L14" s="11" t="s">
        <v>209</v>
      </c>
      <c r="M14" s="11" t="s">
        <v>84</v>
      </c>
      <c r="N14" s="11" t="s">
        <v>84</v>
      </c>
      <c r="O14" s="1" t="s">
        <v>266</v>
      </c>
      <c r="P14" s="1"/>
    </row>
    <row r="15" ht="23.85" customHeight="1">
      <c r="A15" s="1" t="s">
        <v>267</v>
      </c>
      <c r="B15" s="1" t="s">
        <v>202</v>
      </c>
      <c r="C15" s="1" t="s">
        <v>229</v>
      </c>
      <c r="D15" s="1" t="s">
        <v>268</v>
      </c>
      <c r="E15" s="1" t="s">
        <v>269</v>
      </c>
      <c r="F15" s="1" t="s">
        <v>206</v>
      </c>
      <c r="G15" s="10" t="s">
        <v>207</v>
      </c>
      <c r="H15" s="10" t="s">
        <v>725</v>
      </c>
      <c r="I15" s="10" t="s">
        <v>725</v>
      </c>
      <c r="J15" s="11" t="s">
        <v>208</v>
      </c>
      <c r="K15" s="11" t="s">
        <v>209</v>
      </c>
      <c r="L15" s="11" t="s">
        <v>209</v>
      </c>
      <c r="M15" s="11" t="s">
        <v>208</v>
      </c>
      <c r="N15" s="11" t="s">
        <v>208</v>
      </c>
      <c r="O15" s="1" t="s">
        <v>270</v>
      </c>
      <c r="P15" s="1" t="s">
        <v>271</v>
      </c>
    </row>
    <row r="16" ht="15" customHeight="1">
      <c r="A16" s="1" t="s">
        <v>272</v>
      </c>
      <c r="B16" s="1" t="s">
        <v>202</v>
      </c>
      <c r="C16" s="1" t="s">
        <v>203</v>
      </c>
      <c r="D16" s="1" t="s">
        <v>273</v>
      </c>
      <c r="E16" s="1" t="s">
        <v>274</v>
      </c>
      <c r="F16" s="1" t="s">
        <v>206</v>
      </c>
      <c r="G16" s="10" t="s">
        <v>207</v>
      </c>
      <c r="H16" s="10" t="s">
        <v>926</v>
      </c>
      <c r="I16" s="10" t="s">
        <v>725</v>
      </c>
      <c r="J16" s="11" t="s">
        <v>209</v>
      </c>
      <c r="K16" s="11" t="s">
        <v>209</v>
      </c>
      <c r="L16" s="11" t="s">
        <v>209</v>
      </c>
      <c r="M16" s="11" t="s">
        <v>84</v>
      </c>
      <c r="N16" s="11" t="s">
        <v>209</v>
      </c>
      <c r="O16" s="1" t="s">
        <v>275</v>
      </c>
      <c r="P16" s="1"/>
    </row>
    <row r="17" ht="15" customHeight="1">
      <c r="A17" s="1" t="s">
        <v>276</v>
      </c>
      <c r="B17" s="1" t="s">
        <v>202</v>
      </c>
      <c r="C17" s="1" t="s">
        <v>229</v>
      </c>
      <c r="D17" s="1" t="s">
        <v>277</v>
      </c>
      <c r="E17" s="1" t="s">
        <v>278</v>
      </c>
      <c r="F17" s="1" t="s">
        <v>206</v>
      </c>
      <c r="G17" s="10" t="s">
        <v>207</v>
      </c>
      <c r="H17" s="10" t="s">
        <v>725</v>
      </c>
      <c r="I17" s="10" t="s">
        <v>725</v>
      </c>
      <c r="J17" s="11" t="s">
        <v>209</v>
      </c>
      <c r="K17" s="11" t="s">
        <v>84</v>
      </c>
      <c r="L17" s="11" t="s">
        <v>84</v>
      </c>
      <c r="M17" s="11" t="s">
        <v>208</v>
      </c>
      <c r="N17" s="11" t="s">
        <v>209</v>
      </c>
      <c r="O17" s="1" t="s">
        <v>279</v>
      </c>
      <c r="P17" s="1"/>
    </row>
    <row r="18" ht="15" customHeight="1">
      <c r="A18" s="1" t="s">
        <v>280</v>
      </c>
      <c r="B18" s="1" t="s">
        <v>202</v>
      </c>
      <c r="C18" s="1" t="s">
        <v>229</v>
      </c>
      <c r="D18" s="1" t="s">
        <v>281</v>
      </c>
      <c r="E18" s="1" t="s">
        <v>282</v>
      </c>
      <c r="F18" s="1" t="s">
        <v>206</v>
      </c>
      <c r="G18" s="10" t="s">
        <v>207</v>
      </c>
      <c r="H18" s="10" t="s">
        <v>725</v>
      </c>
      <c r="I18" s="10" t="s">
        <v>725</v>
      </c>
      <c r="J18" s="11" t="s">
        <v>209</v>
      </c>
      <c r="K18" s="11" t="s">
        <v>209</v>
      </c>
      <c r="L18" s="11" t="s">
        <v>209</v>
      </c>
      <c r="M18" s="11" t="s">
        <v>84</v>
      </c>
      <c r="N18" s="11" t="s">
        <v>84</v>
      </c>
      <c r="O18" s="1" t="s">
        <v>282</v>
      </c>
      <c r="P18" s="1"/>
    </row>
    <row r="19" ht="15" customHeight="1">
      <c r="A19" s="1" t="s">
        <v>283</v>
      </c>
      <c r="B19" s="1" t="s">
        <v>202</v>
      </c>
      <c r="C19" s="1" t="s">
        <v>284</v>
      </c>
      <c r="D19" s="1" t="s">
        <v>285</v>
      </c>
      <c r="E19" s="1" t="s">
        <v>205</v>
      </c>
      <c r="F19" s="1" t="s">
        <v>206</v>
      </c>
      <c r="G19" s="10" t="s">
        <v>207</v>
      </c>
      <c r="H19" s="10" t="s">
        <v>926</v>
      </c>
      <c r="I19" s="10" t="s">
        <v>725</v>
      </c>
      <c r="J19" s="11" t="s">
        <v>209</v>
      </c>
      <c r="K19" s="11" t="s">
        <v>209</v>
      </c>
      <c r="L19" s="11" t="s">
        <v>209</v>
      </c>
      <c r="M19" s="11" t="s">
        <v>84</v>
      </c>
      <c r="N19" s="11" t="s">
        <v>84</v>
      </c>
      <c r="O19" s="1" t="s">
        <v>286</v>
      </c>
      <c r="P19" s="1"/>
    </row>
    <row r="20" ht="15" customHeight="1">
      <c r="A20" s="1" t="s">
        <v>287</v>
      </c>
      <c r="B20" s="1" t="s">
        <v>202</v>
      </c>
      <c r="C20" s="1" t="s">
        <v>284</v>
      </c>
      <c r="D20" s="1" t="s">
        <v>288</v>
      </c>
      <c r="E20" s="1" t="s">
        <v>289</v>
      </c>
      <c r="F20" s="1" t="s">
        <v>254</v>
      </c>
      <c r="G20" s="10" t="s">
        <v>255</v>
      </c>
      <c r="H20" s="10" t="s">
        <v>725</v>
      </c>
      <c r="I20" s="10" t="s">
        <v>725</v>
      </c>
      <c r="J20" s="11" t="s">
        <v>209</v>
      </c>
      <c r="K20" s="11" t="s">
        <v>209</v>
      </c>
      <c r="L20" s="11" t="s">
        <v>209</v>
      </c>
      <c r="M20" s="11" t="s">
        <v>84</v>
      </c>
      <c r="N20" s="11" t="s">
        <v>84</v>
      </c>
      <c r="O20" s="1" t="s">
        <v>927</v>
      </c>
      <c r="P20" s="1"/>
    </row>
    <row r="21" ht="23.85" customHeight="1">
      <c r="A21" s="1" t="s">
        <v>291</v>
      </c>
      <c r="B21" s="1" t="s">
        <v>202</v>
      </c>
      <c r="C21" s="1" t="s">
        <v>203</v>
      </c>
      <c r="D21" s="1" t="s">
        <v>292</v>
      </c>
      <c r="E21" s="1" t="s">
        <v>293</v>
      </c>
      <c r="F21" s="1" t="s">
        <v>254</v>
      </c>
      <c r="G21" s="10" t="s">
        <v>255</v>
      </c>
      <c r="H21" s="10" t="s">
        <v>725</v>
      </c>
      <c r="I21" s="10" t="s">
        <v>725</v>
      </c>
      <c r="J21" s="11" t="s">
        <v>209</v>
      </c>
      <c r="K21" s="11" t="s">
        <v>209</v>
      </c>
      <c r="L21" s="11" t="s">
        <v>209</v>
      </c>
      <c r="M21" s="11" t="s">
        <v>84</v>
      </c>
      <c r="N21" s="11" t="s">
        <v>84</v>
      </c>
      <c r="O21" s="1" t="s">
        <v>928</v>
      </c>
      <c r="P21" s="1" t="s">
        <v>295</v>
      </c>
    </row>
    <row r="22" ht="23.85" customHeight="1">
      <c r="A22" s="1" t="s">
        <v>296</v>
      </c>
      <c r="B22" s="1" t="s">
        <v>297</v>
      </c>
      <c r="C22" s="1" t="s">
        <v>203</v>
      </c>
      <c r="D22" s="1" t="s">
        <v>298</v>
      </c>
      <c r="E22" s="1" t="s">
        <v>299</v>
      </c>
      <c r="F22" s="1" t="s">
        <v>206</v>
      </c>
      <c r="G22" s="10" t="s">
        <v>207</v>
      </c>
      <c r="H22" s="10" t="s">
        <v>925</v>
      </c>
      <c r="I22" s="10" t="s">
        <v>725</v>
      </c>
      <c r="J22" s="11" t="s">
        <v>208</v>
      </c>
      <c r="K22" s="9" t="s">
        <v>208</v>
      </c>
      <c r="L22" s="9" t="s">
        <v>208</v>
      </c>
      <c r="M22" s="11" t="s">
        <v>208</v>
      </c>
      <c r="N22" s="11" t="s">
        <v>208</v>
      </c>
      <c r="O22" s="1" t="s">
        <v>300</v>
      </c>
      <c r="P22" s="1" t="s">
        <v>301</v>
      </c>
    </row>
    <row r="23" ht="15" customHeight="1">
      <c r="A23" s="1" t="s">
        <v>302</v>
      </c>
      <c r="B23" s="1" t="s">
        <v>297</v>
      </c>
      <c r="C23" s="1" t="s">
        <v>203</v>
      </c>
      <c r="D23" s="1" t="s">
        <v>303</v>
      </c>
      <c r="E23" s="1" t="s">
        <v>304</v>
      </c>
      <c r="F23" s="1" t="s">
        <v>254</v>
      </c>
      <c r="G23" s="10" t="s">
        <v>255</v>
      </c>
      <c r="H23" s="10" t="s">
        <v>725</v>
      </c>
      <c r="I23" s="10" t="s">
        <v>725</v>
      </c>
      <c r="J23" s="11" t="s">
        <v>208</v>
      </c>
      <c r="K23" s="11" t="s">
        <v>84</v>
      </c>
      <c r="L23" s="11" t="s">
        <v>84</v>
      </c>
      <c r="M23" s="11" t="s">
        <v>208</v>
      </c>
      <c r="N23" s="11" t="s">
        <v>208</v>
      </c>
      <c r="O23" s="1" t="s">
        <v>929</v>
      </c>
      <c r="P23" s="1"/>
    </row>
    <row r="24" ht="15" customHeight="1">
      <c r="A24" s="1" t="s">
        <v>306</v>
      </c>
      <c r="B24" s="1" t="s">
        <v>297</v>
      </c>
      <c r="C24" s="1" t="s">
        <v>229</v>
      </c>
      <c r="D24" s="1" t="s">
        <v>307</v>
      </c>
      <c r="E24" s="1" t="s">
        <v>308</v>
      </c>
      <c r="F24" s="1" t="s">
        <v>232</v>
      </c>
      <c r="G24" s="10" t="s">
        <v>207</v>
      </c>
      <c r="H24" s="10" t="s">
        <v>725</v>
      </c>
      <c r="I24" s="10" t="s">
        <v>725</v>
      </c>
      <c r="J24" s="11" t="s">
        <v>209</v>
      </c>
      <c r="K24" s="11" t="s">
        <v>209</v>
      </c>
      <c r="L24" s="11" t="s">
        <v>84</v>
      </c>
      <c r="M24" s="11" t="s">
        <v>84</v>
      </c>
      <c r="N24" s="11" t="s">
        <v>84</v>
      </c>
      <c r="O24" s="1" t="s">
        <v>309</v>
      </c>
      <c r="P24" s="1"/>
    </row>
    <row r="25" ht="15" customHeight="1">
      <c r="A25" s="1" t="s">
        <v>310</v>
      </c>
      <c r="B25" s="1" t="s">
        <v>297</v>
      </c>
      <c r="C25" s="1" t="s">
        <v>229</v>
      </c>
      <c r="D25" s="1" t="s">
        <v>311</v>
      </c>
      <c r="E25" s="1" t="s">
        <v>312</v>
      </c>
      <c r="F25" s="1" t="s">
        <v>232</v>
      </c>
      <c r="G25" s="10" t="s">
        <v>207</v>
      </c>
      <c r="H25" s="10" t="s">
        <v>725</v>
      </c>
      <c r="I25" s="10" t="s">
        <v>725</v>
      </c>
      <c r="J25" s="11" t="s">
        <v>209</v>
      </c>
      <c r="K25" s="11" t="s">
        <v>209</v>
      </c>
      <c r="L25" s="11" t="s">
        <v>84</v>
      </c>
      <c r="M25" s="11" t="s">
        <v>209</v>
      </c>
      <c r="N25" s="11" t="s">
        <v>84</v>
      </c>
      <c r="O25" s="1" t="s">
        <v>312</v>
      </c>
      <c r="P25" s="1" t="s">
        <v>313</v>
      </c>
    </row>
    <row r="26" ht="15" customHeight="1">
      <c r="A26" s="1" t="s">
        <v>314</v>
      </c>
      <c r="B26" s="1" t="s">
        <v>297</v>
      </c>
      <c r="C26" s="1" t="s">
        <v>203</v>
      </c>
      <c r="D26" s="1" t="s">
        <v>315</v>
      </c>
      <c r="E26" s="1" t="s">
        <v>312</v>
      </c>
      <c r="F26" s="1" t="s">
        <v>232</v>
      </c>
      <c r="G26" s="10" t="s">
        <v>207</v>
      </c>
      <c r="H26" s="10" t="s">
        <v>926</v>
      </c>
      <c r="I26" s="10" t="s">
        <v>725</v>
      </c>
      <c r="J26" s="11" t="s">
        <v>209</v>
      </c>
      <c r="K26" s="11" t="s">
        <v>209</v>
      </c>
      <c r="L26" s="11" t="s">
        <v>84</v>
      </c>
      <c r="M26" s="11" t="s">
        <v>209</v>
      </c>
      <c r="N26" s="11" t="s">
        <v>84</v>
      </c>
      <c r="O26" s="1" t="s">
        <v>312</v>
      </c>
      <c r="P26" s="1" t="s">
        <v>313</v>
      </c>
    </row>
    <row r="27" ht="15" customHeight="1">
      <c r="A27" s="1" t="s">
        <v>316</v>
      </c>
      <c r="B27" s="1" t="s">
        <v>297</v>
      </c>
      <c r="C27" s="1" t="s">
        <v>284</v>
      </c>
      <c r="D27" s="1" t="s">
        <v>317</v>
      </c>
      <c r="E27" s="1" t="s">
        <v>318</v>
      </c>
      <c r="F27" s="1" t="s">
        <v>232</v>
      </c>
      <c r="G27" s="10" t="s">
        <v>207</v>
      </c>
      <c r="H27" s="10" t="s">
        <v>725</v>
      </c>
      <c r="I27" s="10" t="s">
        <v>725</v>
      </c>
      <c r="J27" s="11" t="s">
        <v>209</v>
      </c>
      <c r="K27" s="11" t="s">
        <v>209</v>
      </c>
      <c r="L27" s="11" t="s">
        <v>84</v>
      </c>
      <c r="M27" s="11" t="s">
        <v>84</v>
      </c>
      <c r="N27" s="11" t="s">
        <v>84</v>
      </c>
      <c r="O27" s="1" t="s">
        <v>319</v>
      </c>
      <c r="P27" s="1"/>
    </row>
    <row r="28" ht="23.85" customHeight="1">
      <c r="A28" s="1" t="s">
        <v>320</v>
      </c>
      <c r="B28" s="1" t="s">
        <v>297</v>
      </c>
      <c r="C28" s="1" t="s">
        <v>203</v>
      </c>
      <c r="D28" s="1" t="s">
        <v>321</v>
      </c>
      <c r="E28" s="1" t="s">
        <v>322</v>
      </c>
      <c r="F28" s="1" t="s">
        <v>232</v>
      </c>
      <c r="G28" s="10" t="s">
        <v>207</v>
      </c>
      <c r="H28" s="10" t="s">
        <v>725</v>
      </c>
      <c r="I28" s="10" t="s">
        <v>725</v>
      </c>
      <c r="J28" s="11" t="s">
        <v>209</v>
      </c>
      <c r="K28" s="11" t="s">
        <v>209</v>
      </c>
      <c r="L28" s="11" t="s">
        <v>84</v>
      </c>
      <c r="M28" s="11" t="s">
        <v>84</v>
      </c>
      <c r="N28" s="11" t="s">
        <v>84</v>
      </c>
      <c r="O28" s="1" t="s">
        <v>323</v>
      </c>
      <c r="P28" s="1" t="s">
        <v>324</v>
      </c>
    </row>
    <row r="29" ht="15" customHeight="1">
      <c r="A29" s="1" t="s">
        <v>325</v>
      </c>
      <c r="B29" s="1" t="s">
        <v>297</v>
      </c>
      <c r="C29" s="1" t="s">
        <v>203</v>
      </c>
      <c r="D29" s="1" t="s">
        <v>326</v>
      </c>
      <c r="E29" s="1" t="s">
        <v>327</v>
      </c>
      <c r="F29" s="1" t="s">
        <v>232</v>
      </c>
      <c r="G29" s="10" t="s">
        <v>207</v>
      </c>
      <c r="H29" s="10" t="s">
        <v>725</v>
      </c>
      <c r="I29" s="10" t="s">
        <v>725</v>
      </c>
      <c r="J29" s="11" t="s">
        <v>209</v>
      </c>
      <c r="K29" s="11" t="s">
        <v>209</v>
      </c>
      <c r="L29" s="11" t="s">
        <v>84</v>
      </c>
      <c r="M29" s="11" t="s">
        <v>84</v>
      </c>
      <c r="N29" s="11" t="s">
        <v>84</v>
      </c>
      <c r="O29" s="1" t="s">
        <v>328</v>
      </c>
      <c r="P29" s="1"/>
    </row>
    <row r="30" ht="15" customHeight="1">
      <c r="A30" s="12" t="s">
        <v>329</v>
      </c>
      <c r="B30" s="1" t="s">
        <v>297</v>
      </c>
      <c r="C30" s="1" t="s">
        <v>203</v>
      </c>
      <c r="D30" s="1" t="s">
        <v>330</v>
      </c>
      <c r="E30" s="1" t="s">
        <v>331</v>
      </c>
      <c r="F30" s="12" t="s">
        <v>254</v>
      </c>
      <c r="G30" s="10" t="s">
        <v>255</v>
      </c>
      <c r="H30" s="10" t="s">
        <v>725</v>
      </c>
      <c r="I30" s="10" t="s">
        <v>725</v>
      </c>
      <c r="J30" s="11" t="s">
        <v>84</v>
      </c>
      <c r="K30" s="11" t="s">
        <v>84</v>
      </c>
      <c r="L30" s="11" t="s">
        <v>84</v>
      </c>
      <c r="M30" s="11" t="s">
        <v>84</v>
      </c>
      <c r="N30" s="11" t="s">
        <v>84</v>
      </c>
      <c r="O30" s="1" t="s">
        <v>332</v>
      </c>
      <c r="P30" s="1" t="s">
        <v>333</v>
      </c>
    </row>
    <row r="31" ht="23.85" customHeight="1">
      <c r="A31" s="12" t="s">
        <v>174</v>
      </c>
      <c r="B31" s="1" t="s">
        <v>297</v>
      </c>
      <c r="C31" s="1" t="s">
        <v>203</v>
      </c>
      <c r="D31" s="1" t="s">
        <v>334</v>
      </c>
      <c r="E31" s="1" t="s">
        <v>335</v>
      </c>
      <c r="F31" s="12" t="s">
        <v>254</v>
      </c>
      <c r="G31" s="10" t="s">
        <v>255</v>
      </c>
      <c r="H31" s="10" t="s">
        <v>725</v>
      </c>
      <c r="I31" s="10" t="s">
        <v>725</v>
      </c>
      <c r="J31" s="11" t="s">
        <v>84</v>
      </c>
      <c r="K31" s="11" t="s">
        <v>84</v>
      </c>
      <c r="L31" s="11" t="s">
        <v>84</v>
      </c>
      <c r="M31" s="11" t="s">
        <v>84</v>
      </c>
      <c r="N31" s="11" t="s">
        <v>84</v>
      </c>
      <c r="O31" s="1" t="s">
        <v>336</v>
      </c>
      <c r="P31" s="1" t="s">
        <v>337</v>
      </c>
    </row>
    <row r="32" ht="15" customHeight="1">
      <c r="A32" s="1" t="s">
        <v>338</v>
      </c>
      <c r="B32" s="1" t="s">
        <v>339</v>
      </c>
      <c r="C32" s="1" t="s">
        <v>229</v>
      </c>
      <c r="D32" s="1" t="s">
        <v>340</v>
      </c>
      <c r="E32" s="1" t="s">
        <v>341</v>
      </c>
      <c r="F32" s="1" t="s">
        <v>232</v>
      </c>
      <c r="G32" s="10" t="s">
        <v>207</v>
      </c>
      <c r="H32" s="10" t="s">
        <v>725</v>
      </c>
      <c r="I32" s="10" t="s">
        <v>725</v>
      </c>
      <c r="J32" s="11" t="s">
        <v>209</v>
      </c>
      <c r="K32" s="11" t="s">
        <v>209</v>
      </c>
      <c r="L32" s="11" t="s">
        <v>84</v>
      </c>
      <c r="M32" s="11" t="s">
        <v>84</v>
      </c>
      <c r="N32" s="11" t="s">
        <v>84</v>
      </c>
      <c r="O32" s="1" t="s">
        <v>342</v>
      </c>
      <c r="P32" s="1" t="s">
        <v>343</v>
      </c>
    </row>
    <row r="33" ht="15" customHeight="1">
      <c r="A33" s="1" t="s">
        <v>344</v>
      </c>
      <c r="B33" s="1" t="s">
        <v>339</v>
      </c>
      <c r="C33" s="1" t="s">
        <v>229</v>
      </c>
      <c r="D33" s="1" t="s">
        <v>345</v>
      </c>
      <c r="E33" s="1" t="s">
        <v>346</v>
      </c>
      <c r="F33" s="1" t="s">
        <v>232</v>
      </c>
      <c r="G33" s="10" t="s">
        <v>207</v>
      </c>
      <c r="H33" s="10" t="s">
        <v>725</v>
      </c>
      <c r="I33" s="10" t="s">
        <v>725</v>
      </c>
      <c r="J33" s="11" t="s">
        <v>209</v>
      </c>
      <c r="K33" s="11" t="s">
        <v>209</v>
      </c>
      <c r="L33" s="11" t="s">
        <v>84</v>
      </c>
      <c r="M33" s="11" t="s">
        <v>84</v>
      </c>
      <c r="N33" s="11" t="s">
        <v>84</v>
      </c>
      <c r="O33" s="1" t="s">
        <v>347</v>
      </c>
      <c r="P33" s="1" t="s">
        <v>348</v>
      </c>
    </row>
    <row r="34" ht="15" customHeight="1">
      <c r="A34" s="12" t="s">
        <v>349</v>
      </c>
      <c r="B34" s="1" t="s">
        <v>339</v>
      </c>
      <c r="C34" s="1" t="s">
        <v>203</v>
      </c>
      <c r="D34" s="1" t="s">
        <v>350</v>
      </c>
      <c r="E34" s="1" t="s">
        <v>351</v>
      </c>
      <c r="F34" s="12" t="s">
        <v>254</v>
      </c>
      <c r="G34" s="10" t="s">
        <v>255</v>
      </c>
      <c r="H34" s="10" t="s">
        <v>725</v>
      </c>
      <c r="I34" s="10" t="s">
        <v>725</v>
      </c>
      <c r="J34" s="11" t="s">
        <v>84</v>
      </c>
      <c r="K34" s="11" t="s">
        <v>84</v>
      </c>
      <c r="L34" s="11" t="s">
        <v>84</v>
      </c>
      <c r="M34" s="11" t="s">
        <v>84</v>
      </c>
      <c r="N34" s="11" t="s">
        <v>84</v>
      </c>
      <c r="O34" s="1" t="s">
        <v>352</v>
      </c>
      <c r="P34" s="1"/>
    </row>
    <row r="35" ht="23.85" customHeight="1">
      <c r="A35" s="1" t="s">
        <v>353</v>
      </c>
      <c r="B35" s="1" t="s">
        <v>339</v>
      </c>
      <c r="C35" s="1" t="s">
        <v>229</v>
      </c>
      <c r="D35" s="1" t="s">
        <v>354</v>
      </c>
      <c r="E35" s="1" t="s">
        <v>355</v>
      </c>
      <c r="F35" s="1" t="s">
        <v>254</v>
      </c>
      <c r="G35" s="10" t="s">
        <v>255</v>
      </c>
      <c r="H35" s="10" t="s">
        <v>725</v>
      </c>
      <c r="I35" s="10" t="s">
        <v>725</v>
      </c>
      <c r="J35" s="11" t="s">
        <v>209</v>
      </c>
      <c r="K35" s="11" t="s">
        <v>209</v>
      </c>
      <c r="L35" s="11" t="s">
        <v>84</v>
      </c>
      <c r="M35" s="11" t="s">
        <v>209</v>
      </c>
      <c r="N35" s="11" t="s">
        <v>84</v>
      </c>
      <c r="O35" s="1" t="s">
        <v>930</v>
      </c>
      <c r="P35" s="1" t="s">
        <v>357</v>
      </c>
    </row>
    <row r="36" ht="15" customHeight="1">
      <c r="A36" s="1" t="s">
        <v>358</v>
      </c>
      <c r="B36" s="1" t="s">
        <v>339</v>
      </c>
      <c r="C36" s="1" t="s">
        <v>203</v>
      </c>
      <c r="D36" s="1" t="s">
        <v>359</v>
      </c>
      <c r="E36" s="1" t="s">
        <v>157</v>
      </c>
      <c r="F36" s="1" t="s">
        <v>206</v>
      </c>
      <c r="G36" s="10" t="s">
        <v>207</v>
      </c>
      <c r="H36" s="10" t="s">
        <v>926</v>
      </c>
      <c r="I36" s="10" t="s">
        <v>725</v>
      </c>
      <c r="J36" s="11" t="s">
        <v>209</v>
      </c>
      <c r="K36" s="11" t="s">
        <v>209</v>
      </c>
      <c r="L36" s="11" t="s">
        <v>209</v>
      </c>
      <c r="M36" s="11" t="s">
        <v>209</v>
      </c>
      <c r="N36" s="11" t="s">
        <v>209</v>
      </c>
      <c r="O36" s="1" t="s">
        <v>360</v>
      </c>
      <c r="P36" s="1"/>
    </row>
    <row r="37" ht="15" customHeight="1">
      <c r="A37" s="1" t="s">
        <v>361</v>
      </c>
      <c r="B37" s="1" t="s">
        <v>339</v>
      </c>
      <c r="C37" s="1" t="s">
        <v>203</v>
      </c>
      <c r="D37" s="1" t="s">
        <v>362</v>
      </c>
      <c r="E37" s="1" t="s">
        <v>363</v>
      </c>
      <c r="F37" s="1" t="s">
        <v>206</v>
      </c>
      <c r="G37" s="10" t="s">
        <v>207</v>
      </c>
      <c r="H37" s="10" t="s">
        <v>926</v>
      </c>
      <c r="I37" s="10" t="s">
        <v>725</v>
      </c>
      <c r="J37" s="11" t="s">
        <v>209</v>
      </c>
      <c r="K37" s="11" t="s">
        <v>209</v>
      </c>
      <c r="L37" s="11" t="s">
        <v>209</v>
      </c>
      <c r="M37" s="11" t="s">
        <v>84</v>
      </c>
      <c r="N37" s="11" t="s">
        <v>84</v>
      </c>
      <c r="O37" s="1" t="s">
        <v>363</v>
      </c>
      <c r="P37" s="1"/>
    </row>
    <row r="38" ht="15" customHeight="1">
      <c r="A38" s="1" t="s">
        <v>364</v>
      </c>
      <c r="B38" s="1" t="s">
        <v>339</v>
      </c>
      <c r="C38" s="1" t="s">
        <v>203</v>
      </c>
      <c r="D38" s="1" t="s">
        <v>365</v>
      </c>
      <c r="E38" s="1" t="s">
        <v>366</v>
      </c>
      <c r="F38" s="1" t="s">
        <v>232</v>
      </c>
      <c r="G38" s="10" t="s">
        <v>207</v>
      </c>
      <c r="H38" s="10" t="s">
        <v>725</v>
      </c>
      <c r="I38" s="10" t="s">
        <v>725</v>
      </c>
      <c r="J38" s="11" t="s">
        <v>209</v>
      </c>
      <c r="K38" s="11" t="s">
        <v>84</v>
      </c>
      <c r="L38" s="11" t="s">
        <v>84</v>
      </c>
      <c r="M38" s="11" t="s">
        <v>209</v>
      </c>
      <c r="N38" s="11" t="s">
        <v>84</v>
      </c>
      <c r="O38" s="1" t="s">
        <v>366</v>
      </c>
      <c r="P38" s="1"/>
    </row>
    <row r="39" ht="23.85" customHeight="1">
      <c r="A39" s="12" t="s">
        <v>367</v>
      </c>
      <c r="B39" s="1" t="s">
        <v>339</v>
      </c>
      <c r="C39" s="1" t="s">
        <v>203</v>
      </c>
      <c r="D39" s="1" t="s">
        <v>368</v>
      </c>
      <c r="E39" s="1" t="s">
        <v>369</v>
      </c>
      <c r="F39" s="12" t="s">
        <v>254</v>
      </c>
      <c r="G39" s="10" t="s">
        <v>255</v>
      </c>
      <c r="H39" s="10" t="s">
        <v>725</v>
      </c>
      <c r="I39" s="10" t="s">
        <v>725</v>
      </c>
      <c r="J39" s="11" t="s">
        <v>84</v>
      </c>
      <c r="K39" s="11" t="s">
        <v>84</v>
      </c>
      <c r="L39" s="11" t="s">
        <v>84</v>
      </c>
      <c r="M39" s="11" t="s">
        <v>84</v>
      </c>
      <c r="N39" s="11" t="s">
        <v>84</v>
      </c>
      <c r="O39" s="1" t="s">
        <v>370</v>
      </c>
      <c r="P39" s="1" t="s">
        <v>371</v>
      </c>
    </row>
    <row r="40" ht="15" customHeight="1">
      <c r="A40" s="12" t="s">
        <v>372</v>
      </c>
      <c r="B40" s="1" t="s">
        <v>339</v>
      </c>
      <c r="C40" s="1" t="s">
        <v>229</v>
      </c>
      <c r="D40" s="1" t="s">
        <v>373</v>
      </c>
      <c r="E40" s="1" t="s">
        <v>253</v>
      </c>
      <c r="F40" s="12" t="s">
        <v>254</v>
      </c>
      <c r="G40" s="10" t="s">
        <v>255</v>
      </c>
      <c r="H40" s="10" t="s">
        <v>725</v>
      </c>
      <c r="I40" s="10" t="s">
        <v>725</v>
      </c>
      <c r="J40" s="11" t="s">
        <v>84</v>
      </c>
      <c r="K40" s="11" t="s">
        <v>84</v>
      </c>
      <c r="L40" s="11" t="s">
        <v>84</v>
      </c>
      <c r="M40" s="11" t="s">
        <v>84</v>
      </c>
      <c r="N40" s="11" t="s">
        <v>84</v>
      </c>
      <c r="O40" s="1" t="s">
        <v>374</v>
      </c>
      <c r="P40" s="1" t="s">
        <v>375</v>
      </c>
    </row>
    <row r="41" ht="15" customHeight="1">
      <c r="A41" s="12" t="s">
        <v>376</v>
      </c>
      <c r="B41" s="1" t="s">
        <v>339</v>
      </c>
      <c r="C41" s="1" t="s">
        <v>284</v>
      </c>
      <c r="D41" s="1" t="s">
        <v>377</v>
      </c>
      <c r="E41" s="1" t="s">
        <v>378</v>
      </c>
      <c r="F41" s="12" t="s">
        <v>254</v>
      </c>
      <c r="G41" s="10" t="s">
        <v>255</v>
      </c>
      <c r="H41" s="10" t="s">
        <v>725</v>
      </c>
      <c r="I41" s="10" t="s">
        <v>725</v>
      </c>
      <c r="J41" s="11" t="s">
        <v>84</v>
      </c>
      <c r="K41" s="11" t="s">
        <v>84</v>
      </c>
      <c r="L41" s="11" t="s">
        <v>84</v>
      </c>
      <c r="M41" s="11" t="s">
        <v>84</v>
      </c>
      <c r="N41" s="11" t="s">
        <v>84</v>
      </c>
      <c r="O41" s="1" t="s">
        <v>379</v>
      </c>
      <c r="P41" s="1" t="s">
        <v>379</v>
      </c>
    </row>
    <row r="42" ht="15" customHeight="1">
      <c r="A42" s="12" t="s">
        <v>380</v>
      </c>
      <c r="B42" s="1" t="s">
        <v>339</v>
      </c>
      <c r="C42" s="1" t="s">
        <v>229</v>
      </c>
      <c r="D42" s="1" t="s">
        <v>381</v>
      </c>
      <c r="E42" s="1" t="s">
        <v>382</v>
      </c>
      <c r="F42" s="12" t="s">
        <v>254</v>
      </c>
      <c r="G42" s="10" t="s">
        <v>255</v>
      </c>
      <c r="H42" s="10" t="s">
        <v>725</v>
      </c>
      <c r="I42" s="10" t="s">
        <v>725</v>
      </c>
      <c r="J42" s="11" t="s">
        <v>84</v>
      </c>
      <c r="K42" s="11" t="s">
        <v>84</v>
      </c>
      <c r="L42" s="11" t="s">
        <v>84</v>
      </c>
      <c r="M42" s="11" t="s">
        <v>84</v>
      </c>
      <c r="N42" s="11" t="s">
        <v>84</v>
      </c>
      <c r="O42" s="1" t="s">
        <v>379</v>
      </c>
      <c r="P42" s="1" t="s">
        <v>383</v>
      </c>
    </row>
    <row r="43" ht="23.85" customHeight="1">
      <c r="A43" s="12" t="s">
        <v>384</v>
      </c>
      <c r="B43" s="1" t="s">
        <v>339</v>
      </c>
      <c r="C43" s="1" t="s">
        <v>229</v>
      </c>
      <c r="D43" s="1" t="s">
        <v>385</v>
      </c>
      <c r="E43" s="1" t="s">
        <v>386</v>
      </c>
      <c r="F43" s="12" t="s">
        <v>254</v>
      </c>
      <c r="G43" s="10" t="s">
        <v>255</v>
      </c>
      <c r="H43" s="10" t="s">
        <v>725</v>
      </c>
      <c r="I43" s="10" t="s">
        <v>725</v>
      </c>
      <c r="J43" s="11" t="s">
        <v>84</v>
      </c>
      <c r="K43" s="11" t="s">
        <v>84</v>
      </c>
      <c r="L43" s="11" t="s">
        <v>84</v>
      </c>
      <c r="M43" s="11" t="s">
        <v>84</v>
      </c>
      <c r="N43" s="11" t="s">
        <v>84</v>
      </c>
      <c r="O43" s="1" t="s">
        <v>387</v>
      </c>
      <c r="P43" s="1" t="s">
        <v>388</v>
      </c>
    </row>
    <row r="44" ht="15" customHeight="1">
      <c r="A44" s="12" t="s">
        <v>389</v>
      </c>
      <c r="B44" s="1" t="s">
        <v>339</v>
      </c>
      <c r="C44" s="1" t="s">
        <v>229</v>
      </c>
      <c r="D44" s="1" t="s">
        <v>390</v>
      </c>
      <c r="E44" s="1" t="s">
        <v>391</v>
      </c>
      <c r="F44" s="12" t="s">
        <v>254</v>
      </c>
      <c r="G44" s="10" t="s">
        <v>255</v>
      </c>
      <c r="H44" s="10" t="s">
        <v>725</v>
      </c>
      <c r="I44" s="10" t="s">
        <v>725</v>
      </c>
      <c r="J44" s="11" t="s">
        <v>84</v>
      </c>
      <c r="K44" s="11" t="s">
        <v>84</v>
      </c>
      <c r="L44" s="11" t="s">
        <v>84</v>
      </c>
      <c r="M44" s="11" t="s">
        <v>84</v>
      </c>
      <c r="N44" s="11" t="s">
        <v>84</v>
      </c>
      <c r="O44" s="1" t="s">
        <v>391</v>
      </c>
      <c r="P44" s="1" t="s">
        <v>392</v>
      </c>
    </row>
    <row r="45" ht="23.85" customHeight="1">
      <c r="A45" s="12" t="s">
        <v>393</v>
      </c>
      <c r="B45" s="1" t="s">
        <v>339</v>
      </c>
      <c r="C45" s="1" t="s">
        <v>229</v>
      </c>
      <c r="D45" s="1" t="s">
        <v>394</v>
      </c>
      <c r="E45" s="1" t="s">
        <v>395</v>
      </c>
      <c r="F45" s="12" t="s">
        <v>254</v>
      </c>
      <c r="G45" s="10" t="s">
        <v>255</v>
      </c>
      <c r="H45" s="10" t="s">
        <v>725</v>
      </c>
      <c r="I45" s="10" t="s">
        <v>725</v>
      </c>
      <c r="J45" s="11" t="s">
        <v>84</v>
      </c>
      <c r="K45" s="11" t="s">
        <v>84</v>
      </c>
      <c r="L45" s="11" t="s">
        <v>84</v>
      </c>
      <c r="M45" s="11" t="s">
        <v>84</v>
      </c>
      <c r="N45" s="11" t="s">
        <v>84</v>
      </c>
      <c r="O45" s="1" t="s">
        <v>396</v>
      </c>
      <c r="P45" s="1" t="s">
        <v>396</v>
      </c>
    </row>
    <row r="46" ht="23.85" customHeight="1">
      <c r="A46" s="12" t="s">
        <v>397</v>
      </c>
      <c r="B46" s="1" t="s">
        <v>339</v>
      </c>
      <c r="C46" s="1" t="s">
        <v>229</v>
      </c>
      <c r="D46" s="1" t="s">
        <v>398</v>
      </c>
      <c r="E46" s="1" t="s">
        <v>399</v>
      </c>
      <c r="F46" s="12" t="s">
        <v>254</v>
      </c>
      <c r="G46" s="10" t="s">
        <v>255</v>
      </c>
      <c r="H46" s="10" t="s">
        <v>725</v>
      </c>
      <c r="I46" s="10" t="s">
        <v>725</v>
      </c>
      <c r="J46" s="11" t="s">
        <v>84</v>
      </c>
      <c r="K46" s="11" t="s">
        <v>84</v>
      </c>
      <c r="L46" s="11" t="s">
        <v>84</v>
      </c>
      <c r="M46" s="11" t="s">
        <v>84</v>
      </c>
      <c r="N46" s="11" t="s">
        <v>84</v>
      </c>
      <c r="O46" s="1" t="s">
        <v>399</v>
      </c>
      <c r="P46" s="1" t="s">
        <v>400</v>
      </c>
    </row>
    <row r="47" ht="15" customHeight="1">
      <c r="A47" s="1" t="s">
        <v>401</v>
      </c>
      <c r="B47" s="1" t="s">
        <v>402</v>
      </c>
      <c r="C47" s="1" t="s">
        <v>229</v>
      </c>
      <c r="D47" s="1" t="s">
        <v>403</v>
      </c>
      <c r="E47" s="1" t="s">
        <v>404</v>
      </c>
      <c r="F47" s="1" t="s">
        <v>254</v>
      </c>
      <c r="G47" s="10" t="s">
        <v>255</v>
      </c>
      <c r="H47" s="10" t="s">
        <v>725</v>
      </c>
      <c r="I47" s="10" t="s">
        <v>725</v>
      </c>
      <c r="J47" s="11" t="s">
        <v>208</v>
      </c>
      <c r="K47" s="11" t="s">
        <v>208</v>
      </c>
      <c r="L47" s="11" t="s">
        <v>208</v>
      </c>
      <c r="M47" s="11" t="s">
        <v>208</v>
      </c>
      <c r="N47" s="11" t="s">
        <v>208</v>
      </c>
      <c r="O47" s="1" t="s">
        <v>931</v>
      </c>
      <c r="P47" s="1"/>
    </row>
    <row r="48" ht="23.85" customHeight="1">
      <c r="A48" s="1" t="s">
        <v>406</v>
      </c>
      <c r="B48" s="1" t="s">
        <v>402</v>
      </c>
      <c r="C48" s="1" t="s">
        <v>229</v>
      </c>
      <c r="D48" s="1" t="s">
        <v>407</v>
      </c>
      <c r="E48" s="1" t="s">
        <v>408</v>
      </c>
      <c r="F48" s="1" t="s">
        <v>206</v>
      </c>
      <c r="G48" s="10" t="s">
        <v>207</v>
      </c>
      <c r="H48" s="10" t="s">
        <v>725</v>
      </c>
      <c r="I48" s="10" t="s">
        <v>725</v>
      </c>
      <c r="J48" s="11" t="s">
        <v>208</v>
      </c>
      <c r="K48" s="11" t="s">
        <v>208</v>
      </c>
      <c r="L48" s="11" t="s">
        <v>208</v>
      </c>
      <c r="M48" s="11" t="s">
        <v>208</v>
      </c>
      <c r="N48" s="11" t="s">
        <v>209</v>
      </c>
      <c r="O48" s="1" t="s">
        <v>409</v>
      </c>
      <c r="P48" s="1"/>
    </row>
    <row r="49" ht="15" customHeight="1">
      <c r="A49" s="12" t="s">
        <v>410</v>
      </c>
      <c r="B49" s="1" t="s">
        <v>402</v>
      </c>
      <c r="C49" s="1" t="s">
        <v>203</v>
      </c>
      <c r="D49" s="1" t="s">
        <v>411</v>
      </c>
      <c r="E49" s="1" t="s">
        <v>412</v>
      </c>
      <c r="F49" s="12" t="s">
        <v>254</v>
      </c>
      <c r="G49" s="10" t="s">
        <v>255</v>
      </c>
      <c r="H49" s="10" t="s">
        <v>725</v>
      </c>
      <c r="I49" s="10" t="s">
        <v>725</v>
      </c>
      <c r="J49" s="11" t="s">
        <v>84</v>
      </c>
      <c r="K49" s="11" t="s">
        <v>84</v>
      </c>
      <c r="L49" s="11" t="s">
        <v>84</v>
      </c>
      <c r="M49" s="11" t="s">
        <v>84</v>
      </c>
      <c r="N49" s="11" t="s">
        <v>84</v>
      </c>
      <c r="O49" s="1" t="s">
        <v>413</v>
      </c>
      <c r="P49" s="1"/>
    </row>
    <row r="50" ht="15" customHeight="1">
      <c r="A50" s="12" t="s">
        <v>414</v>
      </c>
      <c r="B50" s="1" t="s">
        <v>402</v>
      </c>
      <c r="C50" s="1" t="s">
        <v>203</v>
      </c>
      <c r="D50" s="1" t="s">
        <v>415</v>
      </c>
      <c r="E50" s="1" t="s">
        <v>412</v>
      </c>
      <c r="F50" s="12" t="s">
        <v>254</v>
      </c>
      <c r="G50" s="10" t="s">
        <v>255</v>
      </c>
      <c r="H50" s="10" t="s">
        <v>725</v>
      </c>
      <c r="I50" s="10" t="s">
        <v>725</v>
      </c>
      <c r="J50" s="11" t="s">
        <v>84</v>
      </c>
      <c r="K50" s="11" t="s">
        <v>84</v>
      </c>
      <c r="L50" s="11" t="s">
        <v>84</v>
      </c>
      <c r="M50" s="11" t="s">
        <v>84</v>
      </c>
      <c r="N50" s="11" t="s">
        <v>84</v>
      </c>
      <c r="O50" s="1" t="s">
        <v>416</v>
      </c>
      <c r="P50" s="1"/>
    </row>
    <row r="51" ht="15" customHeight="1">
      <c r="A51" s="12" t="s">
        <v>417</v>
      </c>
      <c r="B51" s="1" t="s">
        <v>402</v>
      </c>
      <c r="C51" s="1" t="s">
        <v>203</v>
      </c>
      <c r="D51" s="1" t="s">
        <v>418</v>
      </c>
      <c r="E51" s="1" t="s">
        <v>412</v>
      </c>
      <c r="F51" s="12" t="s">
        <v>254</v>
      </c>
      <c r="G51" s="10" t="s">
        <v>255</v>
      </c>
      <c r="H51" s="10" t="s">
        <v>725</v>
      </c>
      <c r="I51" s="10" t="s">
        <v>725</v>
      </c>
      <c r="J51" s="11" t="s">
        <v>84</v>
      </c>
      <c r="K51" s="11" t="s">
        <v>84</v>
      </c>
      <c r="L51" s="11" t="s">
        <v>84</v>
      </c>
      <c r="M51" s="11" t="s">
        <v>84</v>
      </c>
      <c r="N51" s="11" t="s">
        <v>84</v>
      </c>
      <c r="O51" s="1" t="s">
        <v>416</v>
      </c>
      <c r="P51" s="1"/>
    </row>
    <row r="52" ht="23.85" customHeight="1">
      <c r="A52" s="12" t="s">
        <v>419</v>
      </c>
      <c r="B52" s="1" t="s">
        <v>402</v>
      </c>
      <c r="C52" s="1" t="s">
        <v>229</v>
      </c>
      <c r="D52" s="1" t="s">
        <v>420</v>
      </c>
      <c r="E52" s="1" t="s">
        <v>421</v>
      </c>
      <c r="F52" s="12" t="s">
        <v>254</v>
      </c>
      <c r="G52" s="10" t="s">
        <v>255</v>
      </c>
      <c r="H52" s="10" t="s">
        <v>725</v>
      </c>
      <c r="I52" s="10" t="s">
        <v>725</v>
      </c>
      <c r="J52" s="11" t="s">
        <v>84</v>
      </c>
      <c r="K52" s="11" t="s">
        <v>84</v>
      </c>
      <c r="L52" s="11" t="s">
        <v>84</v>
      </c>
      <c r="M52" s="11" t="s">
        <v>84</v>
      </c>
      <c r="N52" s="11" t="s">
        <v>84</v>
      </c>
      <c r="O52" s="1" t="s">
        <v>416</v>
      </c>
      <c r="P52" s="1"/>
    </row>
    <row r="53" ht="15" customHeight="1">
      <c r="A53" s="12" t="s">
        <v>422</v>
      </c>
      <c r="B53" s="1" t="s">
        <v>402</v>
      </c>
      <c r="C53" s="1" t="s">
        <v>203</v>
      </c>
      <c r="D53" s="1" t="s">
        <v>423</v>
      </c>
      <c r="E53" s="1" t="s">
        <v>424</v>
      </c>
      <c r="F53" s="12" t="s">
        <v>254</v>
      </c>
      <c r="G53" s="10" t="s">
        <v>255</v>
      </c>
      <c r="H53" s="10" t="s">
        <v>725</v>
      </c>
      <c r="I53" s="10" t="s">
        <v>725</v>
      </c>
      <c r="J53" s="11" t="s">
        <v>84</v>
      </c>
      <c r="K53" s="11" t="s">
        <v>84</v>
      </c>
      <c r="L53" s="11" t="s">
        <v>84</v>
      </c>
      <c r="M53" s="11" t="s">
        <v>84</v>
      </c>
      <c r="N53" s="11" t="s">
        <v>84</v>
      </c>
      <c r="O53" s="1" t="s">
        <v>425</v>
      </c>
      <c r="P53" s="1"/>
    </row>
    <row r="54" ht="15" customHeight="1">
      <c r="A54" s="12" t="s">
        <v>426</v>
      </c>
      <c r="B54" s="1" t="s">
        <v>402</v>
      </c>
      <c r="C54" s="1" t="s">
        <v>229</v>
      </c>
      <c r="D54" s="1" t="s">
        <v>427</v>
      </c>
      <c r="E54" s="1" t="s">
        <v>428</v>
      </c>
      <c r="F54" s="12" t="s">
        <v>254</v>
      </c>
      <c r="G54" s="10" t="s">
        <v>255</v>
      </c>
      <c r="H54" s="10" t="s">
        <v>725</v>
      </c>
      <c r="I54" s="10" t="s">
        <v>725</v>
      </c>
      <c r="J54" s="11" t="s">
        <v>84</v>
      </c>
      <c r="K54" s="11" t="s">
        <v>84</v>
      </c>
      <c r="L54" s="11" t="s">
        <v>84</v>
      </c>
      <c r="M54" s="11" t="s">
        <v>84</v>
      </c>
      <c r="N54" s="11" t="s">
        <v>84</v>
      </c>
      <c r="O54" s="1" t="s">
        <v>425</v>
      </c>
      <c r="P54" s="1"/>
    </row>
    <row r="55" ht="15" customHeight="1">
      <c r="A55" s="12" t="s">
        <v>429</v>
      </c>
      <c r="B55" s="1" t="s">
        <v>402</v>
      </c>
      <c r="C55" s="1" t="s">
        <v>229</v>
      </c>
      <c r="D55" s="1" t="s">
        <v>430</v>
      </c>
      <c r="E55" s="1" t="s">
        <v>431</v>
      </c>
      <c r="F55" s="12" t="s">
        <v>254</v>
      </c>
      <c r="G55" s="10" t="s">
        <v>255</v>
      </c>
      <c r="H55" s="10" t="s">
        <v>725</v>
      </c>
      <c r="I55" s="10" t="s">
        <v>725</v>
      </c>
      <c r="J55" s="11" t="s">
        <v>84</v>
      </c>
      <c r="K55" s="11" t="s">
        <v>84</v>
      </c>
      <c r="L55" s="11" t="s">
        <v>84</v>
      </c>
      <c r="M55" s="11" t="s">
        <v>84</v>
      </c>
      <c r="N55" s="11" t="s">
        <v>84</v>
      </c>
      <c r="O55" s="1" t="s">
        <v>425</v>
      </c>
      <c r="P55" s="1"/>
    </row>
    <row r="56" ht="15" customHeight="1">
      <c r="A56" s="12" t="s">
        <v>432</v>
      </c>
      <c r="B56" s="1" t="s">
        <v>402</v>
      </c>
      <c r="C56" s="1" t="s">
        <v>284</v>
      </c>
      <c r="D56" s="1" t="s">
        <v>433</v>
      </c>
      <c r="E56" s="1" t="s">
        <v>434</v>
      </c>
      <c r="F56" s="12" t="s">
        <v>254</v>
      </c>
      <c r="G56" s="10" t="s">
        <v>255</v>
      </c>
      <c r="H56" s="10" t="s">
        <v>725</v>
      </c>
      <c r="I56" s="10" t="s">
        <v>725</v>
      </c>
      <c r="J56" s="11" t="s">
        <v>84</v>
      </c>
      <c r="K56" s="11" t="s">
        <v>84</v>
      </c>
      <c r="L56" s="11" t="s">
        <v>84</v>
      </c>
      <c r="M56" s="11" t="s">
        <v>84</v>
      </c>
      <c r="N56" s="11" t="s">
        <v>84</v>
      </c>
      <c r="O56" s="1" t="s">
        <v>425</v>
      </c>
      <c r="P56" s="1"/>
    </row>
    <row r="57" ht="23.85" customHeight="1">
      <c r="A57" s="12" t="s">
        <v>435</v>
      </c>
      <c r="B57" s="1" t="s">
        <v>402</v>
      </c>
      <c r="C57" s="1" t="s">
        <v>284</v>
      </c>
      <c r="D57" s="1" t="s">
        <v>436</v>
      </c>
      <c r="E57" s="1" t="s">
        <v>437</v>
      </c>
      <c r="F57" s="12" t="s">
        <v>254</v>
      </c>
      <c r="G57" s="10" t="s">
        <v>255</v>
      </c>
      <c r="H57" s="10" t="s">
        <v>725</v>
      </c>
      <c r="I57" s="10" t="s">
        <v>725</v>
      </c>
      <c r="J57" s="11" t="s">
        <v>84</v>
      </c>
      <c r="K57" s="11" t="s">
        <v>84</v>
      </c>
      <c r="L57" s="11" t="s">
        <v>84</v>
      </c>
      <c r="M57" s="11" t="s">
        <v>84</v>
      </c>
      <c r="N57" s="11" t="s">
        <v>84</v>
      </c>
      <c r="O57" s="1" t="s">
        <v>425</v>
      </c>
      <c r="P57" s="1"/>
    </row>
    <row r="58" ht="15" customHeight="1">
      <c r="A58" s="12" t="s">
        <v>438</v>
      </c>
      <c r="B58" s="1" t="s">
        <v>402</v>
      </c>
      <c r="C58" s="1" t="s">
        <v>284</v>
      </c>
      <c r="D58" s="1" t="s">
        <v>439</v>
      </c>
      <c r="E58" s="1" t="s">
        <v>440</v>
      </c>
      <c r="F58" s="12" t="s">
        <v>254</v>
      </c>
      <c r="G58" s="10" t="s">
        <v>255</v>
      </c>
      <c r="H58" s="10" t="s">
        <v>725</v>
      </c>
      <c r="I58" s="10" t="s">
        <v>725</v>
      </c>
      <c r="J58" s="11" t="s">
        <v>84</v>
      </c>
      <c r="K58" s="11" t="s">
        <v>84</v>
      </c>
      <c r="L58" s="11" t="s">
        <v>84</v>
      </c>
      <c r="M58" s="11" t="s">
        <v>84</v>
      </c>
      <c r="N58" s="11" t="s">
        <v>84</v>
      </c>
      <c r="O58" s="1" t="s">
        <v>425</v>
      </c>
      <c r="P58" s="1"/>
    </row>
    <row r="59" ht="15" customHeight="1">
      <c r="A59" s="12" t="s">
        <v>441</v>
      </c>
      <c r="B59" s="1" t="s">
        <v>402</v>
      </c>
      <c r="C59" s="1" t="s">
        <v>203</v>
      </c>
      <c r="D59" s="1" t="s">
        <v>442</v>
      </c>
      <c r="E59" s="1" t="s">
        <v>443</v>
      </c>
      <c r="F59" s="12" t="s">
        <v>254</v>
      </c>
      <c r="G59" s="10" t="s">
        <v>255</v>
      </c>
      <c r="H59" s="10" t="s">
        <v>725</v>
      </c>
      <c r="I59" s="10" t="s">
        <v>725</v>
      </c>
      <c r="J59" s="11" t="s">
        <v>84</v>
      </c>
      <c r="K59" s="11" t="s">
        <v>84</v>
      </c>
      <c r="L59" s="11" t="s">
        <v>84</v>
      </c>
      <c r="M59" s="11" t="s">
        <v>84</v>
      </c>
      <c r="N59" s="11" t="s">
        <v>84</v>
      </c>
      <c r="O59" s="1" t="s">
        <v>425</v>
      </c>
      <c r="P59" s="1"/>
    </row>
    <row r="60" ht="15" customHeight="1">
      <c r="A60" s="12" t="s">
        <v>444</v>
      </c>
      <c r="B60" s="1" t="s">
        <v>402</v>
      </c>
      <c r="C60" s="1" t="s">
        <v>229</v>
      </c>
      <c r="D60" s="1" t="s">
        <v>445</v>
      </c>
      <c r="E60" s="1" t="s">
        <v>446</v>
      </c>
      <c r="F60" s="12" t="s">
        <v>254</v>
      </c>
      <c r="G60" s="10" t="s">
        <v>255</v>
      </c>
      <c r="H60" s="10" t="s">
        <v>725</v>
      </c>
      <c r="I60" s="10" t="s">
        <v>725</v>
      </c>
      <c r="J60" s="11" t="s">
        <v>84</v>
      </c>
      <c r="K60" s="11" t="s">
        <v>84</v>
      </c>
      <c r="L60" s="11" t="s">
        <v>84</v>
      </c>
      <c r="M60" s="11" t="s">
        <v>84</v>
      </c>
      <c r="N60" s="11" t="s">
        <v>84</v>
      </c>
      <c r="O60" s="1" t="s">
        <v>425</v>
      </c>
      <c r="P60" s="1" t="s">
        <v>447</v>
      </c>
    </row>
    <row r="61" ht="15" customHeight="1">
      <c r="A61" s="12" t="s">
        <v>448</v>
      </c>
      <c r="B61" s="1" t="s">
        <v>402</v>
      </c>
      <c r="C61" s="1" t="s">
        <v>284</v>
      </c>
      <c r="D61" s="1" t="s">
        <v>449</v>
      </c>
      <c r="E61" s="1" t="s">
        <v>450</v>
      </c>
      <c r="F61" s="12" t="s">
        <v>254</v>
      </c>
      <c r="G61" s="10" t="s">
        <v>255</v>
      </c>
      <c r="H61" s="10" t="s">
        <v>725</v>
      </c>
      <c r="I61" s="10" t="s">
        <v>725</v>
      </c>
      <c r="J61" s="11" t="s">
        <v>84</v>
      </c>
      <c r="K61" s="11" t="s">
        <v>84</v>
      </c>
      <c r="L61" s="11" t="s">
        <v>84</v>
      </c>
      <c r="M61" s="11" t="s">
        <v>84</v>
      </c>
      <c r="N61" s="11" t="s">
        <v>84</v>
      </c>
      <c r="O61" s="1" t="s">
        <v>425</v>
      </c>
      <c r="P61" s="1"/>
    </row>
    <row r="62" ht="23.85" customHeight="1">
      <c r="A62" s="1" t="s">
        <v>451</v>
      </c>
      <c r="B62" s="1" t="s">
        <v>452</v>
      </c>
      <c r="C62" s="1" t="s">
        <v>203</v>
      </c>
      <c r="D62" s="1" t="s">
        <v>453</v>
      </c>
      <c r="E62" s="1" t="s">
        <v>454</v>
      </c>
      <c r="F62" s="1" t="s">
        <v>206</v>
      </c>
      <c r="G62" s="10" t="s">
        <v>207</v>
      </c>
      <c r="H62" s="10" t="s">
        <v>926</v>
      </c>
      <c r="I62" s="10" t="s">
        <v>725</v>
      </c>
      <c r="J62" s="11" t="s">
        <v>84</v>
      </c>
      <c r="K62" s="11" t="s">
        <v>84</v>
      </c>
      <c r="L62" s="11" t="s">
        <v>84</v>
      </c>
      <c r="M62" s="11" t="s">
        <v>84</v>
      </c>
      <c r="N62" s="11" t="s">
        <v>208</v>
      </c>
      <c r="O62" s="1" t="s">
        <v>455</v>
      </c>
      <c r="P62" s="1" t="s">
        <v>456</v>
      </c>
    </row>
    <row r="63" ht="15" customHeight="1">
      <c r="A63" s="1" t="s">
        <v>457</v>
      </c>
      <c r="B63" s="1" t="s">
        <v>452</v>
      </c>
      <c r="C63" s="1" t="s">
        <v>203</v>
      </c>
      <c r="D63" s="1" t="s">
        <v>458</v>
      </c>
      <c r="E63" s="1" t="s">
        <v>459</v>
      </c>
      <c r="F63" s="1" t="s">
        <v>232</v>
      </c>
      <c r="G63" s="10" t="s">
        <v>207</v>
      </c>
      <c r="H63" s="10" t="s">
        <v>725</v>
      </c>
      <c r="I63" s="10" t="s">
        <v>725</v>
      </c>
      <c r="J63" s="11" t="s">
        <v>84</v>
      </c>
      <c r="K63" s="11" t="s">
        <v>84</v>
      </c>
      <c r="L63" s="11" t="s">
        <v>84</v>
      </c>
      <c r="M63" s="11" t="s">
        <v>84</v>
      </c>
      <c r="N63" s="11" t="s">
        <v>209</v>
      </c>
      <c r="O63" s="1" t="s">
        <v>460</v>
      </c>
      <c r="P63" s="1" t="s">
        <v>461</v>
      </c>
    </row>
    <row r="64" ht="15" customHeight="1">
      <c r="A64" s="1" t="s">
        <v>462</v>
      </c>
      <c r="B64" s="1" t="s">
        <v>452</v>
      </c>
      <c r="C64" s="1" t="s">
        <v>203</v>
      </c>
      <c r="D64" s="1" t="s">
        <v>463</v>
      </c>
      <c r="E64" s="1" t="s">
        <v>464</v>
      </c>
      <c r="F64" s="1" t="s">
        <v>232</v>
      </c>
      <c r="G64" s="10" t="s">
        <v>207</v>
      </c>
      <c r="H64" s="10" t="s">
        <v>725</v>
      </c>
      <c r="I64" s="10" t="s">
        <v>725</v>
      </c>
      <c r="J64" s="11" t="s">
        <v>209</v>
      </c>
      <c r="K64" s="9" t="s">
        <v>84</v>
      </c>
      <c r="L64" s="11" t="s">
        <v>84</v>
      </c>
      <c r="M64" s="11" t="s">
        <v>84</v>
      </c>
      <c r="N64" s="11" t="s">
        <v>209</v>
      </c>
      <c r="O64" s="1" t="s">
        <v>465</v>
      </c>
      <c r="P64" s="1" t="s">
        <v>461</v>
      </c>
    </row>
    <row r="65" ht="15" customHeight="1">
      <c r="A65" s="12" t="s">
        <v>466</v>
      </c>
      <c r="B65" s="1" t="s">
        <v>452</v>
      </c>
      <c r="C65" s="1" t="s">
        <v>203</v>
      </c>
      <c r="D65" s="1" t="s">
        <v>467</v>
      </c>
      <c r="E65" s="1" t="s">
        <v>468</v>
      </c>
      <c r="F65" s="12" t="s">
        <v>254</v>
      </c>
      <c r="G65" s="10" t="s">
        <v>255</v>
      </c>
      <c r="H65" s="10" t="s">
        <v>725</v>
      </c>
      <c r="I65" s="10" t="s">
        <v>725</v>
      </c>
      <c r="J65" s="11" t="s">
        <v>84</v>
      </c>
      <c r="K65" s="11" t="s">
        <v>84</v>
      </c>
      <c r="L65" s="11" t="s">
        <v>84</v>
      </c>
      <c r="M65" s="11" t="s">
        <v>84</v>
      </c>
      <c r="N65" s="11" t="s">
        <v>84</v>
      </c>
      <c r="O65" s="1" t="s">
        <v>469</v>
      </c>
      <c r="P65" s="1" t="s">
        <v>461</v>
      </c>
    </row>
    <row r="66" ht="15" customHeight="1">
      <c r="A66" s="12" t="s">
        <v>470</v>
      </c>
      <c r="B66" s="1" t="s">
        <v>452</v>
      </c>
      <c r="C66" s="1" t="s">
        <v>203</v>
      </c>
      <c r="D66" s="1" t="s">
        <v>471</v>
      </c>
      <c r="E66" s="1" t="s">
        <v>472</v>
      </c>
      <c r="F66" s="12" t="s">
        <v>254</v>
      </c>
      <c r="G66" s="10" t="s">
        <v>255</v>
      </c>
      <c r="H66" s="10" t="s">
        <v>725</v>
      </c>
      <c r="I66" s="10" t="s">
        <v>725</v>
      </c>
      <c r="J66" s="11" t="s">
        <v>84</v>
      </c>
      <c r="K66" s="11" t="s">
        <v>84</v>
      </c>
      <c r="L66" s="11" t="s">
        <v>84</v>
      </c>
      <c r="M66" s="11" t="s">
        <v>84</v>
      </c>
      <c r="N66" s="11" t="s">
        <v>84</v>
      </c>
      <c r="O66" s="1" t="s">
        <v>473</v>
      </c>
      <c r="P66" s="1" t="s">
        <v>461</v>
      </c>
    </row>
    <row r="67" ht="15" customHeight="1">
      <c r="A67" s="1" t="s">
        <v>474</v>
      </c>
      <c r="B67" s="1" t="s">
        <v>452</v>
      </c>
      <c r="C67" s="1" t="s">
        <v>203</v>
      </c>
      <c r="D67" s="1" t="s">
        <v>475</v>
      </c>
      <c r="E67" s="1" t="s">
        <v>476</v>
      </c>
      <c r="F67" s="1" t="s">
        <v>232</v>
      </c>
      <c r="G67" s="10" t="s">
        <v>207</v>
      </c>
      <c r="H67" s="10" t="s">
        <v>725</v>
      </c>
      <c r="I67" s="10" t="s">
        <v>725</v>
      </c>
      <c r="J67" s="11" t="s">
        <v>209</v>
      </c>
      <c r="K67" s="9" t="s">
        <v>84</v>
      </c>
      <c r="L67" s="11" t="s">
        <v>84</v>
      </c>
      <c r="M67" s="11" t="s">
        <v>84</v>
      </c>
      <c r="N67" s="11" t="s">
        <v>84</v>
      </c>
      <c r="O67" s="1" t="s">
        <v>477</v>
      </c>
      <c r="P67" s="1" t="s">
        <v>461</v>
      </c>
    </row>
    <row r="68" ht="15" customHeight="1">
      <c r="A68" s="12" t="s">
        <v>478</v>
      </c>
      <c r="B68" s="1" t="s">
        <v>452</v>
      </c>
      <c r="C68" s="1" t="s">
        <v>203</v>
      </c>
      <c r="D68" s="1" t="s">
        <v>479</v>
      </c>
      <c r="E68" s="1" t="s">
        <v>480</v>
      </c>
      <c r="F68" s="12" t="s">
        <v>254</v>
      </c>
      <c r="G68" s="10" t="s">
        <v>255</v>
      </c>
      <c r="H68" s="10" t="s">
        <v>725</v>
      </c>
      <c r="I68" s="10" t="s">
        <v>725</v>
      </c>
      <c r="J68" s="11" t="s">
        <v>84</v>
      </c>
      <c r="K68" s="11" t="s">
        <v>84</v>
      </c>
      <c r="L68" s="11" t="s">
        <v>84</v>
      </c>
      <c r="M68" s="11" t="s">
        <v>84</v>
      </c>
      <c r="N68" s="11" t="s">
        <v>84</v>
      </c>
      <c r="O68" s="1" t="s">
        <v>352</v>
      </c>
      <c r="P68" s="1" t="s">
        <v>461</v>
      </c>
    </row>
    <row r="69" ht="23.85" customHeight="1">
      <c r="A69" s="12" t="s">
        <v>481</v>
      </c>
      <c r="B69" s="1" t="s">
        <v>482</v>
      </c>
      <c r="C69" s="1" t="s">
        <v>203</v>
      </c>
      <c r="D69" s="1" t="s">
        <v>483</v>
      </c>
      <c r="E69" s="1" t="s">
        <v>484</v>
      </c>
      <c r="F69" s="12" t="s">
        <v>254</v>
      </c>
      <c r="G69" s="10" t="s">
        <v>255</v>
      </c>
      <c r="H69" s="10" t="s">
        <v>725</v>
      </c>
      <c r="I69" s="10" t="s">
        <v>725</v>
      </c>
      <c r="J69" s="11" t="s">
        <v>84</v>
      </c>
      <c r="K69" s="11" t="s">
        <v>84</v>
      </c>
      <c r="L69" s="11" t="s">
        <v>84</v>
      </c>
      <c r="M69" s="11" t="s">
        <v>84</v>
      </c>
      <c r="N69" s="11" t="s">
        <v>84</v>
      </c>
      <c r="O69" s="1" t="s">
        <v>485</v>
      </c>
      <c r="P69" s="1"/>
    </row>
    <row r="70" ht="15" customHeight="1">
      <c r="A70" s="1" t="s">
        <v>486</v>
      </c>
      <c r="B70" s="1" t="s">
        <v>482</v>
      </c>
      <c r="C70" s="1" t="s">
        <v>203</v>
      </c>
      <c r="D70" s="1" t="s">
        <v>487</v>
      </c>
      <c r="E70" s="1" t="s">
        <v>488</v>
      </c>
      <c r="F70" s="1" t="s">
        <v>232</v>
      </c>
      <c r="G70" s="10" t="s">
        <v>207</v>
      </c>
      <c r="H70" s="10" t="s">
        <v>725</v>
      </c>
      <c r="I70" s="10" t="s">
        <v>725</v>
      </c>
      <c r="J70" s="11" t="s">
        <v>209</v>
      </c>
      <c r="K70" s="11" t="s">
        <v>209</v>
      </c>
      <c r="L70" s="11" t="s">
        <v>84</v>
      </c>
      <c r="M70" s="11" t="s">
        <v>209</v>
      </c>
      <c r="N70" s="11" t="s">
        <v>209</v>
      </c>
      <c r="O70" s="1" t="s">
        <v>488</v>
      </c>
      <c r="P70" s="1"/>
    </row>
    <row r="71" ht="15" customHeight="1">
      <c r="A71" s="12" t="s">
        <v>489</v>
      </c>
      <c r="B71" s="1" t="s">
        <v>482</v>
      </c>
      <c r="C71" s="1" t="s">
        <v>203</v>
      </c>
      <c r="D71" s="1" t="s">
        <v>490</v>
      </c>
      <c r="E71" s="1" t="s">
        <v>491</v>
      </c>
      <c r="F71" s="12" t="s">
        <v>254</v>
      </c>
      <c r="G71" s="10" t="s">
        <v>255</v>
      </c>
      <c r="H71" s="10" t="s">
        <v>725</v>
      </c>
      <c r="I71" s="10" t="s">
        <v>725</v>
      </c>
      <c r="J71" s="11" t="s">
        <v>84</v>
      </c>
      <c r="K71" s="11" t="s">
        <v>84</v>
      </c>
      <c r="L71" s="11" t="s">
        <v>84</v>
      </c>
      <c r="M71" s="11" t="s">
        <v>84</v>
      </c>
      <c r="N71" s="11" t="s">
        <v>84</v>
      </c>
      <c r="O71" s="1" t="s">
        <v>491</v>
      </c>
      <c r="P71" s="1"/>
    </row>
    <row r="72" ht="35.05" customHeight="1">
      <c r="A72" s="1" t="s">
        <v>492</v>
      </c>
      <c r="B72" s="1" t="s">
        <v>493</v>
      </c>
      <c r="C72" s="1" t="s">
        <v>203</v>
      </c>
      <c r="D72" s="1" t="s">
        <v>494</v>
      </c>
      <c r="E72" s="1" t="s">
        <v>495</v>
      </c>
      <c r="F72" s="1" t="s">
        <v>206</v>
      </c>
      <c r="G72" s="10" t="s">
        <v>207</v>
      </c>
      <c r="H72" s="10" t="s">
        <v>926</v>
      </c>
      <c r="I72" s="10" t="s">
        <v>725</v>
      </c>
      <c r="J72" s="11" t="s">
        <v>209</v>
      </c>
      <c r="K72" s="11" t="s">
        <v>209</v>
      </c>
      <c r="L72" s="11" t="s">
        <v>209</v>
      </c>
      <c r="M72" s="11" t="s">
        <v>209</v>
      </c>
      <c r="N72" s="11" t="s">
        <v>209</v>
      </c>
      <c r="O72" s="1" t="s">
        <v>496</v>
      </c>
      <c r="P72" s="1" t="s">
        <v>497</v>
      </c>
    </row>
    <row r="73" ht="35.05" customHeight="1">
      <c r="A73" s="1" t="s">
        <v>498</v>
      </c>
      <c r="B73" s="1" t="s">
        <v>493</v>
      </c>
      <c r="C73" s="1" t="s">
        <v>203</v>
      </c>
      <c r="D73" s="1" t="s">
        <v>499</v>
      </c>
      <c r="E73" s="1" t="s">
        <v>500</v>
      </c>
      <c r="F73" s="1" t="s">
        <v>232</v>
      </c>
      <c r="G73" s="10" t="s">
        <v>207</v>
      </c>
      <c r="H73" s="10" t="s">
        <v>926</v>
      </c>
      <c r="I73" s="10" t="s">
        <v>725</v>
      </c>
      <c r="J73" s="11" t="s">
        <v>209</v>
      </c>
      <c r="K73" s="11" t="s">
        <v>209</v>
      </c>
      <c r="L73" s="11" t="s">
        <v>209</v>
      </c>
      <c r="M73" s="11" t="s">
        <v>209</v>
      </c>
      <c r="N73" s="11" t="s">
        <v>209</v>
      </c>
      <c r="O73" s="1" t="s">
        <v>501</v>
      </c>
      <c r="P73" s="1" t="s">
        <v>502</v>
      </c>
    </row>
  </sheetData>
  <autoFilter ref="A1:P73"/>
  <dataValidations count="4">
    <dataValidation allowBlank="false" errorStyle="stop" operator="between" showDropDown="false" showErrorMessage="false" showInputMessage="false" sqref="J2:N73" type="list">
      <formula1>"B,F,S,-"</formula1>
      <formula2>0</formula2>
    </dataValidation>
    <dataValidation allowBlank="false" errorStyle="stop" operator="between" showDropDown="false" showErrorMessage="false" showInputMessage="false" sqref="G2:G73" type="list">
      <formula1>"Y,N"</formula1>
      <formula2>0</formula2>
    </dataValidation>
    <dataValidation allowBlank="false" errorStyle="stop" operator="between" showDropDown="false" showErrorMessage="false" showInputMessage="false" sqref="F2:F73" type="list">
      <formula1>"Include,Test,Exclude"</formula1>
      <formula2>0</formula2>
    </dataValidation>
    <dataValidation allowBlank="false" errorStyle="stop" operator="between" showDropDown="false" showErrorMessage="false" showInputMessage="false" sqref="H2:I73" type="list">
      <formula1>"-1,0,1"</formula1>
      <formula2>0</formula2>
    </dataValidation>
  </dataValidations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0" hidden="false" outlineLevel="0" customWidth="1"/>
    <col min="2" max="2" width="20" hidden="false" outlineLevel="0" customWidth="1"/>
    <col min="3" max="3" width="8" hidden="false" outlineLevel="0" customWidth="1"/>
    <col min="4" max="4" width="38" hidden="false" outlineLevel="0" customWidth="1"/>
    <col min="5" max="5" width="30" hidden="false" outlineLevel="0" customWidth="1"/>
    <col min="6" max="6" width="10" hidden="false" outlineLevel="0" customWidth="1"/>
    <col min="7" max="7" width="6" hidden="false" outlineLevel="0" customWidth="1"/>
    <col min="8" max="8" width="9" hidden="false" outlineLevel="0" customWidth="1"/>
    <col min="9" max="9" width="9" hidden="false" outlineLevel="0" customWidth="1"/>
    <col min="10" max="10" width="11" hidden="false" outlineLevel="0" customWidth="1"/>
    <col min="11" max="11" width="11" hidden="false" outlineLevel="0" customWidth="1"/>
    <col min="12" max="12" width="11" hidden="false" outlineLevel="0" customWidth="1"/>
    <col min="13" max="13" width="11" hidden="false" outlineLevel="0" customWidth="1"/>
    <col min="14" max="14" width="11" hidden="false" outlineLevel="0" customWidth="1"/>
    <col min="15" max="15" width="11" hidden="false" outlineLevel="0" customWidth="1"/>
    <col min="16" max="16" width="48" hidden="false" outlineLevel="0" customWidth="1"/>
    <col min="17" max="17" width="40" hidden="false" outlineLevel="0" customWidth="1"/>
  </cols>
  <sheetData>
    <row r="1" ht="30" customHeight="1">
      <c r="A1" s="5" t="s">
        <v>191</v>
      </c>
      <c r="B1" s="5" t="s">
        <v>192</v>
      </c>
      <c r="C1" s="5" t="s">
        <v>193</v>
      </c>
      <c r="D1" s="5" t="s">
        <v>194</v>
      </c>
      <c r="E1" s="5" t="s">
        <v>195</v>
      </c>
      <c r="F1" s="5" t="s">
        <v>48</v>
      </c>
      <c r="G1" s="5" t="s">
        <v>196</v>
      </c>
      <c r="H1" s="5" t="s">
        <v>197</v>
      </c>
      <c r="I1" s="5" t="s">
        <v>198</v>
      </c>
      <c r="J1" s="5" t="s">
        <v>37</v>
      </c>
      <c r="K1" s="5" t="s">
        <v>38</v>
      </c>
      <c r="L1" s="5" t="s">
        <v>39</v>
      </c>
      <c r="M1" s="5" t="s">
        <v>40</v>
      </c>
      <c r="N1" s="5" t="s">
        <v>41</v>
      </c>
      <c r="O1" s="5" t="s">
        <v>42</v>
      </c>
      <c r="P1" s="5" t="s">
        <v>199</v>
      </c>
      <c r="Q1" s="5" t="s">
        <v>200</v>
      </c>
    </row>
    <row r="2" ht="23.85" customHeight="1">
      <c r="A2" s="1" t="s">
        <v>932</v>
      </c>
      <c r="B2" s="1" t="s">
        <v>504</v>
      </c>
      <c r="C2" s="1" t="s">
        <v>229</v>
      </c>
      <c r="D2" s="1" t="s">
        <v>505</v>
      </c>
      <c r="E2" s="1" t="s">
        <v>506</v>
      </c>
      <c r="F2" s="1" t="s">
        <v>232</v>
      </c>
      <c r="G2" s="10" t="s">
        <v>207</v>
      </c>
      <c r="H2" s="10" t="s">
        <v>725</v>
      </c>
      <c r="I2" s="10" t="s">
        <v>725</v>
      </c>
      <c r="J2" s="11" t="s">
        <v>84</v>
      </c>
      <c r="K2" s="11" t="s">
        <v>84</v>
      </c>
      <c r="L2" s="11" t="s">
        <v>209</v>
      </c>
      <c r="M2" s="11" t="s">
        <v>84</v>
      </c>
      <c r="N2" s="11" t="s">
        <v>209</v>
      </c>
      <c r="O2" s="11" t="s">
        <v>209</v>
      </c>
      <c r="P2" s="1" t="s">
        <v>506</v>
      </c>
      <c r="Q2" s="1" t="s">
        <v>507</v>
      </c>
    </row>
    <row r="3" ht="23.85" customHeight="1">
      <c r="A3" s="1" t="s">
        <v>508</v>
      </c>
      <c r="B3" s="1" t="s">
        <v>504</v>
      </c>
      <c r="C3" s="1" t="s">
        <v>203</v>
      </c>
      <c r="D3" s="1" t="s">
        <v>509</v>
      </c>
      <c r="E3" s="1" t="s">
        <v>510</v>
      </c>
      <c r="F3" s="1" t="s">
        <v>206</v>
      </c>
      <c r="G3" s="10" t="s">
        <v>207</v>
      </c>
      <c r="H3" s="10" t="s">
        <v>725</v>
      </c>
      <c r="I3" s="10" t="s">
        <v>926</v>
      </c>
      <c r="J3" s="11" t="s">
        <v>226</v>
      </c>
      <c r="K3" s="11" t="s">
        <v>226</v>
      </c>
      <c r="L3" s="11" t="s">
        <v>208</v>
      </c>
      <c r="M3" s="11" t="s">
        <v>226</v>
      </c>
      <c r="N3" s="11" t="s">
        <v>226</v>
      </c>
      <c r="O3" s="11" t="s">
        <v>226</v>
      </c>
      <c r="P3" s="1" t="s">
        <v>511</v>
      </c>
      <c r="Q3" s="1"/>
    </row>
    <row r="4" ht="23.85" customHeight="1">
      <c r="A4" s="1" t="s">
        <v>140</v>
      </c>
      <c r="B4" s="1" t="s">
        <v>512</v>
      </c>
      <c r="C4" s="1" t="s">
        <v>229</v>
      </c>
      <c r="D4" s="1" t="s">
        <v>513</v>
      </c>
      <c r="E4" s="1" t="s">
        <v>514</v>
      </c>
      <c r="F4" s="1" t="s">
        <v>206</v>
      </c>
      <c r="G4" s="10" t="s">
        <v>207</v>
      </c>
      <c r="H4" s="10" t="s">
        <v>725</v>
      </c>
      <c r="I4" s="10" t="s">
        <v>725</v>
      </c>
      <c r="J4" s="11" t="s">
        <v>208</v>
      </c>
      <c r="K4" s="11" t="s">
        <v>84</v>
      </c>
      <c r="L4" s="11" t="s">
        <v>209</v>
      </c>
      <c r="M4" s="11" t="s">
        <v>208</v>
      </c>
      <c r="N4" s="11" t="s">
        <v>208</v>
      </c>
      <c r="O4" s="11" t="s">
        <v>84</v>
      </c>
      <c r="P4" s="1" t="s">
        <v>515</v>
      </c>
      <c r="Q4" s="1" t="s">
        <v>516</v>
      </c>
    </row>
    <row r="5" ht="15" customHeight="1">
      <c r="A5" s="1" t="s">
        <v>517</v>
      </c>
      <c r="B5" s="1" t="s">
        <v>512</v>
      </c>
      <c r="C5" s="1" t="s">
        <v>229</v>
      </c>
      <c r="D5" s="1" t="s">
        <v>518</v>
      </c>
      <c r="E5" s="1" t="s">
        <v>519</v>
      </c>
      <c r="F5" s="1" t="s">
        <v>206</v>
      </c>
      <c r="G5" s="10" t="s">
        <v>207</v>
      </c>
      <c r="H5" s="10" t="s">
        <v>725</v>
      </c>
      <c r="I5" s="10" t="s">
        <v>725</v>
      </c>
      <c r="J5" s="11" t="s">
        <v>84</v>
      </c>
      <c r="K5" s="11" t="s">
        <v>84</v>
      </c>
      <c r="L5" s="11" t="s">
        <v>209</v>
      </c>
      <c r="M5" s="11" t="s">
        <v>84</v>
      </c>
      <c r="N5" s="11" t="s">
        <v>209</v>
      </c>
      <c r="O5" s="11" t="s">
        <v>209</v>
      </c>
      <c r="P5" s="1" t="s">
        <v>520</v>
      </c>
      <c r="Q5" s="1"/>
    </row>
    <row r="6" ht="15" customHeight="1">
      <c r="A6" s="1" t="s">
        <v>521</v>
      </c>
      <c r="B6" s="1" t="s">
        <v>512</v>
      </c>
      <c r="C6" s="1" t="s">
        <v>203</v>
      </c>
      <c r="D6" s="1" t="s">
        <v>522</v>
      </c>
      <c r="E6" s="1" t="s">
        <v>523</v>
      </c>
      <c r="F6" s="1" t="s">
        <v>206</v>
      </c>
      <c r="G6" s="10" t="s">
        <v>207</v>
      </c>
      <c r="H6" s="10" t="s">
        <v>926</v>
      </c>
      <c r="I6" s="10" t="s">
        <v>725</v>
      </c>
      <c r="J6" s="11" t="s">
        <v>84</v>
      </c>
      <c r="K6" s="11" t="s">
        <v>84</v>
      </c>
      <c r="L6" s="11" t="s">
        <v>208</v>
      </c>
      <c r="M6" s="11" t="s">
        <v>84</v>
      </c>
      <c r="N6" s="11" t="s">
        <v>209</v>
      </c>
      <c r="O6" s="11" t="s">
        <v>84</v>
      </c>
      <c r="P6" s="1" t="s">
        <v>524</v>
      </c>
      <c r="Q6" s="1"/>
    </row>
    <row r="7" ht="15" customHeight="1">
      <c r="A7" s="1" t="s">
        <v>525</v>
      </c>
      <c r="B7" s="1" t="s">
        <v>512</v>
      </c>
      <c r="C7" s="1" t="s">
        <v>284</v>
      </c>
      <c r="D7" s="1" t="s">
        <v>526</v>
      </c>
      <c r="E7" s="1" t="s">
        <v>527</v>
      </c>
      <c r="F7" s="1" t="s">
        <v>206</v>
      </c>
      <c r="G7" s="10" t="s">
        <v>207</v>
      </c>
      <c r="H7" s="10" t="s">
        <v>725</v>
      </c>
      <c r="I7" s="10" t="s">
        <v>725</v>
      </c>
      <c r="J7" s="11" t="s">
        <v>84</v>
      </c>
      <c r="K7" s="11" t="s">
        <v>84</v>
      </c>
      <c r="L7" s="11" t="s">
        <v>84</v>
      </c>
      <c r="M7" s="11" t="s">
        <v>84</v>
      </c>
      <c r="N7" s="11" t="s">
        <v>208</v>
      </c>
      <c r="O7" s="11" t="s">
        <v>84</v>
      </c>
      <c r="P7" s="1" t="s">
        <v>528</v>
      </c>
      <c r="Q7" s="1"/>
    </row>
    <row r="8" ht="23.85" customHeight="1">
      <c r="A8" s="1" t="s">
        <v>529</v>
      </c>
      <c r="B8" s="1" t="s">
        <v>504</v>
      </c>
      <c r="C8" s="1" t="s">
        <v>284</v>
      </c>
      <c r="D8" s="1" t="s">
        <v>530</v>
      </c>
      <c r="E8" s="1" t="s">
        <v>531</v>
      </c>
      <c r="F8" s="1" t="s">
        <v>206</v>
      </c>
      <c r="G8" s="10" t="s">
        <v>207</v>
      </c>
      <c r="H8" s="10" t="s">
        <v>725</v>
      </c>
      <c r="I8" s="10" t="s">
        <v>725</v>
      </c>
      <c r="J8" s="11" t="s">
        <v>84</v>
      </c>
      <c r="K8" s="11" t="s">
        <v>84</v>
      </c>
      <c r="L8" s="11" t="s">
        <v>84</v>
      </c>
      <c r="M8" s="11" t="s">
        <v>84</v>
      </c>
      <c r="N8" s="11" t="s">
        <v>84</v>
      </c>
      <c r="O8" s="11" t="s">
        <v>208</v>
      </c>
      <c r="P8" s="1" t="s">
        <v>532</v>
      </c>
      <c r="Q8" s="1" t="s">
        <v>533</v>
      </c>
    </row>
    <row r="9" ht="15" customHeight="1">
      <c r="A9" s="12" t="s">
        <v>534</v>
      </c>
      <c r="B9" s="1" t="s">
        <v>512</v>
      </c>
      <c r="C9" s="1" t="s">
        <v>284</v>
      </c>
      <c r="D9" s="1" t="s">
        <v>535</v>
      </c>
      <c r="E9" s="1" t="s">
        <v>536</v>
      </c>
      <c r="F9" s="12" t="s">
        <v>254</v>
      </c>
      <c r="G9" s="10" t="s">
        <v>255</v>
      </c>
      <c r="H9" s="10" t="s">
        <v>725</v>
      </c>
      <c r="I9" s="10" t="s">
        <v>725</v>
      </c>
      <c r="J9" s="11" t="s">
        <v>84</v>
      </c>
      <c r="K9" s="11" t="s">
        <v>84</v>
      </c>
      <c r="L9" s="11" t="s">
        <v>84</v>
      </c>
      <c r="M9" s="11" t="s">
        <v>84</v>
      </c>
      <c r="N9" s="11" t="s">
        <v>84</v>
      </c>
      <c r="O9" s="11" t="s">
        <v>84</v>
      </c>
      <c r="P9" s="1" t="s">
        <v>536</v>
      </c>
      <c r="Q9" s="1" t="s">
        <v>537</v>
      </c>
    </row>
    <row r="10" ht="23.85" customHeight="1">
      <c r="A10" s="1" t="s">
        <v>296</v>
      </c>
      <c r="B10" s="1" t="s">
        <v>297</v>
      </c>
      <c r="C10" s="1" t="s">
        <v>203</v>
      </c>
      <c r="D10" s="1" t="s">
        <v>298</v>
      </c>
      <c r="E10" s="1" t="s">
        <v>299</v>
      </c>
      <c r="F10" s="1" t="s">
        <v>206</v>
      </c>
      <c r="G10" s="10" t="s">
        <v>207</v>
      </c>
      <c r="H10" s="10" t="s">
        <v>925</v>
      </c>
      <c r="I10" s="10" t="s">
        <v>725</v>
      </c>
      <c r="J10" s="9" t="s">
        <v>208</v>
      </c>
      <c r="K10" s="9" t="s">
        <v>208</v>
      </c>
      <c r="L10" s="11" t="s">
        <v>208</v>
      </c>
      <c r="M10" s="9" t="s">
        <v>208</v>
      </c>
      <c r="N10" s="9" t="s">
        <v>208</v>
      </c>
      <c r="O10" s="11" t="s">
        <v>208</v>
      </c>
      <c r="P10" s="1" t="s">
        <v>538</v>
      </c>
      <c r="Q10" s="1" t="s">
        <v>301</v>
      </c>
    </row>
    <row r="11" ht="15" customHeight="1">
      <c r="A11" s="1" t="s">
        <v>302</v>
      </c>
      <c r="B11" s="1" t="s">
        <v>297</v>
      </c>
      <c r="C11" s="1" t="s">
        <v>203</v>
      </c>
      <c r="D11" s="1" t="s">
        <v>303</v>
      </c>
      <c r="E11" s="1" t="s">
        <v>304</v>
      </c>
      <c r="F11" s="1" t="s">
        <v>254</v>
      </c>
      <c r="G11" s="10" t="s">
        <v>255</v>
      </c>
      <c r="H11" s="10" t="s">
        <v>725</v>
      </c>
      <c r="I11" s="10" t="s">
        <v>725</v>
      </c>
      <c r="J11" s="11" t="s">
        <v>226</v>
      </c>
      <c r="K11" s="11" t="s">
        <v>226</v>
      </c>
      <c r="L11" s="11" t="s">
        <v>226</v>
      </c>
      <c r="M11" s="11" t="s">
        <v>226</v>
      </c>
      <c r="N11" s="11" t="s">
        <v>226</v>
      </c>
      <c r="O11" s="11" t="s">
        <v>226</v>
      </c>
      <c r="P11" s="1" t="s">
        <v>933</v>
      </c>
      <c r="Q11" s="1"/>
    </row>
    <row r="12" ht="15" customHeight="1">
      <c r="A12" s="1" t="s">
        <v>306</v>
      </c>
      <c r="B12" s="1" t="s">
        <v>297</v>
      </c>
      <c r="C12" s="1" t="s">
        <v>229</v>
      </c>
      <c r="D12" s="1" t="s">
        <v>307</v>
      </c>
      <c r="E12" s="1" t="s">
        <v>308</v>
      </c>
      <c r="F12" s="1" t="s">
        <v>232</v>
      </c>
      <c r="G12" s="10" t="s">
        <v>207</v>
      </c>
      <c r="H12" s="10" t="s">
        <v>725</v>
      </c>
      <c r="I12" s="10" t="s">
        <v>725</v>
      </c>
      <c r="J12" s="11" t="s">
        <v>209</v>
      </c>
      <c r="K12" s="11" t="s">
        <v>84</v>
      </c>
      <c r="L12" s="11" t="s">
        <v>209</v>
      </c>
      <c r="M12" s="11" t="s">
        <v>84</v>
      </c>
      <c r="N12" s="11" t="s">
        <v>84</v>
      </c>
      <c r="O12" s="11" t="s">
        <v>209</v>
      </c>
      <c r="P12" s="1" t="s">
        <v>540</v>
      </c>
      <c r="Q12" s="1"/>
    </row>
    <row r="13" ht="15" customHeight="1">
      <c r="A13" s="1" t="s">
        <v>310</v>
      </c>
      <c r="B13" s="1" t="s">
        <v>297</v>
      </c>
      <c r="C13" s="1" t="s">
        <v>229</v>
      </c>
      <c r="D13" s="1" t="s">
        <v>311</v>
      </c>
      <c r="E13" s="1" t="s">
        <v>312</v>
      </c>
      <c r="F13" s="1" t="s">
        <v>232</v>
      </c>
      <c r="G13" s="10" t="s">
        <v>207</v>
      </c>
      <c r="H13" s="10" t="s">
        <v>725</v>
      </c>
      <c r="I13" s="10" t="s">
        <v>725</v>
      </c>
      <c r="J13" s="11" t="s">
        <v>84</v>
      </c>
      <c r="K13" s="11" t="s">
        <v>84</v>
      </c>
      <c r="L13" s="11" t="s">
        <v>209</v>
      </c>
      <c r="M13" s="11" t="s">
        <v>84</v>
      </c>
      <c r="N13" s="11" t="s">
        <v>84</v>
      </c>
      <c r="O13" s="11" t="s">
        <v>209</v>
      </c>
      <c r="P13" s="1" t="s">
        <v>541</v>
      </c>
      <c r="Q13" s="1" t="s">
        <v>313</v>
      </c>
    </row>
    <row r="14" ht="15" customHeight="1">
      <c r="A14" s="1" t="s">
        <v>314</v>
      </c>
      <c r="B14" s="1" t="s">
        <v>297</v>
      </c>
      <c r="C14" s="1" t="s">
        <v>203</v>
      </c>
      <c r="D14" s="1" t="s">
        <v>315</v>
      </c>
      <c r="E14" s="1" t="s">
        <v>312</v>
      </c>
      <c r="F14" s="1" t="s">
        <v>232</v>
      </c>
      <c r="G14" s="10" t="s">
        <v>207</v>
      </c>
      <c r="H14" s="10" t="s">
        <v>926</v>
      </c>
      <c r="I14" s="10" t="s">
        <v>725</v>
      </c>
      <c r="J14" s="11" t="s">
        <v>84</v>
      </c>
      <c r="K14" s="11" t="s">
        <v>84</v>
      </c>
      <c r="L14" s="11" t="s">
        <v>209</v>
      </c>
      <c r="M14" s="11" t="s">
        <v>84</v>
      </c>
      <c r="N14" s="11" t="s">
        <v>209</v>
      </c>
      <c r="O14" s="11" t="s">
        <v>209</v>
      </c>
      <c r="P14" s="1" t="s">
        <v>312</v>
      </c>
      <c r="Q14" s="1" t="s">
        <v>313</v>
      </c>
    </row>
    <row r="15" ht="15" customHeight="1">
      <c r="A15" s="1" t="s">
        <v>316</v>
      </c>
      <c r="B15" s="1" t="s">
        <v>297</v>
      </c>
      <c r="C15" s="1" t="s">
        <v>284</v>
      </c>
      <c r="D15" s="1" t="s">
        <v>317</v>
      </c>
      <c r="E15" s="1" t="s">
        <v>318</v>
      </c>
      <c r="F15" s="1" t="s">
        <v>232</v>
      </c>
      <c r="G15" s="10" t="s">
        <v>207</v>
      </c>
      <c r="H15" s="10" t="s">
        <v>725</v>
      </c>
      <c r="I15" s="10" t="s">
        <v>725</v>
      </c>
      <c r="J15" s="11" t="s">
        <v>84</v>
      </c>
      <c r="K15" s="11" t="s">
        <v>84</v>
      </c>
      <c r="L15" s="11" t="s">
        <v>209</v>
      </c>
      <c r="M15" s="11" t="s">
        <v>84</v>
      </c>
      <c r="N15" s="11" t="s">
        <v>84</v>
      </c>
      <c r="O15" s="11" t="s">
        <v>209</v>
      </c>
      <c r="P15" s="1" t="s">
        <v>540</v>
      </c>
      <c r="Q15" s="1"/>
    </row>
    <row r="16" ht="23.85" customHeight="1">
      <c r="A16" s="1" t="s">
        <v>320</v>
      </c>
      <c r="B16" s="1" t="s">
        <v>297</v>
      </c>
      <c r="C16" s="1" t="s">
        <v>203</v>
      </c>
      <c r="D16" s="1" t="s">
        <v>321</v>
      </c>
      <c r="E16" s="1" t="s">
        <v>322</v>
      </c>
      <c r="F16" s="1" t="s">
        <v>232</v>
      </c>
      <c r="G16" s="10" t="s">
        <v>207</v>
      </c>
      <c r="H16" s="10" t="s">
        <v>725</v>
      </c>
      <c r="I16" s="10" t="s">
        <v>725</v>
      </c>
      <c r="J16" s="11" t="s">
        <v>84</v>
      </c>
      <c r="K16" s="11" t="s">
        <v>84</v>
      </c>
      <c r="L16" s="11" t="s">
        <v>209</v>
      </c>
      <c r="M16" s="11" t="s">
        <v>84</v>
      </c>
      <c r="N16" s="11" t="s">
        <v>84</v>
      </c>
      <c r="O16" s="11" t="s">
        <v>209</v>
      </c>
      <c r="P16" s="1" t="s">
        <v>542</v>
      </c>
      <c r="Q16" s="1" t="s">
        <v>324</v>
      </c>
    </row>
    <row r="17" ht="15" customHeight="1">
      <c r="A17" s="1" t="s">
        <v>325</v>
      </c>
      <c r="B17" s="1" t="s">
        <v>297</v>
      </c>
      <c r="C17" s="1" t="s">
        <v>203</v>
      </c>
      <c r="D17" s="1" t="s">
        <v>326</v>
      </c>
      <c r="E17" s="1" t="s">
        <v>327</v>
      </c>
      <c r="F17" s="1" t="s">
        <v>232</v>
      </c>
      <c r="G17" s="10" t="s">
        <v>207</v>
      </c>
      <c r="H17" s="10" t="s">
        <v>725</v>
      </c>
      <c r="I17" s="10" t="s">
        <v>725</v>
      </c>
      <c r="J17" s="11" t="s">
        <v>209</v>
      </c>
      <c r="K17" s="9" t="s">
        <v>84</v>
      </c>
      <c r="L17" s="11" t="s">
        <v>209</v>
      </c>
      <c r="M17" s="11" t="s">
        <v>84</v>
      </c>
      <c r="N17" s="11" t="s">
        <v>84</v>
      </c>
      <c r="O17" s="11" t="s">
        <v>209</v>
      </c>
      <c r="P17" s="1" t="s">
        <v>543</v>
      </c>
      <c r="Q17" s="1"/>
    </row>
    <row r="18" ht="15" customHeight="1">
      <c r="A18" s="12" t="s">
        <v>329</v>
      </c>
      <c r="B18" s="1" t="s">
        <v>297</v>
      </c>
      <c r="C18" s="1" t="s">
        <v>203</v>
      </c>
      <c r="D18" s="1" t="s">
        <v>330</v>
      </c>
      <c r="E18" s="1" t="s">
        <v>331</v>
      </c>
      <c r="F18" s="12" t="s">
        <v>254</v>
      </c>
      <c r="G18" s="10" t="s">
        <v>255</v>
      </c>
      <c r="H18" s="10" t="s">
        <v>725</v>
      </c>
      <c r="I18" s="10" t="s">
        <v>725</v>
      </c>
      <c r="J18" s="11" t="s">
        <v>84</v>
      </c>
      <c r="K18" s="11" t="s">
        <v>84</v>
      </c>
      <c r="L18" s="11" t="s">
        <v>84</v>
      </c>
      <c r="M18" s="11" t="s">
        <v>84</v>
      </c>
      <c r="N18" s="11" t="s">
        <v>84</v>
      </c>
      <c r="O18" s="11" t="s">
        <v>84</v>
      </c>
      <c r="P18" s="1" t="s">
        <v>544</v>
      </c>
      <c r="Q18" s="1" t="s">
        <v>333</v>
      </c>
    </row>
    <row r="19" ht="23.85" customHeight="1">
      <c r="A19" s="12" t="s">
        <v>174</v>
      </c>
      <c r="B19" s="1" t="s">
        <v>297</v>
      </c>
      <c r="C19" s="1" t="s">
        <v>203</v>
      </c>
      <c r="D19" s="1" t="s">
        <v>334</v>
      </c>
      <c r="E19" s="1" t="s">
        <v>335</v>
      </c>
      <c r="F19" s="12" t="s">
        <v>254</v>
      </c>
      <c r="G19" s="10" t="s">
        <v>255</v>
      </c>
      <c r="H19" s="10" t="s">
        <v>725</v>
      </c>
      <c r="I19" s="10" t="s">
        <v>725</v>
      </c>
      <c r="J19" s="11" t="s">
        <v>84</v>
      </c>
      <c r="K19" s="11" t="s">
        <v>84</v>
      </c>
      <c r="L19" s="11" t="s">
        <v>84</v>
      </c>
      <c r="M19" s="11" t="s">
        <v>84</v>
      </c>
      <c r="N19" s="11" t="s">
        <v>84</v>
      </c>
      <c r="O19" s="11" t="s">
        <v>84</v>
      </c>
      <c r="P19" s="1" t="s">
        <v>545</v>
      </c>
      <c r="Q19" s="1" t="s">
        <v>337</v>
      </c>
    </row>
    <row r="20" ht="15" customHeight="1">
      <c r="A20" s="12" t="s">
        <v>338</v>
      </c>
      <c r="B20" s="1" t="s">
        <v>339</v>
      </c>
      <c r="C20" s="1" t="s">
        <v>229</v>
      </c>
      <c r="D20" s="1" t="s">
        <v>340</v>
      </c>
      <c r="E20" s="1" t="s">
        <v>341</v>
      </c>
      <c r="F20" s="12" t="s">
        <v>254</v>
      </c>
      <c r="G20" s="10" t="s">
        <v>255</v>
      </c>
      <c r="H20" s="10" t="s">
        <v>725</v>
      </c>
      <c r="I20" s="10" t="s">
        <v>725</v>
      </c>
      <c r="J20" s="11" t="s">
        <v>84</v>
      </c>
      <c r="K20" s="11" t="s">
        <v>84</v>
      </c>
      <c r="L20" s="11" t="s">
        <v>84</v>
      </c>
      <c r="M20" s="11" t="s">
        <v>84</v>
      </c>
      <c r="N20" s="11" t="s">
        <v>84</v>
      </c>
      <c r="O20" s="11" t="s">
        <v>84</v>
      </c>
      <c r="P20" s="1" t="s">
        <v>546</v>
      </c>
      <c r="Q20" s="1" t="s">
        <v>343</v>
      </c>
    </row>
    <row r="21" ht="15" customHeight="1">
      <c r="A21" s="12" t="s">
        <v>344</v>
      </c>
      <c r="B21" s="1" t="s">
        <v>339</v>
      </c>
      <c r="C21" s="1" t="s">
        <v>229</v>
      </c>
      <c r="D21" s="1" t="s">
        <v>345</v>
      </c>
      <c r="E21" s="1" t="s">
        <v>346</v>
      </c>
      <c r="F21" s="12" t="s">
        <v>254</v>
      </c>
      <c r="G21" s="10" t="s">
        <v>255</v>
      </c>
      <c r="H21" s="10" t="s">
        <v>725</v>
      </c>
      <c r="I21" s="10" t="s">
        <v>725</v>
      </c>
      <c r="J21" s="11" t="s">
        <v>84</v>
      </c>
      <c r="K21" s="11" t="s">
        <v>84</v>
      </c>
      <c r="L21" s="11" t="s">
        <v>84</v>
      </c>
      <c r="M21" s="11" t="s">
        <v>84</v>
      </c>
      <c r="N21" s="11" t="s">
        <v>84</v>
      </c>
      <c r="O21" s="11" t="s">
        <v>84</v>
      </c>
      <c r="P21" s="1" t="s">
        <v>547</v>
      </c>
      <c r="Q21" s="1" t="s">
        <v>348</v>
      </c>
    </row>
    <row r="22" ht="15" customHeight="1">
      <c r="A22" s="1" t="s">
        <v>349</v>
      </c>
      <c r="B22" s="1" t="s">
        <v>339</v>
      </c>
      <c r="C22" s="1" t="s">
        <v>203</v>
      </c>
      <c r="D22" s="1" t="s">
        <v>350</v>
      </c>
      <c r="E22" s="1" t="s">
        <v>351</v>
      </c>
      <c r="F22" s="1" t="s">
        <v>232</v>
      </c>
      <c r="G22" s="10" t="s">
        <v>207</v>
      </c>
      <c r="H22" s="10" t="s">
        <v>725</v>
      </c>
      <c r="I22" s="10" t="s">
        <v>725</v>
      </c>
      <c r="J22" s="11" t="s">
        <v>84</v>
      </c>
      <c r="K22" s="11" t="s">
        <v>84</v>
      </c>
      <c r="L22" s="11" t="s">
        <v>209</v>
      </c>
      <c r="M22" s="11" t="s">
        <v>84</v>
      </c>
      <c r="N22" s="11" t="s">
        <v>209</v>
      </c>
      <c r="O22" s="11" t="s">
        <v>209</v>
      </c>
      <c r="P22" s="1" t="s">
        <v>548</v>
      </c>
      <c r="Q22" s="1"/>
    </row>
    <row r="23" ht="23.85" customHeight="1">
      <c r="A23" s="1" t="s">
        <v>353</v>
      </c>
      <c r="B23" s="1" t="s">
        <v>339</v>
      </c>
      <c r="C23" s="1" t="s">
        <v>229</v>
      </c>
      <c r="D23" s="1" t="s">
        <v>354</v>
      </c>
      <c r="E23" s="1" t="s">
        <v>355</v>
      </c>
      <c r="F23" s="1" t="s">
        <v>254</v>
      </c>
      <c r="G23" s="10" t="s">
        <v>255</v>
      </c>
      <c r="H23" s="10" t="s">
        <v>725</v>
      </c>
      <c r="I23" s="10" t="s">
        <v>725</v>
      </c>
      <c r="J23" s="11" t="s">
        <v>84</v>
      </c>
      <c r="K23" s="11" t="s">
        <v>84</v>
      </c>
      <c r="L23" s="11" t="s">
        <v>209</v>
      </c>
      <c r="M23" s="11" t="s">
        <v>84</v>
      </c>
      <c r="N23" s="11" t="s">
        <v>209</v>
      </c>
      <c r="O23" s="11" t="s">
        <v>209</v>
      </c>
      <c r="P23" s="1" t="s">
        <v>934</v>
      </c>
      <c r="Q23" s="1" t="s">
        <v>357</v>
      </c>
    </row>
    <row r="24" ht="15" customHeight="1">
      <c r="A24" s="1" t="s">
        <v>358</v>
      </c>
      <c r="B24" s="1" t="s">
        <v>339</v>
      </c>
      <c r="C24" s="1" t="s">
        <v>203</v>
      </c>
      <c r="D24" s="1" t="s">
        <v>359</v>
      </c>
      <c r="E24" s="1" t="s">
        <v>157</v>
      </c>
      <c r="F24" s="1" t="s">
        <v>206</v>
      </c>
      <c r="G24" s="10" t="s">
        <v>207</v>
      </c>
      <c r="H24" s="10" t="s">
        <v>926</v>
      </c>
      <c r="I24" s="10" t="s">
        <v>725</v>
      </c>
      <c r="J24" s="11" t="s">
        <v>209</v>
      </c>
      <c r="K24" s="11" t="s">
        <v>209</v>
      </c>
      <c r="L24" s="11" t="s">
        <v>209</v>
      </c>
      <c r="M24" s="11" t="s">
        <v>209</v>
      </c>
      <c r="N24" s="11" t="s">
        <v>209</v>
      </c>
      <c r="O24" s="11" t="s">
        <v>209</v>
      </c>
      <c r="P24" s="1" t="s">
        <v>360</v>
      </c>
      <c r="Q24" s="1"/>
    </row>
    <row r="25" ht="15" customHeight="1">
      <c r="A25" s="12" t="s">
        <v>361</v>
      </c>
      <c r="B25" s="1" t="s">
        <v>339</v>
      </c>
      <c r="C25" s="1" t="s">
        <v>203</v>
      </c>
      <c r="D25" s="1" t="s">
        <v>362</v>
      </c>
      <c r="E25" s="1" t="s">
        <v>363</v>
      </c>
      <c r="F25" s="12" t="s">
        <v>254</v>
      </c>
      <c r="G25" s="10" t="s">
        <v>255</v>
      </c>
      <c r="H25" s="10" t="s">
        <v>725</v>
      </c>
      <c r="I25" s="10" t="s">
        <v>725</v>
      </c>
      <c r="J25" s="11" t="s">
        <v>84</v>
      </c>
      <c r="K25" s="11" t="s">
        <v>84</v>
      </c>
      <c r="L25" s="11" t="s">
        <v>84</v>
      </c>
      <c r="M25" s="11" t="s">
        <v>84</v>
      </c>
      <c r="N25" s="11" t="s">
        <v>84</v>
      </c>
      <c r="O25" s="11" t="s">
        <v>84</v>
      </c>
      <c r="P25" s="1" t="s">
        <v>550</v>
      </c>
      <c r="Q25" s="1"/>
    </row>
    <row r="26" ht="15" customHeight="1">
      <c r="A26" s="1" t="s">
        <v>364</v>
      </c>
      <c r="B26" s="1" t="s">
        <v>339</v>
      </c>
      <c r="C26" s="1" t="s">
        <v>203</v>
      </c>
      <c r="D26" s="1" t="s">
        <v>365</v>
      </c>
      <c r="E26" s="1" t="s">
        <v>366</v>
      </c>
      <c r="F26" s="1" t="s">
        <v>232</v>
      </c>
      <c r="G26" s="10" t="s">
        <v>207</v>
      </c>
      <c r="H26" s="10" t="s">
        <v>725</v>
      </c>
      <c r="I26" s="10" t="s">
        <v>725</v>
      </c>
      <c r="J26" s="11" t="s">
        <v>84</v>
      </c>
      <c r="K26" s="11" t="s">
        <v>84</v>
      </c>
      <c r="L26" s="11" t="s">
        <v>209</v>
      </c>
      <c r="M26" s="11" t="s">
        <v>84</v>
      </c>
      <c r="N26" s="11" t="s">
        <v>84</v>
      </c>
      <c r="O26" s="11" t="s">
        <v>209</v>
      </c>
      <c r="P26" s="1" t="s">
        <v>366</v>
      </c>
      <c r="Q26" s="1"/>
    </row>
    <row r="27" ht="23.85" customHeight="1">
      <c r="A27" s="12" t="s">
        <v>367</v>
      </c>
      <c r="B27" s="1" t="s">
        <v>339</v>
      </c>
      <c r="C27" s="1" t="s">
        <v>203</v>
      </c>
      <c r="D27" s="1" t="s">
        <v>368</v>
      </c>
      <c r="E27" s="1" t="s">
        <v>369</v>
      </c>
      <c r="F27" s="12" t="s">
        <v>254</v>
      </c>
      <c r="G27" s="10" t="s">
        <v>255</v>
      </c>
      <c r="H27" s="10" t="s">
        <v>725</v>
      </c>
      <c r="I27" s="10" t="s">
        <v>725</v>
      </c>
      <c r="J27" s="11" t="s">
        <v>84</v>
      </c>
      <c r="K27" s="11" t="s">
        <v>84</v>
      </c>
      <c r="L27" s="11" t="s">
        <v>84</v>
      </c>
      <c r="M27" s="11" t="s">
        <v>84</v>
      </c>
      <c r="N27" s="11" t="s">
        <v>84</v>
      </c>
      <c r="O27" s="11" t="s">
        <v>84</v>
      </c>
      <c r="P27" s="1" t="s">
        <v>551</v>
      </c>
      <c r="Q27" s="1" t="s">
        <v>371</v>
      </c>
    </row>
    <row r="28" ht="15" customHeight="1">
      <c r="A28" s="12" t="s">
        <v>372</v>
      </c>
      <c r="B28" s="1" t="s">
        <v>339</v>
      </c>
      <c r="C28" s="1" t="s">
        <v>229</v>
      </c>
      <c r="D28" s="1" t="s">
        <v>373</v>
      </c>
      <c r="E28" s="1" t="s">
        <v>253</v>
      </c>
      <c r="F28" s="12" t="s">
        <v>254</v>
      </c>
      <c r="G28" s="10" t="s">
        <v>255</v>
      </c>
      <c r="H28" s="10" t="s">
        <v>725</v>
      </c>
      <c r="I28" s="10" t="s">
        <v>725</v>
      </c>
      <c r="J28" s="11" t="s">
        <v>84</v>
      </c>
      <c r="K28" s="11" t="s">
        <v>84</v>
      </c>
      <c r="L28" s="11" t="s">
        <v>84</v>
      </c>
      <c r="M28" s="11" t="s">
        <v>84</v>
      </c>
      <c r="N28" s="11" t="s">
        <v>84</v>
      </c>
      <c r="O28" s="11" t="s">
        <v>84</v>
      </c>
      <c r="P28" s="1" t="s">
        <v>374</v>
      </c>
      <c r="Q28" s="1" t="s">
        <v>375</v>
      </c>
    </row>
    <row r="29" ht="15" customHeight="1">
      <c r="A29" s="12" t="s">
        <v>376</v>
      </c>
      <c r="B29" s="1" t="s">
        <v>339</v>
      </c>
      <c r="C29" s="1" t="s">
        <v>284</v>
      </c>
      <c r="D29" s="1" t="s">
        <v>377</v>
      </c>
      <c r="E29" s="1" t="s">
        <v>378</v>
      </c>
      <c r="F29" s="12" t="s">
        <v>254</v>
      </c>
      <c r="G29" s="10" t="s">
        <v>255</v>
      </c>
      <c r="H29" s="10" t="s">
        <v>725</v>
      </c>
      <c r="I29" s="10" t="s">
        <v>725</v>
      </c>
      <c r="J29" s="11" t="s">
        <v>84</v>
      </c>
      <c r="K29" s="11" t="s">
        <v>84</v>
      </c>
      <c r="L29" s="11" t="s">
        <v>84</v>
      </c>
      <c r="M29" s="11" t="s">
        <v>84</v>
      </c>
      <c r="N29" s="11" t="s">
        <v>84</v>
      </c>
      <c r="O29" s="11" t="s">
        <v>84</v>
      </c>
      <c r="P29" s="1" t="s">
        <v>379</v>
      </c>
      <c r="Q29" s="1" t="s">
        <v>379</v>
      </c>
    </row>
    <row r="30" ht="15" customHeight="1">
      <c r="A30" s="12" t="s">
        <v>380</v>
      </c>
      <c r="B30" s="1" t="s">
        <v>339</v>
      </c>
      <c r="C30" s="1" t="s">
        <v>229</v>
      </c>
      <c r="D30" s="1" t="s">
        <v>381</v>
      </c>
      <c r="E30" s="1" t="s">
        <v>382</v>
      </c>
      <c r="F30" s="12" t="s">
        <v>254</v>
      </c>
      <c r="G30" s="10" t="s">
        <v>255</v>
      </c>
      <c r="H30" s="10" t="s">
        <v>725</v>
      </c>
      <c r="I30" s="10" t="s">
        <v>725</v>
      </c>
      <c r="J30" s="11" t="s">
        <v>84</v>
      </c>
      <c r="K30" s="11" t="s">
        <v>84</v>
      </c>
      <c r="L30" s="11" t="s">
        <v>84</v>
      </c>
      <c r="M30" s="11" t="s">
        <v>84</v>
      </c>
      <c r="N30" s="11" t="s">
        <v>84</v>
      </c>
      <c r="O30" s="11" t="s">
        <v>84</v>
      </c>
      <c r="P30" s="1" t="s">
        <v>379</v>
      </c>
      <c r="Q30" s="1" t="s">
        <v>383</v>
      </c>
    </row>
    <row r="31" ht="23.85" customHeight="1">
      <c r="A31" s="12" t="s">
        <v>384</v>
      </c>
      <c r="B31" s="1" t="s">
        <v>339</v>
      </c>
      <c r="C31" s="1" t="s">
        <v>229</v>
      </c>
      <c r="D31" s="1" t="s">
        <v>385</v>
      </c>
      <c r="E31" s="1" t="s">
        <v>386</v>
      </c>
      <c r="F31" s="12" t="s">
        <v>254</v>
      </c>
      <c r="G31" s="10" t="s">
        <v>255</v>
      </c>
      <c r="H31" s="10" t="s">
        <v>725</v>
      </c>
      <c r="I31" s="10" t="s">
        <v>725</v>
      </c>
      <c r="J31" s="11" t="s">
        <v>84</v>
      </c>
      <c r="K31" s="11" t="s">
        <v>84</v>
      </c>
      <c r="L31" s="11" t="s">
        <v>84</v>
      </c>
      <c r="M31" s="11" t="s">
        <v>84</v>
      </c>
      <c r="N31" s="11" t="s">
        <v>84</v>
      </c>
      <c r="O31" s="11" t="s">
        <v>84</v>
      </c>
      <c r="P31" s="1" t="s">
        <v>552</v>
      </c>
      <c r="Q31" s="1" t="s">
        <v>388</v>
      </c>
    </row>
    <row r="32" ht="15" customHeight="1">
      <c r="A32" s="12" t="s">
        <v>389</v>
      </c>
      <c r="B32" s="1" t="s">
        <v>339</v>
      </c>
      <c r="C32" s="1" t="s">
        <v>229</v>
      </c>
      <c r="D32" s="1" t="s">
        <v>390</v>
      </c>
      <c r="E32" s="1" t="s">
        <v>391</v>
      </c>
      <c r="F32" s="12" t="s">
        <v>254</v>
      </c>
      <c r="G32" s="10" t="s">
        <v>255</v>
      </c>
      <c r="H32" s="10" t="s">
        <v>725</v>
      </c>
      <c r="I32" s="10" t="s">
        <v>725</v>
      </c>
      <c r="J32" s="11" t="s">
        <v>84</v>
      </c>
      <c r="K32" s="11" t="s">
        <v>84</v>
      </c>
      <c r="L32" s="11" t="s">
        <v>84</v>
      </c>
      <c r="M32" s="11" t="s">
        <v>84</v>
      </c>
      <c r="N32" s="11" t="s">
        <v>84</v>
      </c>
      <c r="O32" s="11" t="s">
        <v>84</v>
      </c>
      <c r="P32" s="1" t="s">
        <v>553</v>
      </c>
      <c r="Q32" s="1" t="s">
        <v>392</v>
      </c>
    </row>
    <row r="33" ht="23.85" customHeight="1">
      <c r="A33" s="12" t="s">
        <v>393</v>
      </c>
      <c r="B33" s="1" t="s">
        <v>339</v>
      </c>
      <c r="C33" s="1" t="s">
        <v>229</v>
      </c>
      <c r="D33" s="1" t="s">
        <v>394</v>
      </c>
      <c r="E33" s="1" t="s">
        <v>395</v>
      </c>
      <c r="F33" s="12" t="s">
        <v>254</v>
      </c>
      <c r="G33" s="10" t="s">
        <v>255</v>
      </c>
      <c r="H33" s="10" t="s">
        <v>725</v>
      </c>
      <c r="I33" s="10" t="s">
        <v>725</v>
      </c>
      <c r="J33" s="11" t="s">
        <v>84</v>
      </c>
      <c r="K33" s="11" t="s">
        <v>84</v>
      </c>
      <c r="L33" s="11" t="s">
        <v>84</v>
      </c>
      <c r="M33" s="11" t="s">
        <v>84</v>
      </c>
      <c r="N33" s="11" t="s">
        <v>84</v>
      </c>
      <c r="O33" s="11" t="s">
        <v>84</v>
      </c>
      <c r="P33" s="1" t="s">
        <v>396</v>
      </c>
      <c r="Q33" s="1" t="s">
        <v>396</v>
      </c>
    </row>
    <row r="34" ht="23.85" customHeight="1">
      <c r="A34" s="12" t="s">
        <v>397</v>
      </c>
      <c r="B34" s="1" t="s">
        <v>339</v>
      </c>
      <c r="C34" s="1" t="s">
        <v>229</v>
      </c>
      <c r="D34" s="1" t="s">
        <v>398</v>
      </c>
      <c r="E34" s="1" t="s">
        <v>399</v>
      </c>
      <c r="F34" s="12" t="s">
        <v>254</v>
      </c>
      <c r="G34" s="10" t="s">
        <v>255</v>
      </c>
      <c r="H34" s="10" t="s">
        <v>725</v>
      </c>
      <c r="I34" s="10" t="s">
        <v>725</v>
      </c>
      <c r="J34" s="11" t="s">
        <v>84</v>
      </c>
      <c r="K34" s="11" t="s">
        <v>84</v>
      </c>
      <c r="L34" s="11" t="s">
        <v>84</v>
      </c>
      <c r="M34" s="11" t="s">
        <v>84</v>
      </c>
      <c r="N34" s="11" t="s">
        <v>84</v>
      </c>
      <c r="O34" s="11" t="s">
        <v>84</v>
      </c>
      <c r="P34" s="1" t="s">
        <v>554</v>
      </c>
      <c r="Q34" s="1" t="s">
        <v>400</v>
      </c>
    </row>
    <row r="35" ht="15" customHeight="1">
      <c r="A35" s="1" t="s">
        <v>401</v>
      </c>
      <c r="B35" s="1" t="s">
        <v>402</v>
      </c>
      <c r="C35" s="1" t="s">
        <v>229</v>
      </c>
      <c r="D35" s="1" t="s">
        <v>403</v>
      </c>
      <c r="E35" s="1" t="s">
        <v>404</v>
      </c>
      <c r="F35" s="1" t="s">
        <v>254</v>
      </c>
      <c r="G35" s="10" t="s">
        <v>255</v>
      </c>
      <c r="H35" s="10" t="s">
        <v>725</v>
      </c>
      <c r="I35" s="10" t="s">
        <v>725</v>
      </c>
      <c r="J35" s="11" t="s">
        <v>208</v>
      </c>
      <c r="K35" s="11" t="s">
        <v>208</v>
      </c>
      <c r="L35" s="11" t="s">
        <v>208</v>
      </c>
      <c r="M35" s="11" t="s">
        <v>208</v>
      </c>
      <c r="N35" s="11" t="s">
        <v>208</v>
      </c>
      <c r="O35" s="11" t="s">
        <v>208</v>
      </c>
      <c r="P35" s="1" t="s">
        <v>935</v>
      </c>
      <c r="Q35" s="1"/>
    </row>
    <row r="36" ht="15" customHeight="1">
      <c r="A36" s="1" t="s">
        <v>406</v>
      </c>
      <c r="B36" s="1" t="s">
        <v>402</v>
      </c>
      <c r="C36" s="1" t="s">
        <v>229</v>
      </c>
      <c r="D36" s="1" t="s">
        <v>407</v>
      </c>
      <c r="E36" s="1" t="s">
        <v>408</v>
      </c>
      <c r="F36" s="1" t="s">
        <v>232</v>
      </c>
      <c r="G36" s="10" t="s">
        <v>207</v>
      </c>
      <c r="H36" s="10" t="s">
        <v>725</v>
      </c>
      <c r="I36" s="10" t="s">
        <v>725</v>
      </c>
      <c r="J36" s="11" t="s">
        <v>209</v>
      </c>
      <c r="K36" s="11" t="s">
        <v>84</v>
      </c>
      <c r="L36" s="11" t="s">
        <v>209</v>
      </c>
      <c r="M36" s="11" t="s">
        <v>84</v>
      </c>
      <c r="N36" s="11" t="s">
        <v>209</v>
      </c>
      <c r="O36" s="11" t="s">
        <v>209</v>
      </c>
      <c r="P36" s="1" t="s">
        <v>556</v>
      </c>
      <c r="Q36" s="1"/>
    </row>
    <row r="37" ht="15" customHeight="1">
      <c r="A37" s="1" t="s">
        <v>410</v>
      </c>
      <c r="B37" s="1" t="s">
        <v>402</v>
      </c>
      <c r="C37" s="1" t="s">
        <v>203</v>
      </c>
      <c r="D37" s="1" t="s">
        <v>411</v>
      </c>
      <c r="E37" s="1" t="s">
        <v>412</v>
      </c>
      <c r="F37" s="1" t="s">
        <v>206</v>
      </c>
      <c r="G37" s="10" t="s">
        <v>207</v>
      </c>
      <c r="H37" s="10" t="s">
        <v>926</v>
      </c>
      <c r="I37" s="10" t="s">
        <v>725</v>
      </c>
      <c r="J37" s="11" t="s">
        <v>84</v>
      </c>
      <c r="K37" s="11" t="s">
        <v>208</v>
      </c>
      <c r="L37" s="11" t="s">
        <v>84</v>
      </c>
      <c r="M37" s="11" t="s">
        <v>84</v>
      </c>
      <c r="N37" s="11" t="s">
        <v>84</v>
      </c>
      <c r="O37" s="11" t="s">
        <v>84</v>
      </c>
      <c r="P37" s="1" t="s">
        <v>412</v>
      </c>
      <c r="Q37" s="1"/>
    </row>
    <row r="38" ht="15" customHeight="1">
      <c r="A38" s="1" t="s">
        <v>414</v>
      </c>
      <c r="B38" s="1" t="s">
        <v>402</v>
      </c>
      <c r="C38" s="1" t="s">
        <v>203</v>
      </c>
      <c r="D38" s="1" t="s">
        <v>415</v>
      </c>
      <c r="E38" s="1" t="s">
        <v>412</v>
      </c>
      <c r="F38" s="1" t="s">
        <v>206</v>
      </c>
      <c r="G38" s="10" t="s">
        <v>207</v>
      </c>
      <c r="H38" s="10" t="s">
        <v>925</v>
      </c>
      <c r="I38" s="10" t="s">
        <v>725</v>
      </c>
      <c r="J38" s="11" t="s">
        <v>84</v>
      </c>
      <c r="K38" s="11" t="s">
        <v>208</v>
      </c>
      <c r="L38" s="11" t="s">
        <v>84</v>
      </c>
      <c r="M38" s="11" t="s">
        <v>84</v>
      </c>
      <c r="N38" s="11" t="s">
        <v>84</v>
      </c>
      <c r="O38" s="11" t="s">
        <v>84</v>
      </c>
      <c r="P38" s="1" t="s">
        <v>412</v>
      </c>
      <c r="Q38" s="1"/>
    </row>
    <row r="39" ht="15" customHeight="1">
      <c r="A39" s="1" t="s">
        <v>417</v>
      </c>
      <c r="B39" s="1" t="s">
        <v>402</v>
      </c>
      <c r="C39" s="1" t="s">
        <v>203</v>
      </c>
      <c r="D39" s="1" t="s">
        <v>418</v>
      </c>
      <c r="E39" s="1" t="s">
        <v>412</v>
      </c>
      <c r="F39" s="1" t="s">
        <v>206</v>
      </c>
      <c r="G39" s="10" t="s">
        <v>207</v>
      </c>
      <c r="H39" s="10" t="s">
        <v>925</v>
      </c>
      <c r="I39" s="10" t="s">
        <v>725</v>
      </c>
      <c r="J39" s="11" t="s">
        <v>84</v>
      </c>
      <c r="K39" s="11" t="s">
        <v>208</v>
      </c>
      <c r="L39" s="11" t="s">
        <v>84</v>
      </c>
      <c r="M39" s="11" t="s">
        <v>84</v>
      </c>
      <c r="N39" s="11" t="s">
        <v>84</v>
      </c>
      <c r="O39" s="11" t="s">
        <v>84</v>
      </c>
      <c r="P39" s="1" t="s">
        <v>412</v>
      </c>
      <c r="Q39" s="1"/>
    </row>
    <row r="40" ht="23.85" customHeight="1">
      <c r="A40" s="1" t="s">
        <v>419</v>
      </c>
      <c r="B40" s="1" t="s">
        <v>402</v>
      </c>
      <c r="C40" s="1" t="s">
        <v>229</v>
      </c>
      <c r="D40" s="1" t="s">
        <v>420</v>
      </c>
      <c r="E40" s="1" t="s">
        <v>421</v>
      </c>
      <c r="F40" s="1" t="s">
        <v>206</v>
      </c>
      <c r="G40" s="10" t="s">
        <v>207</v>
      </c>
      <c r="H40" s="10" t="s">
        <v>725</v>
      </c>
      <c r="I40" s="10" t="s">
        <v>725</v>
      </c>
      <c r="J40" s="11" t="s">
        <v>84</v>
      </c>
      <c r="K40" s="11" t="s">
        <v>84</v>
      </c>
      <c r="L40" s="11" t="s">
        <v>84</v>
      </c>
      <c r="M40" s="11" t="s">
        <v>208</v>
      </c>
      <c r="N40" s="11" t="s">
        <v>84</v>
      </c>
      <c r="O40" s="11" t="s">
        <v>84</v>
      </c>
      <c r="P40" s="1" t="s">
        <v>557</v>
      </c>
      <c r="Q40" s="1"/>
    </row>
    <row r="41" ht="15" customHeight="1">
      <c r="A41" s="1" t="s">
        <v>422</v>
      </c>
      <c r="B41" s="1" t="s">
        <v>402</v>
      </c>
      <c r="C41" s="1" t="s">
        <v>203</v>
      </c>
      <c r="D41" s="1" t="s">
        <v>423</v>
      </c>
      <c r="E41" s="1" t="s">
        <v>424</v>
      </c>
      <c r="F41" s="1" t="s">
        <v>206</v>
      </c>
      <c r="G41" s="10" t="s">
        <v>207</v>
      </c>
      <c r="H41" s="10" t="s">
        <v>725</v>
      </c>
      <c r="I41" s="10" t="s">
        <v>725</v>
      </c>
      <c r="J41" s="11" t="s">
        <v>208</v>
      </c>
      <c r="K41" s="11" t="s">
        <v>84</v>
      </c>
      <c r="L41" s="11" t="s">
        <v>208</v>
      </c>
      <c r="M41" s="11" t="s">
        <v>208</v>
      </c>
      <c r="N41" s="11" t="s">
        <v>209</v>
      </c>
      <c r="O41" s="11" t="s">
        <v>209</v>
      </c>
      <c r="P41" s="1" t="s">
        <v>558</v>
      </c>
      <c r="Q41" s="1"/>
    </row>
    <row r="42" ht="15" customHeight="1">
      <c r="A42" s="1" t="s">
        <v>426</v>
      </c>
      <c r="B42" s="1" t="s">
        <v>402</v>
      </c>
      <c r="C42" s="1" t="s">
        <v>229</v>
      </c>
      <c r="D42" s="1" t="s">
        <v>427</v>
      </c>
      <c r="E42" s="1" t="s">
        <v>428</v>
      </c>
      <c r="F42" s="1" t="s">
        <v>206</v>
      </c>
      <c r="G42" s="10" t="s">
        <v>207</v>
      </c>
      <c r="H42" s="10" t="s">
        <v>725</v>
      </c>
      <c r="I42" s="10" t="s">
        <v>725</v>
      </c>
      <c r="J42" s="11" t="s">
        <v>208</v>
      </c>
      <c r="K42" s="11" t="s">
        <v>208</v>
      </c>
      <c r="L42" s="11" t="s">
        <v>208</v>
      </c>
      <c r="M42" s="11" t="s">
        <v>208</v>
      </c>
      <c r="N42" s="11" t="s">
        <v>208</v>
      </c>
      <c r="O42" s="11" t="s">
        <v>209</v>
      </c>
      <c r="P42" s="1" t="s">
        <v>559</v>
      </c>
      <c r="Q42" s="1"/>
    </row>
    <row r="43" ht="15" customHeight="1">
      <c r="A43" s="1" t="s">
        <v>429</v>
      </c>
      <c r="B43" s="1" t="s">
        <v>402</v>
      </c>
      <c r="C43" s="1" t="s">
        <v>229</v>
      </c>
      <c r="D43" s="1" t="s">
        <v>430</v>
      </c>
      <c r="E43" s="1" t="s">
        <v>431</v>
      </c>
      <c r="F43" s="1" t="s">
        <v>206</v>
      </c>
      <c r="G43" s="10" t="s">
        <v>207</v>
      </c>
      <c r="H43" s="10" t="s">
        <v>725</v>
      </c>
      <c r="I43" s="10" t="s">
        <v>725</v>
      </c>
      <c r="J43" s="11" t="s">
        <v>208</v>
      </c>
      <c r="K43" s="11" t="s">
        <v>84</v>
      </c>
      <c r="L43" s="11" t="s">
        <v>209</v>
      </c>
      <c r="M43" s="11" t="s">
        <v>84</v>
      </c>
      <c r="N43" s="11" t="s">
        <v>84</v>
      </c>
      <c r="O43" s="11" t="s">
        <v>84</v>
      </c>
      <c r="P43" s="1" t="s">
        <v>560</v>
      </c>
      <c r="Q43" s="1"/>
    </row>
    <row r="44" ht="15" customHeight="1">
      <c r="A44" s="1" t="s">
        <v>432</v>
      </c>
      <c r="B44" s="1" t="s">
        <v>402</v>
      </c>
      <c r="C44" s="1" t="s">
        <v>284</v>
      </c>
      <c r="D44" s="1" t="s">
        <v>433</v>
      </c>
      <c r="E44" s="1" t="s">
        <v>434</v>
      </c>
      <c r="F44" s="1" t="s">
        <v>206</v>
      </c>
      <c r="G44" s="10" t="s">
        <v>207</v>
      </c>
      <c r="H44" s="10" t="s">
        <v>725</v>
      </c>
      <c r="I44" s="10" t="s">
        <v>725</v>
      </c>
      <c r="J44" s="11" t="s">
        <v>84</v>
      </c>
      <c r="K44" s="11" t="s">
        <v>208</v>
      </c>
      <c r="L44" s="11" t="s">
        <v>209</v>
      </c>
      <c r="M44" s="11" t="s">
        <v>209</v>
      </c>
      <c r="N44" s="11" t="s">
        <v>84</v>
      </c>
      <c r="O44" s="11" t="s">
        <v>84</v>
      </c>
      <c r="P44" s="1" t="s">
        <v>561</v>
      </c>
      <c r="Q44" s="1"/>
    </row>
    <row r="45" ht="23.85" customHeight="1">
      <c r="A45" s="1" t="s">
        <v>435</v>
      </c>
      <c r="B45" s="1" t="s">
        <v>402</v>
      </c>
      <c r="C45" s="1" t="s">
        <v>284</v>
      </c>
      <c r="D45" s="1" t="s">
        <v>436</v>
      </c>
      <c r="E45" s="1" t="s">
        <v>437</v>
      </c>
      <c r="F45" s="1" t="s">
        <v>206</v>
      </c>
      <c r="G45" s="10" t="s">
        <v>207</v>
      </c>
      <c r="H45" s="10" t="s">
        <v>926</v>
      </c>
      <c r="I45" s="10" t="s">
        <v>725</v>
      </c>
      <c r="J45" s="11" t="s">
        <v>209</v>
      </c>
      <c r="K45" s="11" t="s">
        <v>84</v>
      </c>
      <c r="L45" s="11" t="s">
        <v>84</v>
      </c>
      <c r="M45" s="11" t="s">
        <v>208</v>
      </c>
      <c r="N45" s="11" t="s">
        <v>84</v>
      </c>
      <c r="O45" s="11" t="s">
        <v>84</v>
      </c>
      <c r="P45" s="1" t="s">
        <v>562</v>
      </c>
      <c r="Q45" s="1"/>
    </row>
    <row r="46" ht="15" customHeight="1">
      <c r="A46" s="1" t="s">
        <v>438</v>
      </c>
      <c r="B46" s="1" t="s">
        <v>402</v>
      </c>
      <c r="C46" s="1" t="s">
        <v>284</v>
      </c>
      <c r="D46" s="1" t="s">
        <v>439</v>
      </c>
      <c r="E46" s="1" t="s">
        <v>440</v>
      </c>
      <c r="F46" s="1" t="s">
        <v>206</v>
      </c>
      <c r="G46" s="10" t="s">
        <v>207</v>
      </c>
      <c r="H46" s="10" t="s">
        <v>725</v>
      </c>
      <c r="I46" s="10" t="s">
        <v>725</v>
      </c>
      <c r="J46" s="11" t="s">
        <v>226</v>
      </c>
      <c r="K46" s="11" t="s">
        <v>84</v>
      </c>
      <c r="L46" s="11" t="s">
        <v>226</v>
      </c>
      <c r="M46" s="11" t="s">
        <v>226</v>
      </c>
      <c r="N46" s="11" t="s">
        <v>226</v>
      </c>
      <c r="O46" s="11" t="s">
        <v>84</v>
      </c>
      <c r="P46" s="1" t="s">
        <v>563</v>
      </c>
      <c r="Q46" s="1"/>
    </row>
    <row r="47" ht="15" customHeight="1">
      <c r="A47" s="1" t="s">
        <v>441</v>
      </c>
      <c r="B47" s="1" t="s">
        <v>402</v>
      </c>
      <c r="C47" s="1" t="s">
        <v>203</v>
      </c>
      <c r="D47" s="1" t="s">
        <v>442</v>
      </c>
      <c r="E47" s="1" t="s">
        <v>443</v>
      </c>
      <c r="F47" s="1" t="s">
        <v>206</v>
      </c>
      <c r="G47" s="10" t="s">
        <v>207</v>
      </c>
      <c r="H47" s="10" t="s">
        <v>725</v>
      </c>
      <c r="I47" s="10" t="s">
        <v>725</v>
      </c>
      <c r="J47" s="11" t="s">
        <v>226</v>
      </c>
      <c r="K47" s="11" t="s">
        <v>226</v>
      </c>
      <c r="L47" s="11" t="s">
        <v>226</v>
      </c>
      <c r="M47" s="11" t="s">
        <v>226</v>
      </c>
      <c r="N47" s="11" t="s">
        <v>226</v>
      </c>
      <c r="O47" s="11" t="s">
        <v>209</v>
      </c>
      <c r="P47" s="1" t="s">
        <v>443</v>
      </c>
      <c r="Q47" s="1"/>
    </row>
    <row r="48" ht="15" customHeight="1">
      <c r="A48" s="1" t="s">
        <v>444</v>
      </c>
      <c r="B48" s="1" t="s">
        <v>402</v>
      </c>
      <c r="C48" s="1" t="s">
        <v>229</v>
      </c>
      <c r="D48" s="1" t="s">
        <v>445</v>
      </c>
      <c r="E48" s="1" t="s">
        <v>446</v>
      </c>
      <c r="F48" s="1" t="s">
        <v>232</v>
      </c>
      <c r="G48" s="10" t="s">
        <v>207</v>
      </c>
      <c r="H48" s="10" t="s">
        <v>725</v>
      </c>
      <c r="I48" s="10" t="s">
        <v>725</v>
      </c>
      <c r="J48" s="11" t="s">
        <v>84</v>
      </c>
      <c r="K48" s="11" t="s">
        <v>84</v>
      </c>
      <c r="L48" s="11" t="s">
        <v>209</v>
      </c>
      <c r="M48" s="11" t="s">
        <v>84</v>
      </c>
      <c r="N48" s="11" t="s">
        <v>209</v>
      </c>
      <c r="O48" s="11" t="s">
        <v>84</v>
      </c>
      <c r="P48" s="1" t="s">
        <v>564</v>
      </c>
      <c r="Q48" s="1" t="s">
        <v>447</v>
      </c>
    </row>
    <row r="49" ht="15" customHeight="1">
      <c r="A49" s="1" t="s">
        <v>448</v>
      </c>
      <c r="B49" s="1" t="s">
        <v>402</v>
      </c>
      <c r="C49" s="1" t="s">
        <v>284</v>
      </c>
      <c r="D49" s="1" t="s">
        <v>449</v>
      </c>
      <c r="E49" s="1" t="s">
        <v>450</v>
      </c>
      <c r="F49" s="1" t="s">
        <v>232</v>
      </c>
      <c r="G49" s="10" t="s">
        <v>207</v>
      </c>
      <c r="H49" s="10" t="s">
        <v>725</v>
      </c>
      <c r="I49" s="10" t="s">
        <v>725</v>
      </c>
      <c r="J49" s="11" t="s">
        <v>226</v>
      </c>
      <c r="K49" s="11" t="s">
        <v>84</v>
      </c>
      <c r="L49" s="11" t="s">
        <v>84</v>
      </c>
      <c r="M49" s="11" t="s">
        <v>84</v>
      </c>
      <c r="N49" s="11" t="s">
        <v>209</v>
      </c>
      <c r="O49" s="11" t="s">
        <v>84</v>
      </c>
      <c r="P49" s="1" t="s">
        <v>565</v>
      </c>
      <c r="Q49" s="1"/>
    </row>
    <row r="50" ht="23.85" customHeight="1">
      <c r="A50" s="1" t="s">
        <v>451</v>
      </c>
      <c r="B50" s="1" t="s">
        <v>452</v>
      </c>
      <c r="C50" s="1" t="s">
        <v>203</v>
      </c>
      <c r="D50" s="1" t="s">
        <v>453</v>
      </c>
      <c r="E50" s="1" t="s">
        <v>454</v>
      </c>
      <c r="F50" s="1" t="s">
        <v>232</v>
      </c>
      <c r="G50" s="10" t="s">
        <v>207</v>
      </c>
      <c r="H50" s="10" t="s">
        <v>725</v>
      </c>
      <c r="I50" s="10" t="s">
        <v>725</v>
      </c>
      <c r="J50" s="11" t="s">
        <v>209</v>
      </c>
      <c r="K50" s="11" t="s">
        <v>84</v>
      </c>
      <c r="L50" s="11" t="s">
        <v>84</v>
      </c>
      <c r="M50" s="11" t="s">
        <v>84</v>
      </c>
      <c r="N50" s="11" t="s">
        <v>84</v>
      </c>
      <c r="O50" s="11" t="s">
        <v>84</v>
      </c>
      <c r="P50" s="1" t="s">
        <v>566</v>
      </c>
      <c r="Q50" s="1" t="s">
        <v>456</v>
      </c>
    </row>
    <row r="51" ht="15" customHeight="1">
      <c r="A51" s="1" t="s">
        <v>457</v>
      </c>
      <c r="B51" s="1" t="s">
        <v>452</v>
      </c>
      <c r="C51" s="1" t="s">
        <v>203</v>
      </c>
      <c r="D51" s="1" t="s">
        <v>458</v>
      </c>
      <c r="E51" s="1" t="s">
        <v>459</v>
      </c>
      <c r="F51" s="1" t="s">
        <v>206</v>
      </c>
      <c r="G51" s="10" t="s">
        <v>207</v>
      </c>
      <c r="H51" s="10" t="s">
        <v>926</v>
      </c>
      <c r="I51" s="10" t="s">
        <v>725</v>
      </c>
      <c r="J51" s="11" t="s">
        <v>208</v>
      </c>
      <c r="K51" s="11" t="s">
        <v>84</v>
      </c>
      <c r="L51" s="11" t="s">
        <v>84</v>
      </c>
      <c r="M51" s="11" t="s">
        <v>84</v>
      </c>
      <c r="N51" s="11" t="s">
        <v>84</v>
      </c>
      <c r="O51" s="11" t="s">
        <v>84</v>
      </c>
      <c r="P51" s="1" t="s">
        <v>459</v>
      </c>
      <c r="Q51" s="1" t="s">
        <v>461</v>
      </c>
    </row>
    <row r="52" ht="15" customHeight="1">
      <c r="A52" s="1" t="s">
        <v>462</v>
      </c>
      <c r="B52" s="1" t="s">
        <v>452</v>
      </c>
      <c r="C52" s="1" t="s">
        <v>203</v>
      </c>
      <c r="D52" s="1" t="s">
        <v>463</v>
      </c>
      <c r="E52" s="1" t="s">
        <v>464</v>
      </c>
      <c r="F52" s="1" t="s">
        <v>206</v>
      </c>
      <c r="G52" s="10" t="s">
        <v>207</v>
      </c>
      <c r="H52" s="10" t="s">
        <v>926</v>
      </c>
      <c r="I52" s="10" t="s">
        <v>725</v>
      </c>
      <c r="J52" s="11" t="s">
        <v>84</v>
      </c>
      <c r="K52" s="11" t="s">
        <v>84</v>
      </c>
      <c r="L52" s="11" t="s">
        <v>208</v>
      </c>
      <c r="M52" s="11" t="s">
        <v>84</v>
      </c>
      <c r="N52" s="11" t="s">
        <v>84</v>
      </c>
      <c r="O52" s="11" t="s">
        <v>84</v>
      </c>
      <c r="P52" s="1" t="s">
        <v>567</v>
      </c>
      <c r="Q52" s="1" t="s">
        <v>461</v>
      </c>
    </row>
    <row r="53" ht="15" customHeight="1">
      <c r="A53" s="1" t="s">
        <v>466</v>
      </c>
      <c r="B53" s="1" t="s">
        <v>452</v>
      </c>
      <c r="C53" s="1" t="s">
        <v>203</v>
      </c>
      <c r="D53" s="1" t="s">
        <v>467</v>
      </c>
      <c r="E53" s="1" t="s">
        <v>468</v>
      </c>
      <c r="F53" s="1" t="s">
        <v>206</v>
      </c>
      <c r="G53" s="10" t="s">
        <v>207</v>
      </c>
      <c r="H53" s="10" t="s">
        <v>926</v>
      </c>
      <c r="I53" s="10" t="s">
        <v>725</v>
      </c>
      <c r="J53" s="11" t="s">
        <v>84</v>
      </c>
      <c r="K53" s="11" t="s">
        <v>84</v>
      </c>
      <c r="L53" s="11" t="s">
        <v>84</v>
      </c>
      <c r="M53" s="11" t="s">
        <v>208</v>
      </c>
      <c r="N53" s="11" t="s">
        <v>209</v>
      </c>
      <c r="O53" s="11" t="s">
        <v>84</v>
      </c>
      <c r="P53" s="1" t="s">
        <v>568</v>
      </c>
      <c r="Q53" s="1" t="s">
        <v>461</v>
      </c>
    </row>
    <row r="54" ht="15" customHeight="1">
      <c r="A54" s="1" t="s">
        <v>470</v>
      </c>
      <c r="B54" s="1" t="s">
        <v>452</v>
      </c>
      <c r="C54" s="1" t="s">
        <v>203</v>
      </c>
      <c r="D54" s="1" t="s">
        <v>471</v>
      </c>
      <c r="E54" s="1" t="s">
        <v>472</v>
      </c>
      <c r="F54" s="1" t="s">
        <v>206</v>
      </c>
      <c r="G54" s="10" t="s">
        <v>207</v>
      </c>
      <c r="H54" s="10" t="s">
        <v>926</v>
      </c>
      <c r="I54" s="10" t="s">
        <v>725</v>
      </c>
      <c r="J54" s="11" t="s">
        <v>84</v>
      </c>
      <c r="K54" s="11" t="s">
        <v>84</v>
      </c>
      <c r="L54" s="11" t="s">
        <v>84</v>
      </c>
      <c r="M54" s="11" t="s">
        <v>84</v>
      </c>
      <c r="N54" s="11" t="s">
        <v>209</v>
      </c>
      <c r="O54" s="11" t="s">
        <v>84</v>
      </c>
      <c r="P54" s="1" t="s">
        <v>472</v>
      </c>
      <c r="Q54" s="1" t="s">
        <v>461</v>
      </c>
    </row>
    <row r="55" ht="15" customHeight="1">
      <c r="A55" s="1" t="s">
        <v>474</v>
      </c>
      <c r="B55" s="1" t="s">
        <v>452</v>
      </c>
      <c r="C55" s="1" t="s">
        <v>203</v>
      </c>
      <c r="D55" s="1" t="s">
        <v>475</v>
      </c>
      <c r="E55" s="1" t="s">
        <v>476</v>
      </c>
      <c r="F55" s="1" t="s">
        <v>206</v>
      </c>
      <c r="G55" s="10" t="s">
        <v>207</v>
      </c>
      <c r="H55" s="10" t="s">
        <v>725</v>
      </c>
      <c r="I55" s="10" t="s">
        <v>725</v>
      </c>
      <c r="J55" s="11" t="s">
        <v>209</v>
      </c>
      <c r="K55" s="11" t="s">
        <v>208</v>
      </c>
      <c r="L55" s="11" t="s">
        <v>84</v>
      </c>
      <c r="M55" s="11" t="s">
        <v>209</v>
      </c>
      <c r="N55" s="11" t="s">
        <v>84</v>
      </c>
      <c r="O55" s="11" t="s">
        <v>84</v>
      </c>
      <c r="P55" s="1" t="s">
        <v>569</v>
      </c>
      <c r="Q55" s="1" t="s">
        <v>461</v>
      </c>
    </row>
    <row r="56" ht="15" customHeight="1">
      <c r="A56" s="1" t="s">
        <v>478</v>
      </c>
      <c r="B56" s="1" t="s">
        <v>452</v>
      </c>
      <c r="C56" s="1" t="s">
        <v>203</v>
      </c>
      <c r="D56" s="1" t="s">
        <v>479</v>
      </c>
      <c r="E56" s="1" t="s">
        <v>480</v>
      </c>
      <c r="F56" s="1" t="s">
        <v>232</v>
      </c>
      <c r="G56" s="10" t="s">
        <v>207</v>
      </c>
      <c r="H56" s="10" t="s">
        <v>725</v>
      </c>
      <c r="I56" s="10" t="s">
        <v>725</v>
      </c>
      <c r="J56" s="11" t="s">
        <v>84</v>
      </c>
      <c r="K56" s="11" t="s">
        <v>84</v>
      </c>
      <c r="L56" s="11" t="s">
        <v>209</v>
      </c>
      <c r="M56" s="11" t="s">
        <v>209</v>
      </c>
      <c r="N56" s="11" t="s">
        <v>84</v>
      </c>
      <c r="O56" s="11" t="s">
        <v>84</v>
      </c>
      <c r="P56" s="1" t="s">
        <v>570</v>
      </c>
      <c r="Q56" s="1" t="s">
        <v>461</v>
      </c>
    </row>
    <row r="57" ht="23.85" customHeight="1">
      <c r="A57" s="12" t="s">
        <v>481</v>
      </c>
      <c r="B57" s="1" t="s">
        <v>482</v>
      </c>
      <c r="C57" s="1" t="s">
        <v>203</v>
      </c>
      <c r="D57" s="1" t="s">
        <v>483</v>
      </c>
      <c r="E57" s="1" t="s">
        <v>484</v>
      </c>
      <c r="F57" s="12" t="s">
        <v>254</v>
      </c>
      <c r="G57" s="10" t="s">
        <v>255</v>
      </c>
      <c r="H57" s="10" t="s">
        <v>725</v>
      </c>
      <c r="I57" s="10" t="s">
        <v>725</v>
      </c>
      <c r="J57" s="11" t="s">
        <v>84</v>
      </c>
      <c r="K57" s="11" t="s">
        <v>84</v>
      </c>
      <c r="L57" s="11" t="s">
        <v>84</v>
      </c>
      <c r="M57" s="11" t="s">
        <v>84</v>
      </c>
      <c r="N57" s="11" t="s">
        <v>84</v>
      </c>
      <c r="O57" s="11" t="s">
        <v>84</v>
      </c>
      <c r="P57" s="1" t="s">
        <v>571</v>
      </c>
      <c r="Q57" s="1"/>
    </row>
    <row r="58" ht="15" customHeight="1">
      <c r="A58" s="1" t="s">
        <v>486</v>
      </c>
      <c r="B58" s="1" t="s">
        <v>482</v>
      </c>
      <c r="C58" s="1" t="s">
        <v>203</v>
      </c>
      <c r="D58" s="1" t="s">
        <v>487</v>
      </c>
      <c r="E58" s="1" t="s">
        <v>488</v>
      </c>
      <c r="F58" s="1" t="s">
        <v>232</v>
      </c>
      <c r="G58" s="10" t="s">
        <v>207</v>
      </c>
      <c r="H58" s="10" t="s">
        <v>725</v>
      </c>
      <c r="I58" s="10" t="s">
        <v>725</v>
      </c>
      <c r="J58" s="11" t="s">
        <v>209</v>
      </c>
      <c r="K58" s="9" t="s">
        <v>84</v>
      </c>
      <c r="L58" s="11" t="s">
        <v>209</v>
      </c>
      <c r="M58" s="11" t="s">
        <v>209</v>
      </c>
      <c r="N58" s="11" t="s">
        <v>209</v>
      </c>
      <c r="O58" s="11" t="s">
        <v>84</v>
      </c>
      <c r="P58" s="1" t="s">
        <v>488</v>
      </c>
      <c r="Q58" s="1"/>
    </row>
    <row r="59" ht="15" customHeight="1">
      <c r="A59" s="12" t="s">
        <v>489</v>
      </c>
      <c r="B59" s="1" t="s">
        <v>482</v>
      </c>
      <c r="C59" s="1" t="s">
        <v>203</v>
      </c>
      <c r="D59" s="1" t="s">
        <v>490</v>
      </c>
      <c r="E59" s="1" t="s">
        <v>491</v>
      </c>
      <c r="F59" s="12" t="s">
        <v>254</v>
      </c>
      <c r="G59" s="10" t="s">
        <v>255</v>
      </c>
      <c r="H59" s="10" t="s">
        <v>725</v>
      </c>
      <c r="I59" s="10" t="s">
        <v>725</v>
      </c>
      <c r="J59" s="11" t="s">
        <v>84</v>
      </c>
      <c r="K59" s="11" t="s">
        <v>84</v>
      </c>
      <c r="L59" s="11" t="s">
        <v>84</v>
      </c>
      <c r="M59" s="11" t="s">
        <v>84</v>
      </c>
      <c r="N59" s="11" t="s">
        <v>84</v>
      </c>
      <c r="O59" s="11" t="s">
        <v>84</v>
      </c>
      <c r="P59" s="1" t="s">
        <v>491</v>
      </c>
      <c r="Q59" s="1"/>
    </row>
    <row r="60" ht="35.05" customHeight="1">
      <c r="A60" s="1" t="s">
        <v>492</v>
      </c>
      <c r="B60" s="1" t="s">
        <v>493</v>
      </c>
      <c r="C60" s="1" t="s">
        <v>203</v>
      </c>
      <c r="D60" s="1" t="s">
        <v>494</v>
      </c>
      <c r="E60" s="1" t="s">
        <v>495</v>
      </c>
      <c r="F60" s="1" t="s">
        <v>206</v>
      </c>
      <c r="G60" s="10" t="s">
        <v>207</v>
      </c>
      <c r="H60" s="10" t="s">
        <v>926</v>
      </c>
      <c r="I60" s="10" t="s">
        <v>725</v>
      </c>
      <c r="J60" s="11" t="s">
        <v>209</v>
      </c>
      <c r="K60" s="11" t="s">
        <v>209</v>
      </c>
      <c r="L60" s="11" t="s">
        <v>209</v>
      </c>
      <c r="M60" s="11" t="s">
        <v>209</v>
      </c>
      <c r="N60" s="11" t="s">
        <v>209</v>
      </c>
      <c r="O60" s="11" t="s">
        <v>209</v>
      </c>
      <c r="P60" s="1" t="s">
        <v>572</v>
      </c>
      <c r="Q60" s="1" t="s">
        <v>497</v>
      </c>
    </row>
    <row r="61" ht="35.05" customHeight="1">
      <c r="A61" s="1" t="s">
        <v>498</v>
      </c>
      <c r="B61" s="1" t="s">
        <v>493</v>
      </c>
      <c r="C61" s="1" t="s">
        <v>203</v>
      </c>
      <c r="D61" s="1" t="s">
        <v>499</v>
      </c>
      <c r="E61" s="1" t="s">
        <v>500</v>
      </c>
      <c r="F61" s="1" t="s">
        <v>232</v>
      </c>
      <c r="G61" s="10" t="s">
        <v>207</v>
      </c>
      <c r="H61" s="10" t="s">
        <v>926</v>
      </c>
      <c r="I61" s="10" t="s">
        <v>725</v>
      </c>
      <c r="J61" s="11" t="s">
        <v>209</v>
      </c>
      <c r="K61" s="11" t="s">
        <v>84</v>
      </c>
      <c r="L61" s="11" t="s">
        <v>209</v>
      </c>
      <c r="M61" s="11" t="s">
        <v>84</v>
      </c>
      <c r="N61" s="11" t="s">
        <v>84</v>
      </c>
      <c r="O61" s="11" t="s">
        <v>209</v>
      </c>
      <c r="P61" s="1" t="s">
        <v>573</v>
      </c>
      <c r="Q61" s="1" t="s">
        <v>502</v>
      </c>
    </row>
  </sheetData>
  <autoFilter ref="A1:Q61"/>
  <dataValidations count="4">
    <dataValidation allowBlank="false" errorStyle="stop" operator="between" showDropDown="false" showErrorMessage="false" showInputMessage="false" sqref="J2:O61" type="list">
      <formula1>"B,F,S,-"</formula1>
      <formula2>0</formula2>
    </dataValidation>
    <dataValidation allowBlank="false" errorStyle="stop" operator="between" showDropDown="false" showErrorMessage="false" showInputMessage="false" sqref="G2:G61" type="list">
      <formula1>"Y,N"</formula1>
      <formula2>0</formula2>
    </dataValidation>
    <dataValidation allowBlank="false" errorStyle="stop" operator="between" showDropDown="false" showErrorMessage="false" showInputMessage="false" sqref="F2:F61" type="list">
      <formula1>"Include,Test,Exclude"</formula1>
      <formula2>0</formula2>
    </dataValidation>
    <dataValidation allowBlank="false" errorStyle="stop" operator="between" showDropDown="false" showErrorMessage="false" showInputMessage="false" sqref="H2:I61" type="list">
      <formula1>"-1,0,1"</formula1>
      <formula2>0</formula2>
    </dataValidation>
  </dataValidations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0" hidden="false" outlineLevel="0" customWidth="1"/>
    <col min="2" max="2" width="20" hidden="false" outlineLevel="0" customWidth="1"/>
    <col min="3" max="3" width="8" hidden="false" outlineLevel="0" customWidth="1"/>
    <col min="4" max="4" width="38" hidden="false" outlineLevel="0" customWidth="1"/>
    <col min="5" max="5" width="30" hidden="false" outlineLevel="0" customWidth="1"/>
    <col min="6" max="6" width="10" hidden="false" outlineLevel="0" customWidth="1"/>
    <col min="7" max="7" width="6" hidden="false" outlineLevel="0" customWidth="1"/>
    <col min="8" max="8" width="9" hidden="false" outlineLevel="0" customWidth="1"/>
    <col min="9" max="9" width="9" hidden="false" outlineLevel="0" customWidth="1"/>
    <col min="10" max="10" width="11" hidden="false" outlineLevel="0" customWidth="1"/>
    <col min="11" max="11" width="11" hidden="false" outlineLevel="0" customWidth="1"/>
    <col min="12" max="12" width="11" hidden="false" outlineLevel="0" customWidth="1"/>
    <col min="13" max="13" width="11" hidden="false" outlineLevel="0" customWidth="1"/>
    <col min="14" max="14" width="48" hidden="false" outlineLevel="0" customWidth="1"/>
    <col min="15" max="15" width="40" hidden="false" outlineLevel="0" customWidth="1"/>
  </cols>
  <sheetData>
    <row r="1" ht="30" customHeight="1">
      <c r="A1" s="5" t="s">
        <v>191</v>
      </c>
      <c r="B1" s="5" t="s">
        <v>192</v>
      </c>
      <c r="C1" s="5" t="s">
        <v>193</v>
      </c>
      <c r="D1" s="5" t="s">
        <v>194</v>
      </c>
      <c r="E1" s="5" t="s">
        <v>195</v>
      </c>
      <c r="F1" s="5" t="s">
        <v>48</v>
      </c>
      <c r="G1" s="5" t="s">
        <v>196</v>
      </c>
      <c r="H1" s="5" t="s">
        <v>197</v>
      </c>
      <c r="I1" s="5" t="s">
        <v>198</v>
      </c>
      <c r="J1" s="5" t="s">
        <v>34</v>
      </c>
      <c r="K1" s="5" t="s">
        <v>39</v>
      </c>
      <c r="L1" s="5" t="s">
        <v>42</v>
      </c>
      <c r="M1" s="5" t="s">
        <v>38</v>
      </c>
      <c r="N1" s="5" t="s">
        <v>199</v>
      </c>
      <c r="O1" s="5" t="s">
        <v>200</v>
      </c>
    </row>
    <row r="2" ht="23.85" customHeight="1">
      <c r="A2" s="1" t="s">
        <v>932</v>
      </c>
      <c r="B2" s="1" t="s">
        <v>504</v>
      </c>
      <c r="C2" s="1" t="s">
        <v>229</v>
      </c>
      <c r="D2" s="1" t="s">
        <v>505</v>
      </c>
      <c r="E2" s="1" t="s">
        <v>506</v>
      </c>
      <c r="F2" s="1" t="s">
        <v>232</v>
      </c>
      <c r="G2" s="10" t="s">
        <v>207</v>
      </c>
      <c r="H2" s="10" t="s">
        <v>725</v>
      </c>
      <c r="I2" s="10" t="s">
        <v>725</v>
      </c>
      <c r="J2" s="11" t="s">
        <v>209</v>
      </c>
      <c r="K2" s="11" t="s">
        <v>84</v>
      </c>
      <c r="L2" s="11" t="s">
        <v>209</v>
      </c>
      <c r="M2" s="11" t="s">
        <v>84</v>
      </c>
      <c r="N2" s="1" t="s">
        <v>506</v>
      </c>
      <c r="O2" s="1" t="s">
        <v>507</v>
      </c>
    </row>
    <row r="3" ht="23.85" customHeight="1">
      <c r="A3" s="1" t="s">
        <v>508</v>
      </c>
      <c r="B3" s="1" t="s">
        <v>504</v>
      </c>
      <c r="C3" s="1" t="s">
        <v>203</v>
      </c>
      <c r="D3" s="1" t="s">
        <v>509</v>
      </c>
      <c r="E3" s="1" t="s">
        <v>510</v>
      </c>
      <c r="F3" s="1" t="s">
        <v>206</v>
      </c>
      <c r="G3" s="10" t="s">
        <v>207</v>
      </c>
      <c r="H3" s="10" t="s">
        <v>725</v>
      </c>
      <c r="I3" s="10" t="s">
        <v>926</v>
      </c>
      <c r="J3" s="11" t="s">
        <v>208</v>
      </c>
      <c r="K3" s="11" t="s">
        <v>226</v>
      </c>
      <c r="L3" s="11" t="s">
        <v>208</v>
      </c>
      <c r="M3" s="11" t="s">
        <v>226</v>
      </c>
      <c r="N3" s="1" t="s">
        <v>574</v>
      </c>
      <c r="O3" s="1"/>
    </row>
    <row r="4" ht="23.85" customHeight="1">
      <c r="A4" s="1" t="s">
        <v>529</v>
      </c>
      <c r="B4" s="1" t="s">
        <v>504</v>
      </c>
      <c r="C4" s="1" t="s">
        <v>284</v>
      </c>
      <c r="D4" s="1" t="s">
        <v>530</v>
      </c>
      <c r="E4" s="1" t="s">
        <v>531</v>
      </c>
      <c r="F4" s="1" t="s">
        <v>206</v>
      </c>
      <c r="G4" s="10" t="s">
        <v>207</v>
      </c>
      <c r="H4" s="10" t="s">
        <v>725</v>
      </c>
      <c r="I4" s="10" t="s">
        <v>725</v>
      </c>
      <c r="J4" s="11" t="s">
        <v>84</v>
      </c>
      <c r="K4" s="11" t="s">
        <v>84</v>
      </c>
      <c r="L4" s="11" t="s">
        <v>208</v>
      </c>
      <c r="M4" s="11" t="s">
        <v>84</v>
      </c>
      <c r="N4" s="1" t="s">
        <v>532</v>
      </c>
      <c r="O4" s="1" t="s">
        <v>533</v>
      </c>
    </row>
    <row r="5" ht="15" customHeight="1">
      <c r="A5" s="1" t="s">
        <v>575</v>
      </c>
      <c r="B5" s="1" t="s">
        <v>576</v>
      </c>
      <c r="C5" s="1" t="s">
        <v>229</v>
      </c>
      <c r="D5" s="1" t="s">
        <v>577</v>
      </c>
      <c r="E5" s="1" t="s">
        <v>578</v>
      </c>
      <c r="F5" s="1" t="s">
        <v>206</v>
      </c>
      <c r="G5" s="10" t="s">
        <v>207</v>
      </c>
      <c r="H5" s="10" t="s">
        <v>725</v>
      </c>
      <c r="I5" s="10" t="s">
        <v>725</v>
      </c>
      <c r="J5" s="11" t="s">
        <v>209</v>
      </c>
      <c r="K5" s="11" t="s">
        <v>209</v>
      </c>
      <c r="L5" s="11" t="s">
        <v>209</v>
      </c>
      <c r="M5" s="11" t="s">
        <v>209</v>
      </c>
      <c r="N5" s="1" t="s">
        <v>579</v>
      </c>
      <c r="O5" s="1"/>
    </row>
    <row r="6" ht="15" customHeight="1">
      <c r="A6" s="1" t="s">
        <v>580</v>
      </c>
      <c r="B6" s="1" t="s">
        <v>576</v>
      </c>
      <c r="C6" s="1" t="s">
        <v>229</v>
      </c>
      <c r="D6" s="1" t="s">
        <v>581</v>
      </c>
      <c r="E6" s="1" t="s">
        <v>582</v>
      </c>
      <c r="F6" s="1" t="s">
        <v>206</v>
      </c>
      <c r="G6" s="10" t="s">
        <v>207</v>
      </c>
      <c r="H6" s="10" t="s">
        <v>725</v>
      </c>
      <c r="I6" s="10" t="s">
        <v>725</v>
      </c>
      <c r="J6" s="11" t="s">
        <v>208</v>
      </c>
      <c r="K6" s="11" t="s">
        <v>84</v>
      </c>
      <c r="L6" s="11" t="s">
        <v>84</v>
      </c>
      <c r="M6" s="11" t="s">
        <v>84</v>
      </c>
      <c r="N6" s="1" t="s">
        <v>582</v>
      </c>
      <c r="O6" s="1"/>
    </row>
    <row r="7" ht="15" customHeight="1">
      <c r="A7" s="1" t="s">
        <v>583</v>
      </c>
      <c r="B7" s="1" t="s">
        <v>576</v>
      </c>
      <c r="C7" s="1" t="s">
        <v>203</v>
      </c>
      <c r="D7" s="1" t="s">
        <v>584</v>
      </c>
      <c r="E7" s="1" t="s">
        <v>585</v>
      </c>
      <c r="F7" s="1" t="s">
        <v>206</v>
      </c>
      <c r="G7" s="10" t="s">
        <v>207</v>
      </c>
      <c r="H7" s="10" t="s">
        <v>926</v>
      </c>
      <c r="I7" s="10" t="s">
        <v>725</v>
      </c>
      <c r="J7" s="11" t="s">
        <v>208</v>
      </c>
      <c r="K7" s="11" t="s">
        <v>84</v>
      </c>
      <c r="L7" s="11" t="s">
        <v>226</v>
      </c>
      <c r="M7" s="11" t="s">
        <v>84</v>
      </c>
      <c r="N7" s="1" t="s">
        <v>586</v>
      </c>
      <c r="O7" s="1"/>
    </row>
    <row r="8" ht="15" customHeight="1">
      <c r="A8" s="1" t="s">
        <v>587</v>
      </c>
      <c r="B8" s="1" t="s">
        <v>576</v>
      </c>
      <c r="C8" s="1" t="s">
        <v>284</v>
      </c>
      <c r="D8" s="1" t="s">
        <v>588</v>
      </c>
      <c r="E8" s="1" t="s">
        <v>589</v>
      </c>
      <c r="F8" s="1" t="s">
        <v>232</v>
      </c>
      <c r="G8" s="10" t="s">
        <v>207</v>
      </c>
      <c r="H8" s="10" t="s">
        <v>725</v>
      </c>
      <c r="I8" s="10" t="s">
        <v>725</v>
      </c>
      <c r="J8" s="11" t="s">
        <v>209</v>
      </c>
      <c r="K8" s="11" t="s">
        <v>209</v>
      </c>
      <c r="L8" s="11" t="s">
        <v>209</v>
      </c>
      <c r="M8" s="11" t="s">
        <v>84</v>
      </c>
      <c r="N8" s="1" t="s">
        <v>590</v>
      </c>
      <c r="O8" s="1"/>
    </row>
    <row r="9" ht="15" customHeight="1">
      <c r="A9" s="1" t="s">
        <v>591</v>
      </c>
      <c r="B9" s="1" t="s">
        <v>576</v>
      </c>
      <c r="C9" s="1" t="s">
        <v>284</v>
      </c>
      <c r="D9" s="1" t="s">
        <v>592</v>
      </c>
      <c r="E9" s="1" t="s">
        <v>593</v>
      </c>
      <c r="F9" s="1" t="s">
        <v>232</v>
      </c>
      <c r="G9" s="10" t="s">
        <v>207</v>
      </c>
      <c r="H9" s="10" t="s">
        <v>725</v>
      </c>
      <c r="I9" s="10" t="s">
        <v>725</v>
      </c>
      <c r="J9" s="11" t="s">
        <v>209</v>
      </c>
      <c r="K9" s="11" t="s">
        <v>84</v>
      </c>
      <c r="L9" s="11" t="s">
        <v>209</v>
      </c>
      <c r="M9" s="11" t="s">
        <v>84</v>
      </c>
      <c r="N9" s="1" t="s">
        <v>594</v>
      </c>
      <c r="O9" s="1"/>
    </row>
    <row r="10" ht="15" customHeight="1">
      <c r="A10" s="1" t="s">
        <v>595</v>
      </c>
      <c r="B10" s="1" t="s">
        <v>576</v>
      </c>
      <c r="C10" s="1" t="s">
        <v>284</v>
      </c>
      <c r="D10" s="1" t="s">
        <v>596</v>
      </c>
      <c r="E10" s="1" t="s">
        <v>597</v>
      </c>
      <c r="F10" s="1" t="s">
        <v>206</v>
      </c>
      <c r="G10" s="10" t="s">
        <v>207</v>
      </c>
      <c r="H10" s="10" t="s">
        <v>725</v>
      </c>
      <c r="I10" s="10" t="s">
        <v>725</v>
      </c>
      <c r="J10" s="11" t="s">
        <v>208</v>
      </c>
      <c r="K10" s="11" t="s">
        <v>84</v>
      </c>
      <c r="L10" s="11" t="s">
        <v>84</v>
      </c>
      <c r="M10" s="11" t="s">
        <v>84</v>
      </c>
      <c r="N10" s="1" t="s">
        <v>597</v>
      </c>
      <c r="O10" s="1"/>
    </row>
    <row r="11" ht="23.85" customHeight="1">
      <c r="A11" s="1" t="s">
        <v>296</v>
      </c>
      <c r="B11" s="1" t="s">
        <v>297</v>
      </c>
      <c r="C11" s="1" t="s">
        <v>203</v>
      </c>
      <c r="D11" s="1" t="s">
        <v>298</v>
      </c>
      <c r="E11" s="1" t="s">
        <v>299</v>
      </c>
      <c r="F11" s="1" t="s">
        <v>206</v>
      </c>
      <c r="G11" s="10" t="s">
        <v>207</v>
      </c>
      <c r="H11" s="10" t="s">
        <v>925</v>
      </c>
      <c r="I11" s="10" t="s">
        <v>725</v>
      </c>
      <c r="J11" s="11" t="s">
        <v>208</v>
      </c>
      <c r="K11" s="11" t="s">
        <v>208</v>
      </c>
      <c r="L11" s="11" t="s">
        <v>208</v>
      </c>
      <c r="M11" s="9" t="s">
        <v>208</v>
      </c>
      <c r="N11" s="1" t="s">
        <v>304</v>
      </c>
      <c r="O11" s="1" t="s">
        <v>301</v>
      </c>
    </row>
    <row r="12" ht="15" customHeight="1">
      <c r="A12" s="1" t="s">
        <v>302</v>
      </c>
      <c r="B12" s="1" t="s">
        <v>297</v>
      </c>
      <c r="C12" s="1" t="s">
        <v>203</v>
      </c>
      <c r="D12" s="1" t="s">
        <v>303</v>
      </c>
      <c r="E12" s="1" t="s">
        <v>304</v>
      </c>
      <c r="F12" s="1" t="s">
        <v>254</v>
      </c>
      <c r="G12" s="10" t="s">
        <v>255</v>
      </c>
      <c r="H12" s="10" t="s">
        <v>725</v>
      </c>
      <c r="I12" s="10" t="s">
        <v>725</v>
      </c>
      <c r="J12" s="11" t="s">
        <v>226</v>
      </c>
      <c r="K12" s="11" t="s">
        <v>226</v>
      </c>
      <c r="L12" s="11" t="s">
        <v>226</v>
      </c>
      <c r="M12" s="11" t="s">
        <v>226</v>
      </c>
      <c r="N12" s="1" t="s">
        <v>933</v>
      </c>
      <c r="O12" s="1"/>
    </row>
    <row r="13" ht="15" customHeight="1">
      <c r="A13" s="1" t="s">
        <v>306</v>
      </c>
      <c r="B13" s="1" t="s">
        <v>297</v>
      </c>
      <c r="C13" s="1" t="s">
        <v>229</v>
      </c>
      <c r="D13" s="1" t="s">
        <v>307</v>
      </c>
      <c r="E13" s="1" t="s">
        <v>308</v>
      </c>
      <c r="F13" s="1" t="s">
        <v>232</v>
      </c>
      <c r="G13" s="10" t="s">
        <v>207</v>
      </c>
      <c r="H13" s="10" t="s">
        <v>725</v>
      </c>
      <c r="I13" s="10" t="s">
        <v>725</v>
      </c>
      <c r="J13" s="11" t="s">
        <v>209</v>
      </c>
      <c r="K13" s="11" t="s">
        <v>84</v>
      </c>
      <c r="L13" s="11" t="s">
        <v>209</v>
      </c>
      <c r="M13" s="11" t="s">
        <v>84</v>
      </c>
      <c r="N13" s="1" t="s">
        <v>540</v>
      </c>
      <c r="O13" s="1"/>
    </row>
    <row r="14" ht="15" customHeight="1">
      <c r="A14" s="1" t="s">
        <v>310</v>
      </c>
      <c r="B14" s="1" t="s">
        <v>297</v>
      </c>
      <c r="C14" s="1" t="s">
        <v>229</v>
      </c>
      <c r="D14" s="1" t="s">
        <v>311</v>
      </c>
      <c r="E14" s="1" t="s">
        <v>312</v>
      </c>
      <c r="F14" s="1" t="s">
        <v>232</v>
      </c>
      <c r="G14" s="10" t="s">
        <v>207</v>
      </c>
      <c r="H14" s="10" t="s">
        <v>725</v>
      </c>
      <c r="I14" s="10" t="s">
        <v>725</v>
      </c>
      <c r="J14" s="11" t="s">
        <v>209</v>
      </c>
      <c r="K14" s="11" t="s">
        <v>84</v>
      </c>
      <c r="L14" s="11" t="s">
        <v>209</v>
      </c>
      <c r="M14" s="11" t="s">
        <v>84</v>
      </c>
      <c r="N14" s="1" t="s">
        <v>312</v>
      </c>
      <c r="O14" s="1" t="s">
        <v>313</v>
      </c>
    </row>
    <row r="15" ht="15" customHeight="1">
      <c r="A15" s="1" t="s">
        <v>314</v>
      </c>
      <c r="B15" s="1" t="s">
        <v>297</v>
      </c>
      <c r="C15" s="1" t="s">
        <v>203</v>
      </c>
      <c r="D15" s="1" t="s">
        <v>315</v>
      </c>
      <c r="E15" s="1" t="s">
        <v>312</v>
      </c>
      <c r="F15" s="1" t="s">
        <v>232</v>
      </c>
      <c r="G15" s="10" t="s">
        <v>207</v>
      </c>
      <c r="H15" s="10" t="s">
        <v>926</v>
      </c>
      <c r="I15" s="10" t="s">
        <v>725</v>
      </c>
      <c r="J15" s="11" t="s">
        <v>209</v>
      </c>
      <c r="K15" s="11" t="s">
        <v>84</v>
      </c>
      <c r="L15" s="11" t="s">
        <v>209</v>
      </c>
      <c r="M15" s="11" t="s">
        <v>84</v>
      </c>
      <c r="N15" s="1" t="s">
        <v>312</v>
      </c>
      <c r="O15" s="1" t="s">
        <v>313</v>
      </c>
    </row>
    <row r="16" ht="15" customHeight="1">
      <c r="A16" s="1" t="s">
        <v>316</v>
      </c>
      <c r="B16" s="1" t="s">
        <v>297</v>
      </c>
      <c r="C16" s="1" t="s">
        <v>284</v>
      </c>
      <c r="D16" s="1" t="s">
        <v>317</v>
      </c>
      <c r="E16" s="1" t="s">
        <v>318</v>
      </c>
      <c r="F16" s="1" t="s">
        <v>232</v>
      </c>
      <c r="G16" s="10" t="s">
        <v>207</v>
      </c>
      <c r="H16" s="10" t="s">
        <v>725</v>
      </c>
      <c r="I16" s="10" t="s">
        <v>725</v>
      </c>
      <c r="J16" s="11" t="s">
        <v>209</v>
      </c>
      <c r="K16" s="11" t="s">
        <v>209</v>
      </c>
      <c r="L16" s="11" t="s">
        <v>209</v>
      </c>
      <c r="M16" s="11" t="s">
        <v>84</v>
      </c>
      <c r="N16" s="1" t="s">
        <v>540</v>
      </c>
      <c r="O16" s="1"/>
    </row>
    <row r="17" ht="23.85" customHeight="1">
      <c r="A17" s="1" t="s">
        <v>320</v>
      </c>
      <c r="B17" s="1" t="s">
        <v>297</v>
      </c>
      <c r="C17" s="1" t="s">
        <v>203</v>
      </c>
      <c r="D17" s="1" t="s">
        <v>321</v>
      </c>
      <c r="E17" s="1" t="s">
        <v>322</v>
      </c>
      <c r="F17" s="1" t="s">
        <v>232</v>
      </c>
      <c r="G17" s="10" t="s">
        <v>207</v>
      </c>
      <c r="H17" s="10" t="s">
        <v>725</v>
      </c>
      <c r="I17" s="10" t="s">
        <v>725</v>
      </c>
      <c r="J17" s="11" t="s">
        <v>209</v>
      </c>
      <c r="K17" s="11" t="s">
        <v>209</v>
      </c>
      <c r="L17" s="11" t="s">
        <v>209</v>
      </c>
      <c r="M17" s="11" t="s">
        <v>84</v>
      </c>
      <c r="N17" s="1" t="s">
        <v>542</v>
      </c>
      <c r="O17" s="1" t="s">
        <v>324</v>
      </c>
    </row>
    <row r="18" ht="15" customHeight="1">
      <c r="A18" s="1" t="s">
        <v>325</v>
      </c>
      <c r="B18" s="1" t="s">
        <v>297</v>
      </c>
      <c r="C18" s="1" t="s">
        <v>203</v>
      </c>
      <c r="D18" s="1" t="s">
        <v>326</v>
      </c>
      <c r="E18" s="1" t="s">
        <v>327</v>
      </c>
      <c r="F18" s="1" t="s">
        <v>232</v>
      </c>
      <c r="G18" s="10" t="s">
        <v>207</v>
      </c>
      <c r="H18" s="10" t="s">
        <v>725</v>
      </c>
      <c r="I18" s="10" t="s">
        <v>725</v>
      </c>
      <c r="J18" s="11" t="s">
        <v>209</v>
      </c>
      <c r="K18" s="11" t="s">
        <v>84</v>
      </c>
      <c r="L18" s="11" t="s">
        <v>209</v>
      </c>
      <c r="M18" s="11" t="s">
        <v>209</v>
      </c>
      <c r="N18" s="1" t="s">
        <v>598</v>
      </c>
      <c r="O18" s="1"/>
    </row>
    <row r="19" ht="15" customHeight="1">
      <c r="A19" s="12" t="s">
        <v>329</v>
      </c>
      <c r="B19" s="1" t="s">
        <v>297</v>
      </c>
      <c r="C19" s="1" t="s">
        <v>203</v>
      </c>
      <c r="D19" s="1" t="s">
        <v>330</v>
      </c>
      <c r="E19" s="1" t="s">
        <v>331</v>
      </c>
      <c r="F19" s="12" t="s">
        <v>254</v>
      </c>
      <c r="G19" s="10" t="s">
        <v>255</v>
      </c>
      <c r="H19" s="10" t="s">
        <v>725</v>
      </c>
      <c r="I19" s="10" t="s">
        <v>725</v>
      </c>
      <c r="J19" s="11" t="s">
        <v>84</v>
      </c>
      <c r="K19" s="11" t="s">
        <v>84</v>
      </c>
      <c r="L19" s="11" t="s">
        <v>84</v>
      </c>
      <c r="M19" s="11" t="s">
        <v>84</v>
      </c>
      <c r="N19" s="1" t="s">
        <v>544</v>
      </c>
      <c r="O19" s="1" t="s">
        <v>333</v>
      </c>
    </row>
    <row r="20" ht="23.85" customHeight="1">
      <c r="A20" s="12" t="s">
        <v>174</v>
      </c>
      <c r="B20" s="1" t="s">
        <v>297</v>
      </c>
      <c r="C20" s="1" t="s">
        <v>203</v>
      </c>
      <c r="D20" s="1" t="s">
        <v>334</v>
      </c>
      <c r="E20" s="1" t="s">
        <v>335</v>
      </c>
      <c r="F20" s="12" t="s">
        <v>254</v>
      </c>
      <c r="G20" s="10" t="s">
        <v>255</v>
      </c>
      <c r="H20" s="10" t="s">
        <v>725</v>
      </c>
      <c r="I20" s="10" t="s">
        <v>725</v>
      </c>
      <c r="J20" s="11" t="s">
        <v>84</v>
      </c>
      <c r="K20" s="11" t="s">
        <v>84</v>
      </c>
      <c r="L20" s="11" t="s">
        <v>84</v>
      </c>
      <c r="M20" s="11" t="s">
        <v>84</v>
      </c>
      <c r="N20" s="1" t="s">
        <v>599</v>
      </c>
      <c r="O20" s="1" t="s">
        <v>337</v>
      </c>
    </row>
    <row r="21" ht="15" customHeight="1">
      <c r="A21" s="12" t="s">
        <v>338</v>
      </c>
      <c r="B21" s="1" t="s">
        <v>339</v>
      </c>
      <c r="C21" s="1" t="s">
        <v>229</v>
      </c>
      <c r="D21" s="1" t="s">
        <v>340</v>
      </c>
      <c r="E21" s="1" t="s">
        <v>341</v>
      </c>
      <c r="F21" s="12" t="s">
        <v>254</v>
      </c>
      <c r="G21" s="10" t="s">
        <v>255</v>
      </c>
      <c r="H21" s="10" t="s">
        <v>725</v>
      </c>
      <c r="I21" s="10" t="s">
        <v>725</v>
      </c>
      <c r="J21" s="11" t="s">
        <v>84</v>
      </c>
      <c r="K21" s="11" t="s">
        <v>84</v>
      </c>
      <c r="L21" s="11" t="s">
        <v>84</v>
      </c>
      <c r="M21" s="11" t="s">
        <v>84</v>
      </c>
      <c r="N21" s="1" t="s">
        <v>600</v>
      </c>
      <c r="O21" s="1" t="s">
        <v>343</v>
      </c>
    </row>
    <row r="22" ht="15" customHeight="1">
      <c r="A22" s="12" t="s">
        <v>344</v>
      </c>
      <c r="B22" s="1" t="s">
        <v>339</v>
      </c>
      <c r="C22" s="1" t="s">
        <v>229</v>
      </c>
      <c r="D22" s="1" t="s">
        <v>345</v>
      </c>
      <c r="E22" s="1" t="s">
        <v>346</v>
      </c>
      <c r="F22" s="12" t="s">
        <v>254</v>
      </c>
      <c r="G22" s="10" t="s">
        <v>255</v>
      </c>
      <c r="H22" s="10" t="s">
        <v>725</v>
      </c>
      <c r="I22" s="10" t="s">
        <v>725</v>
      </c>
      <c r="J22" s="11" t="s">
        <v>84</v>
      </c>
      <c r="K22" s="11" t="s">
        <v>84</v>
      </c>
      <c r="L22" s="11" t="s">
        <v>84</v>
      </c>
      <c r="M22" s="11" t="s">
        <v>84</v>
      </c>
      <c r="N22" s="1" t="s">
        <v>601</v>
      </c>
      <c r="O22" s="1" t="s">
        <v>348</v>
      </c>
    </row>
    <row r="23" ht="15" customHeight="1">
      <c r="A23" s="1" t="s">
        <v>349</v>
      </c>
      <c r="B23" s="1" t="s">
        <v>339</v>
      </c>
      <c r="C23" s="1" t="s">
        <v>203</v>
      </c>
      <c r="D23" s="1" t="s">
        <v>350</v>
      </c>
      <c r="E23" s="1" t="s">
        <v>351</v>
      </c>
      <c r="F23" s="1" t="s">
        <v>232</v>
      </c>
      <c r="G23" s="10" t="s">
        <v>207</v>
      </c>
      <c r="H23" s="10" t="s">
        <v>725</v>
      </c>
      <c r="I23" s="10" t="s">
        <v>725</v>
      </c>
      <c r="J23" s="11" t="s">
        <v>209</v>
      </c>
      <c r="K23" s="11" t="s">
        <v>209</v>
      </c>
      <c r="L23" s="11" t="s">
        <v>209</v>
      </c>
      <c r="M23" s="11" t="s">
        <v>84</v>
      </c>
      <c r="N23" s="1" t="s">
        <v>602</v>
      </c>
      <c r="O23" s="1"/>
    </row>
    <row r="24" ht="23.85" customHeight="1">
      <c r="A24" s="1" t="s">
        <v>353</v>
      </c>
      <c r="B24" s="1" t="s">
        <v>339</v>
      </c>
      <c r="C24" s="1" t="s">
        <v>229</v>
      </c>
      <c r="D24" s="1" t="s">
        <v>354</v>
      </c>
      <c r="E24" s="1" t="s">
        <v>355</v>
      </c>
      <c r="F24" s="1" t="s">
        <v>254</v>
      </c>
      <c r="G24" s="10" t="s">
        <v>255</v>
      </c>
      <c r="H24" s="10" t="s">
        <v>725</v>
      </c>
      <c r="I24" s="10" t="s">
        <v>725</v>
      </c>
      <c r="J24" s="11" t="s">
        <v>209</v>
      </c>
      <c r="K24" s="11" t="s">
        <v>209</v>
      </c>
      <c r="L24" s="11" t="s">
        <v>209</v>
      </c>
      <c r="M24" s="11" t="s">
        <v>84</v>
      </c>
      <c r="N24" s="1" t="s">
        <v>936</v>
      </c>
      <c r="O24" s="1" t="s">
        <v>357</v>
      </c>
    </row>
    <row r="25" ht="15" customHeight="1">
      <c r="A25" s="1" t="s">
        <v>358</v>
      </c>
      <c r="B25" s="1" t="s">
        <v>339</v>
      </c>
      <c r="C25" s="1" t="s">
        <v>203</v>
      </c>
      <c r="D25" s="1" t="s">
        <v>359</v>
      </c>
      <c r="E25" s="1" t="s">
        <v>157</v>
      </c>
      <c r="F25" s="1" t="s">
        <v>206</v>
      </c>
      <c r="G25" s="10" t="s">
        <v>207</v>
      </c>
      <c r="H25" s="10" t="s">
        <v>926</v>
      </c>
      <c r="I25" s="10" t="s">
        <v>725</v>
      </c>
      <c r="J25" s="11" t="s">
        <v>209</v>
      </c>
      <c r="K25" s="11" t="s">
        <v>209</v>
      </c>
      <c r="L25" s="11" t="s">
        <v>209</v>
      </c>
      <c r="M25" s="11" t="s">
        <v>209</v>
      </c>
      <c r="N25" s="1" t="s">
        <v>360</v>
      </c>
      <c r="O25" s="1"/>
    </row>
    <row r="26" ht="15" customHeight="1">
      <c r="A26" s="12" t="s">
        <v>361</v>
      </c>
      <c r="B26" s="1" t="s">
        <v>339</v>
      </c>
      <c r="C26" s="1" t="s">
        <v>203</v>
      </c>
      <c r="D26" s="1" t="s">
        <v>362</v>
      </c>
      <c r="E26" s="1" t="s">
        <v>363</v>
      </c>
      <c r="F26" s="12" t="s">
        <v>254</v>
      </c>
      <c r="G26" s="10" t="s">
        <v>255</v>
      </c>
      <c r="H26" s="10" t="s">
        <v>725</v>
      </c>
      <c r="I26" s="10" t="s">
        <v>725</v>
      </c>
      <c r="J26" s="11" t="s">
        <v>84</v>
      </c>
      <c r="K26" s="11" t="s">
        <v>84</v>
      </c>
      <c r="L26" s="11" t="s">
        <v>84</v>
      </c>
      <c r="M26" s="11" t="s">
        <v>84</v>
      </c>
      <c r="N26" s="1" t="s">
        <v>604</v>
      </c>
      <c r="O26" s="1"/>
    </row>
    <row r="27" ht="15" customHeight="1">
      <c r="A27" s="1" t="s">
        <v>364</v>
      </c>
      <c r="B27" s="1" t="s">
        <v>339</v>
      </c>
      <c r="C27" s="1" t="s">
        <v>203</v>
      </c>
      <c r="D27" s="1" t="s">
        <v>365</v>
      </c>
      <c r="E27" s="1" t="s">
        <v>366</v>
      </c>
      <c r="F27" s="1" t="s">
        <v>232</v>
      </c>
      <c r="G27" s="10" t="s">
        <v>207</v>
      </c>
      <c r="H27" s="10" t="s">
        <v>725</v>
      </c>
      <c r="I27" s="10" t="s">
        <v>725</v>
      </c>
      <c r="J27" s="11" t="s">
        <v>209</v>
      </c>
      <c r="K27" s="11" t="s">
        <v>209</v>
      </c>
      <c r="L27" s="11" t="s">
        <v>84</v>
      </c>
      <c r="M27" s="11" t="s">
        <v>84</v>
      </c>
      <c r="N27" s="1" t="s">
        <v>366</v>
      </c>
      <c r="O27" s="1"/>
    </row>
    <row r="28" ht="23.85" customHeight="1">
      <c r="A28" s="12" t="s">
        <v>367</v>
      </c>
      <c r="B28" s="1" t="s">
        <v>339</v>
      </c>
      <c r="C28" s="1" t="s">
        <v>203</v>
      </c>
      <c r="D28" s="1" t="s">
        <v>368</v>
      </c>
      <c r="E28" s="1" t="s">
        <v>369</v>
      </c>
      <c r="F28" s="12" t="s">
        <v>254</v>
      </c>
      <c r="G28" s="10" t="s">
        <v>255</v>
      </c>
      <c r="H28" s="10" t="s">
        <v>725</v>
      </c>
      <c r="I28" s="10" t="s">
        <v>725</v>
      </c>
      <c r="J28" s="11" t="s">
        <v>84</v>
      </c>
      <c r="K28" s="11" t="s">
        <v>84</v>
      </c>
      <c r="L28" s="11" t="s">
        <v>84</v>
      </c>
      <c r="M28" s="11" t="s">
        <v>84</v>
      </c>
      <c r="N28" s="1" t="s">
        <v>551</v>
      </c>
      <c r="O28" s="1" t="s">
        <v>371</v>
      </c>
    </row>
    <row r="29" ht="15" customHeight="1">
      <c r="A29" s="12" t="s">
        <v>372</v>
      </c>
      <c r="B29" s="1" t="s">
        <v>339</v>
      </c>
      <c r="C29" s="1" t="s">
        <v>229</v>
      </c>
      <c r="D29" s="1" t="s">
        <v>373</v>
      </c>
      <c r="E29" s="1" t="s">
        <v>253</v>
      </c>
      <c r="F29" s="12" t="s">
        <v>254</v>
      </c>
      <c r="G29" s="10" t="s">
        <v>255</v>
      </c>
      <c r="H29" s="10" t="s">
        <v>725</v>
      </c>
      <c r="I29" s="10" t="s">
        <v>725</v>
      </c>
      <c r="J29" s="11" t="s">
        <v>84</v>
      </c>
      <c r="K29" s="11" t="s">
        <v>84</v>
      </c>
      <c r="L29" s="11" t="s">
        <v>84</v>
      </c>
      <c r="M29" s="11" t="s">
        <v>84</v>
      </c>
      <c r="N29" s="1" t="s">
        <v>374</v>
      </c>
      <c r="O29" s="1" t="s">
        <v>375</v>
      </c>
    </row>
    <row r="30" ht="15" customHeight="1">
      <c r="A30" s="12" t="s">
        <v>376</v>
      </c>
      <c r="B30" s="1" t="s">
        <v>339</v>
      </c>
      <c r="C30" s="1" t="s">
        <v>284</v>
      </c>
      <c r="D30" s="1" t="s">
        <v>377</v>
      </c>
      <c r="E30" s="1" t="s">
        <v>378</v>
      </c>
      <c r="F30" s="12" t="s">
        <v>254</v>
      </c>
      <c r="G30" s="10" t="s">
        <v>255</v>
      </c>
      <c r="H30" s="10" t="s">
        <v>725</v>
      </c>
      <c r="I30" s="10" t="s">
        <v>725</v>
      </c>
      <c r="J30" s="11" t="s">
        <v>84</v>
      </c>
      <c r="K30" s="11" t="s">
        <v>84</v>
      </c>
      <c r="L30" s="11" t="s">
        <v>84</v>
      </c>
      <c r="M30" s="11" t="s">
        <v>84</v>
      </c>
      <c r="N30" s="1" t="s">
        <v>379</v>
      </c>
      <c r="O30" s="1" t="s">
        <v>379</v>
      </c>
    </row>
    <row r="31" ht="15" customHeight="1">
      <c r="A31" s="12" t="s">
        <v>380</v>
      </c>
      <c r="B31" s="1" t="s">
        <v>339</v>
      </c>
      <c r="C31" s="1" t="s">
        <v>229</v>
      </c>
      <c r="D31" s="1" t="s">
        <v>381</v>
      </c>
      <c r="E31" s="1" t="s">
        <v>382</v>
      </c>
      <c r="F31" s="12" t="s">
        <v>254</v>
      </c>
      <c r="G31" s="10" t="s">
        <v>255</v>
      </c>
      <c r="H31" s="10" t="s">
        <v>725</v>
      </c>
      <c r="I31" s="10" t="s">
        <v>725</v>
      </c>
      <c r="J31" s="11" t="s">
        <v>84</v>
      </c>
      <c r="K31" s="11" t="s">
        <v>84</v>
      </c>
      <c r="L31" s="11" t="s">
        <v>84</v>
      </c>
      <c r="M31" s="11" t="s">
        <v>84</v>
      </c>
      <c r="N31" s="1" t="s">
        <v>379</v>
      </c>
      <c r="O31" s="1" t="s">
        <v>383</v>
      </c>
    </row>
    <row r="32" ht="23.85" customHeight="1">
      <c r="A32" s="12" t="s">
        <v>384</v>
      </c>
      <c r="B32" s="1" t="s">
        <v>339</v>
      </c>
      <c r="C32" s="1" t="s">
        <v>229</v>
      </c>
      <c r="D32" s="1" t="s">
        <v>385</v>
      </c>
      <c r="E32" s="1" t="s">
        <v>386</v>
      </c>
      <c r="F32" s="12" t="s">
        <v>254</v>
      </c>
      <c r="G32" s="10" t="s">
        <v>255</v>
      </c>
      <c r="H32" s="10" t="s">
        <v>725</v>
      </c>
      <c r="I32" s="10" t="s">
        <v>725</v>
      </c>
      <c r="J32" s="11" t="s">
        <v>84</v>
      </c>
      <c r="K32" s="11" t="s">
        <v>84</v>
      </c>
      <c r="L32" s="11" t="s">
        <v>84</v>
      </c>
      <c r="M32" s="11" t="s">
        <v>84</v>
      </c>
      <c r="N32" s="1" t="s">
        <v>601</v>
      </c>
      <c r="O32" s="1" t="s">
        <v>388</v>
      </c>
    </row>
    <row r="33" ht="15" customHeight="1">
      <c r="A33" s="12" t="s">
        <v>389</v>
      </c>
      <c r="B33" s="1" t="s">
        <v>339</v>
      </c>
      <c r="C33" s="1" t="s">
        <v>229</v>
      </c>
      <c r="D33" s="1" t="s">
        <v>390</v>
      </c>
      <c r="E33" s="1" t="s">
        <v>391</v>
      </c>
      <c r="F33" s="12" t="s">
        <v>254</v>
      </c>
      <c r="G33" s="10" t="s">
        <v>255</v>
      </c>
      <c r="H33" s="10" t="s">
        <v>725</v>
      </c>
      <c r="I33" s="10" t="s">
        <v>725</v>
      </c>
      <c r="J33" s="11" t="s">
        <v>84</v>
      </c>
      <c r="K33" s="11" t="s">
        <v>84</v>
      </c>
      <c r="L33" s="11" t="s">
        <v>84</v>
      </c>
      <c r="M33" s="11" t="s">
        <v>84</v>
      </c>
      <c r="N33" s="1" t="s">
        <v>391</v>
      </c>
      <c r="O33" s="1" t="s">
        <v>392</v>
      </c>
    </row>
    <row r="34" ht="23.85" customHeight="1">
      <c r="A34" s="12" t="s">
        <v>393</v>
      </c>
      <c r="B34" s="1" t="s">
        <v>339</v>
      </c>
      <c r="C34" s="1" t="s">
        <v>229</v>
      </c>
      <c r="D34" s="1" t="s">
        <v>394</v>
      </c>
      <c r="E34" s="1" t="s">
        <v>395</v>
      </c>
      <c r="F34" s="12" t="s">
        <v>254</v>
      </c>
      <c r="G34" s="10" t="s">
        <v>255</v>
      </c>
      <c r="H34" s="10" t="s">
        <v>725</v>
      </c>
      <c r="I34" s="10" t="s">
        <v>725</v>
      </c>
      <c r="J34" s="11" t="s">
        <v>84</v>
      </c>
      <c r="K34" s="11" t="s">
        <v>84</v>
      </c>
      <c r="L34" s="11" t="s">
        <v>84</v>
      </c>
      <c r="M34" s="11" t="s">
        <v>84</v>
      </c>
      <c r="N34" s="1" t="s">
        <v>396</v>
      </c>
      <c r="O34" s="1" t="s">
        <v>396</v>
      </c>
    </row>
    <row r="35" ht="23.85" customHeight="1">
      <c r="A35" s="12" t="s">
        <v>397</v>
      </c>
      <c r="B35" s="1" t="s">
        <v>339</v>
      </c>
      <c r="C35" s="1" t="s">
        <v>229</v>
      </c>
      <c r="D35" s="1" t="s">
        <v>398</v>
      </c>
      <c r="E35" s="1" t="s">
        <v>399</v>
      </c>
      <c r="F35" s="12" t="s">
        <v>254</v>
      </c>
      <c r="G35" s="10" t="s">
        <v>255</v>
      </c>
      <c r="H35" s="10" t="s">
        <v>725</v>
      </c>
      <c r="I35" s="10" t="s">
        <v>725</v>
      </c>
      <c r="J35" s="11" t="s">
        <v>84</v>
      </c>
      <c r="K35" s="11" t="s">
        <v>84</v>
      </c>
      <c r="L35" s="11" t="s">
        <v>84</v>
      </c>
      <c r="M35" s="11" t="s">
        <v>84</v>
      </c>
      <c r="N35" s="1" t="s">
        <v>605</v>
      </c>
      <c r="O35" s="1" t="s">
        <v>400</v>
      </c>
    </row>
    <row r="36" ht="15" customHeight="1">
      <c r="A36" s="1" t="s">
        <v>401</v>
      </c>
      <c r="B36" s="1" t="s">
        <v>402</v>
      </c>
      <c r="C36" s="1" t="s">
        <v>229</v>
      </c>
      <c r="D36" s="1" t="s">
        <v>403</v>
      </c>
      <c r="E36" s="1" t="s">
        <v>404</v>
      </c>
      <c r="F36" s="1" t="s">
        <v>254</v>
      </c>
      <c r="G36" s="10" t="s">
        <v>255</v>
      </c>
      <c r="H36" s="10" t="s">
        <v>725</v>
      </c>
      <c r="I36" s="10" t="s">
        <v>725</v>
      </c>
      <c r="J36" s="11" t="s">
        <v>208</v>
      </c>
      <c r="K36" s="11" t="s">
        <v>208</v>
      </c>
      <c r="L36" s="11" t="s">
        <v>208</v>
      </c>
      <c r="M36" s="11" t="s">
        <v>208</v>
      </c>
      <c r="N36" s="1" t="s">
        <v>937</v>
      </c>
      <c r="O36" s="1"/>
    </row>
    <row r="37" ht="15" customHeight="1">
      <c r="A37" s="1" t="s">
        <v>406</v>
      </c>
      <c r="B37" s="1" t="s">
        <v>402</v>
      </c>
      <c r="C37" s="1" t="s">
        <v>229</v>
      </c>
      <c r="D37" s="1" t="s">
        <v>407</v>
      </c>
      <c r="E37" s="1" t="s">
        <v>408</v>
      </c>
      <c r="F37" s="1" t="s">
        <v>206</v>
      </c>
      <c r="G37" s="10" t="s">
        <v>207</v>
      </c>
      <c r="H37" s="10" t="s">
        <v>725</v>
      </c>
      <c r="I37" s="10" t="s">
        <v>725</v>
      </c>
      <c r="J37" s="11" t="s">
        <v>208</v>
      </c>
      <c r="K37" s="11" t="s">
        <v>84</v>
      </c>
      <c r="L37" s="11" t="s">
        <v>209</v>
      </c>
      <c r="M37" s="11" t="s">
        <v>84</v>
      </c>
      <c r="N37" s="1" t="s">
        <v>606</v>
      </c>
      <c r="O37" s="1"/>
    </row>
    <row r="38" ht="15" customHeight="1">
      <c r="A38" s="1" t="s">
        <v>410</v>
      </c>
      <c r="B38" s="1" t="s">
        <v>402</v>
      </c>
      <c r="C38" s="1" t="s">
        <v>203</v>
      </c>
      <c r="D38" s="1" t="s">
        <v>411</v>
      </c>
      <c r="E38" s="1" t="s">
        <v>412</v>
      </c>
      <c r="F38" s="1" t="s">
        <v>206</v>
      </c>
      <c r="G38" s="10" t="s">
        <v>207</v>
      </c>
      <c r="H38" s="10" t="s">
        <v>926</v>
      </c>
      <c r="I38" s="10" t="s">
        <v>725</v>
      </c>
      <c r="J38" s="11" t="s">
        <v>84</v>
      </c>
      <c r="K38" s="11" t="s">
        <v>84</v>
      </c>
      <c r="L38" s="11" t="s">
        <v>84</v>
      </c>
      <c r="M38" s="11" t="s">
        <v>208</v>
      </c>
      <c r="N38" s="1" t="s">
        <v>412</v>
      </c>
      <c r="O38" s="1"/>
    </row>
    <row r="39" ht="15" customHeight="1">
      <c r="A39" s="1" t="s">
        <v>414</v>
      </c>
      <c r="B39" s="1" t="s">
        <v>402</v>
      </c>
      <c r="C39" s="1" t="s">
        <v>203</v>
      </c>
      <c r="D39" s="1" t="s">
        <v>415</v>
      </c>
      <c r="E39" s="1" t="s">
        <v>412</v>
      </c>
      <c r="F39" s="1" t="s">
        <v>206</v>
      </c>
      <c r="G39" s="10" t="s">
        <v>207</v>
      </c>
      <c r="H39" s="10" t="s">
        <v>925</v>
      </c>
      <c r="I39" s="10" t="s">
        <v>725</v>
      </c>
      <c r="J39" s="11" t="s">
        <v>84</v>
      </c>
      <c r="K39" s="11" t="s">
        <v>84</v>
      </c>
      <c r="L39" s="11" t="s">
        <v>84</v>
      </c>
      <c r="M39" s="11" t="s">
        <v>208</v>
      </c>
      <c r="N39" s="1" t="s">
        <v>412</v>
      </c>
      <c r="O39" s="1"/>
    </row>
    <row r="40" ht="15" customHeight="1">
      <c r="A40" s="1" t="s">
        <v>417</v>
      </c>
      <c r="B40" s="1" t="s">
        <v>402</v>
      </c>
      <c r="C40" s="1" t="s">
        <v>203</v>
      </c>
      <c r="D40" s="1" t="s">
        <v>418</v>
      </c>
      <c r="E40" s="1" t="s">
        <v>412</v>
      </c>
      <c r="F40" s="1" t="s">
        <v>206</v>
      </c>
      <c r="G40" s="10" t="s">
        <v>207</v>
      </c>
      <c r="H40" s="10" t="s">
        <v>925</v>
      </c>
      <c r="I40" s="10" t="s">
        <v>725</v>
      </c>
      <c r="J40" s="11" t="s">
        <v>84</v>
      </c>
      <c r="K40" s="11" t="s">
        <v>84</v>
      </c>
      <c r="L40" s="11" t="s">
        <v>84</v>
      </c>
      <c r="M40" s="11" t="s">
        <v>208</v>
      </c>
      <c r="N40" s="1" t="s">
        <v>412</v>
      </c>
      <c r="O40" s="1"/>
    </row>
    <row r="41" ht="23.85" customHeight="1">
      <c r="A41" s="12" t="s">
        <v>419</v>
      </c>
      <c r="B41" s="1" t="s">
        <v>402</v>
      </c>
      <c r="C41" s="1" t="s">
        <v>229</v>
      </c>
      <c r="D41" s="1" t="s">
        <v>420</v>
      </c>
      <c r="E41" s="1" t="s">
        <v>421</v>
      </c>
      <c r="F41" s="12" t="s">
        <v>254</v>
      </c>
      <c r="G41" s="10" t="s">
        <v>255</v>
      </c>
      <c r="H41" s="10" t="s">
        <v>725</v>
      </c>
      <c r="I41" s="10" t="s">
        <v>725</v>
      </c>
      <c r="J41" s="11" t="s">
        <v>84</v>
      </c>
      <c r="K41" s="11" t="s">
        <v>84</v>
      </c>
      <c r="L41" s="11" t="s">
        <v>84</v>
      </c>
      <c r="M41" s="11" t="s">
        <v>84</v>
      </c>
      <c r="N41" s="1" t="s">
        <v>607</v>
      </c>
      <c r="O41" s="1"/>
    </row>
    <row r="42" ht="15" customHeight="1">
      <c r="A42" s="1" t="s">
        <v>422</v>
      </c>
      <c r="B42" s="1" t="s">
        <v>402</v>
      </c>
      <c r="C42" s="1" t="s">
        <v>203</v>
      </c>
      <c r="D42" s="1" t="s">
        <v>423</v>
      </c>
      <c r="E42" s="1" t="s">
        <v>424</v>
      </c>
      <c r="F42" s="1" t="s">
        <v>206</v>
      </c>
      <c r="G42" s="10" t="s">
        <v>207</v>
      </c>
      <c r="H42" s="10" t="s">
        <v>725</v>
      </c>
      <c r="I42" s="10" t="s">
        <v>725</v>
      </c>
      <c r="J42" s="11" t="s">
        <v>84</v>
      </c>
      <c r="K42" s="11" t="s">
        <v>208</v>
      </c>
      <c r="L42" s="11" t="s">
        <v>84</v>
      </c>
      <c r="M42" s="11" t="s">
        <v>84</v>
      </c>
      <c r="N42" s="1" t="s">
        <v>608</v>
      </c>
      <c r="O42" s="1"/>
    </row>
    <row r="43" ht="15" customHeight="1">
      <c r="A43" s="1" t="s">
        <v>426</v>
      </c>
      <c r="B43" s="1" t="s">
        <v>402</v>
      </c>
      <c r="C43" s="1" t="s">
        <v>229</v>
      </c>
      <c r="D43" s="1" t="s">
        <v>427</v>
      </c>
      <c r="E43" s="1" t="s">
        <v>428</v>
      </c>
      <c r="F43" s="1" t="s">
        <v>206</v>
      </c>
      <c r="G43" s="10" t="s">
        <v>207</v>
      </c>
      <c r="H43" s="10" t="s">
        <v>725</v>
      </c>
      <c r="I43" s="10" t="s">
        <v>725</v>
      </c>
      <c r="J43" s="11" t="s">
        <v>209</v>
      </c>
      <c r="K43" s="11" t="s">
        <v>208</v>
      </c>
      <c r="L43" s="11" t="s">
        <v>209</v>
      </c>
      <c r="M43" s="11" t="s">
        <v>208</v>
      </c>
      <c r="N43" s="1" t="s">
        <v>609</v>
      </c>
      <c r="O43" s="1"/>
    </row>
    <row r="44" ht="15" customHeight="1">
      <c r="A44" s="1" t="s">
        <v>429</v>
      </c>
      <c r="B44" s="1" t="s">
        <v>402</v>
      </c>
      <c r="C44" s="1" t="s">
        <v>229</v>
      </c>
      <c r="D44" s="1" t="s">
        <v>430</v>
      </c>
      <c r="E44" s="1" t="s">
        <v>431</v>
      </c>
      <c r="F44" s="1" t="s">
        <v>232</v>
      </c>
      <c r="G44" s="10" t="s">
        <v>207</v>
      </c>
      <c r="H44" s="10" t="s">
        <v>725</v>
      </c>
      <c r="I44" s="10" t="s">
        <v>725</v>
      </c>
      <c r="J44" s="11" t="s">
        <v>84</v>
      </c>
      <c r="K44" s="11" t="s">
        <v>209</v>
      </c>
      <c r="L44" s="11" t="s">
        <v>84</v>
      </c>
      <c r="M44" s="11" t="s">
        <v>84</v>
      </c>
      <c r="N44" s="1" t="s">
        <v>610</v>
      </c>
      <c r="O44" s="1"/>
    </row>
    <row r="45" ht="15" customHeight="1">
      <c r="A45" s="1" t="s">
        <v>432</v>
      </c>
      <c r="B45" s="1" t="s">
        <v>402</v>
      </c>
      <c r="C45" s="1" t="s">
        <v>284</v>
      </c>
      <c r="D45" s="1" t="s">
        <v>433</v>
      </c>
      <c r="E45" s="1" t="s">
        <v>434</v>
      </c>
      <c r="F45" s="1" t="s">
        <v>206</v>
      </c>
      <c r="G45" s="10" t="s">
        <v>207</v>
      </c>
      <c r="H45" s="10" t="s">
        <v>725</v>
      </c>
      <c r="I45" s="10" t="s">
        <v>725</v>
      </c>
      <c r="J45" s="11" t="s">
        <v>84</v>
      </c>
      <c r="K45" s="11" t="s">
        <v>209</v>
      </c>
      <c r="L45" s="11" t="s">
        <v>84</v>
      </c>
      <c r="M45" s="11" t="s">
        <v>208</v>
      </c>
      <c r="N45" s="1" t="s">
        <v>611</v>
      </c>
      <c r="O45" s="1"/>
    </row>
    <row r="46" ht="23.85" customHeight="1">
      <c r="A46" s="12" t="s">
        <v>435</v>
      </c>
      <c r="B46" s="1" t="s">
        <v>402</v>
      </c>
      <c r="C46" s="1" t="s">
        <v>284</v>
      </c>
      <c r="D46" s="1" t="s">
        <v>436</v>
      </c>
      <c r="E46" s="1" t="s">
        <v>437</v>
      </c>
      <c r="F46" s="12" t="s">
        <v>254</v>
      </c>
      <c r="G46" s="10" t="s">
        <v>255</v>
      </c>
      <c r="H46" s="10" t="s">
        <v>725</v>
      </c>
      <c r="I46" s="10" t="s">
        <v>725</v>
      </c>
      <c r="J46" s="11" t="s">
        <v>84</v>
      </c>
      <c r="K46" s="11" t="s">
        <v>84</v>
      </c>
      <c r="L46" s="11" t="s">
        <v>84</v>
      </c>
      <c r="M46" s="11" t="s">
        <v>84</v>
      </c>
      <c r="N46" s="1" t="s">
        <v>601</v>
      </c>
      <c r="O46" s="1"/>
    </row>
    <row r="47" ht="15" customHeight="1">
      <c r="A47" s="12" t="s">
        <v>438</v>
      </c>
      <c r="B47" s="1" t="s">
        <v>402</v>
      </c>
      <c r="C47" s="1" t="s">
        <v>284</v>
      </c>
      <c r="D47" s="1" t="s">
        <v>439</v>
      </c>
      <c r="E47" s="1" t="s">
        <v>440</v>
      </c>
      <c r="F47" s="12" t="s">
        <v>254</v>
      </c>
      <c r="G47" s="10" t="s">
        <v>255</v>
      </c>
      <c r="H47" s="10" t="s">
        <v>725</v>
      </c>
      <c r="I47" s="10" t="s">
        <v>725</v>
      </c>
      <c r="J47" s="11" t="s">
        <v>84</v>
      </c>
      <c r="K47" s="11" t="s">
        <v>84</v>
      </c>
      <c r="L47" s="11" t="s">
        <v>84</v>
      </c>
      <c r="M47" s="11" t="s">
        <v>84</v>
      </c>
      <c r="N47" s="1" t="s">
        <v>612</v>
      </c>
      <c r="O47" s="1"/>
    </row>
    <row r="48" ht="15" customHeight="1">
      <c r="A48" s="1" t="s">
        <v>441</v>
      </c>
      <c r="B48" s="1" t="s">
        <v>402</v>
      </c>
      <c r="C48" s="1" t="s">
        <v>203</v>
      </c>
      <c r="D48" s="1" t="s">
        <v>442</v>
      </c>
      <c r="E48" s="1" t="s">
        <v>443</v>
      </c>
      <c r="F48" s="1" t="s">
        <v>232</v>
      </c>
      <c r="G48" s="10" t="s">
        <v>207</v>
      </c>
      <c r="H48" s="10" t="s">
        <v>725</v>
      </c>
      <c r="I48" s="10" t="s">
        <v>725</v>
      </c>
      <c r="J48" s="11" t="s">
        <v>226</v>
      </c>
      <c r="K48" s="11" t="s">
        <v>226</v>
      </c>
      <c r="L48" s="11" t="s">
        <v>226</v>
      </c>
      <c r="M48" s="11" t="s">
        <v>226</v>
      </c>
      <c r="N48" s="1" t="s">
        <v>613</v>
      </c>
      <c r="O48" s="1"/>
    </row>
    <row r="49" ht="15" customHeight="1">
      <c r="A49" s="12" t="s">
        <v>444</v>
      </c>
      <c r="B49" s="1" t="s">
        <v>402</v>
      </c>
      <c r="C49" s="1" t="s">
        <v>229</v>
      </c>
      <c r="D49" s="1" t="s">
        <v>445</v>
      </c>
      <c r="E49" s="1" t="s">
        <v>446</v>
      </c>
      <c r="F49" s="12" t="s">
        <v>254</v>
      </c>
      <c r="G49" s="10" t="s">
        <v>255</v>
      </c>
      <c r="H49" s="10" t="s">
        <v>725</v>
      </c>
      <c r="I49" s="10" t="s">
        <v>725</v>
      </c>
      <c r="J49" s="11" t="s">
        <v>84</v>
      </c>
      <c r="K49" s="11" t="s">
        <v>84</v>
      </c>
      <c r="L49" s="11" t="s">
        <v>84</v>
      </c>
      <c r="M49" s="11" t="s">
        <v>84</v>
      </c>
      <c r="N49" s="1" t="s">
        <v>601</v>
      </c>
      <c r="O49" s="1" t="s">
        <v>447</v>
      </c>
    </row>
    <row r="50" ht="15" customHeight="1">
      <c r="A50" s="12" t="s">
        <v>448</v>
      </c>
      <c r="B50" s="1" t="s">
        <v>402</v>
      </c>
      <c r="C50" s="1" t="s">
        <v>284</v>
      </c>
      <c r="D50" s="1" t="s">
        <v>449</v>
      </c>
      <c r="E50" s="1" t="s">
        <v>450</v>
      </c>
      <c r="F50" s="12" t="s">
        <v>254</v>
      </c>
      <c r="G50" s="10" t="s">
        <v>255</v>
      </c>
      <c r="H50" s="10" t="s">
        <v>725</v>
      </c>
      <c r="I50" s="10" t="s">
        <v>725</v>
      </c>
      <c r="J50" s="11" t="s">
        <v>84</v>
      </c>
      <c r="K50" s="11" t="s">
        <v>84</v>
      </c>
      <c r="L50" s="11" t="s">
        <v>84</v>
      </c>
      <c r="M50" s="11" t="s">
        <v>84</v>
      </c>
      <c r="N50" s="1" t="s">
        <v>601</v>
      </c>
      <c r="O50" s="1"/>
    </row>
    <row r="51" ht="23.85" customHeight="1">
      <c r="A51" s="12" t="s">
        <v>451</v>
      </c>
      <c r="B51" s="1" t="s">
        <v>452</v>
      </c>
      <c r="C51" s="1" t="s">
        <v>203</v>
      </c>
      <c r="D51" s="1" t="s">
        <v>453</v>
      </c>
      <c r="E51" s="1" t="s">
        <v>454</v>
      </c>
      <c r="F51" s="12" t="s">
        <v>254</v>
      </c>
      <c r="G51" s="10" t="s">
        <v>255</v>
      </c>
      <c r="H51" s="10" t="s">
        <v>725</v>
      </c>
      <c r="I51" s="10" t="s">
        <v>725</v>
      </c>
      <c r="J51" s="11" t="s">
        <v>84</v>
      </c>
      <c r="K51" s="11" t="s">
        <v>84</v>
      </c>
      <c r="L51" s="11" t="s">
        <v>84</v>
      </c>
      <c r="M51" s="11" t="s">
        <v>84</v>
      </c>
      <c r="N51" s="1" t="s">
        <v>614</v>
      </c>
      <c r="O51" s="1" t="s">
        <v>456</v>
      </c>
    </row>
    <row r="52" ht="15" customHeight="1">
      <c r="A52" s="12" t="s">
        <v>457</v>
      </c>
      <c r="B52" s="1" t="s">
        <v>452</v>
      </c>
      <c r="C52" s="1" t="s">
        <v>203</v>
      </c>
      <c r="D52" s="1" t="s">
        <v>458</v>
      </c>
      <c r="E52" s="1" t="s">
        <v>459</v>
      </c>
      <c r="F52" s="12" t="s">
        <v>254</v>
      </c>
      <c r="G52" s="10" t="s">
        <v>255</v>
      </c>
      <c r="H52" s="10" t="s">
        <v>725</v>
      </c>
      <c r="I52" s="10" t="s">
        <v>725</v>
      </c>
      <c r="J52" s="11" t="s">
        <v>84</v>
      </c>
      <c r="K52" s="11" t="s">
        <v>84</v>
      </c>
      <c r="L52" s="11" t="s">
        <v>84</v>
      </c>
      <c r="M52" s="11" t="s">
        <v>84</v>
      </c>
      <c r="N52" s="1" t="s">
        <v>615</v>
      </c>
      <c r="O52" s="1" t="s">
        <v>461</v>
      </c>
    </row>
    <row r="53" ht="15" customHeight="1">
      <c r="A53" s="1" t="s">
        <v>462</v>
      </c>
      <c r="B53" s="1" t="s">
        <v>452</v>
      </c>
      <c r="C53" s="1" t="s">
        <v>203</v>
      </c>
      <c r="D53" s="1" t="s">
        <v>463</v>
      </c>
      <c r="E53" s="1" t="s">
        <v>464</v>
      </c>
      <c r="F53" s="1" t="s">
        <v>206</v>
      </c>
      <c r="G53" s="10" t="s">
        <v>207</v>
      </c>
      <c r="H53" s="10" t="s">
        <v>926</v>
      </c>
      <c r="I53" s="10" t="s">
        <v>725</v>
      </c>
      <c r="J53" s="11" t="s">
        <v>84</v>
      </c>
      <c r="K53" s="11" t="s">
        <v>208</v>
      </c>
      <c r="L53" s="11" t="s">
        <v>84</v>
      </c>
      <c r="M53" s="11" t="s">
        <v>84</v>
      </c>
      <c r="N53" s="1" t="s">
        <v>567</v>
      </c>
      <c r="O53" s="1" t="s">
        <v>461</v>
      </c>
    </row>
    <row r="54" ht="15" customHeight="1">
      <c r="A54" s="12" t="s">
        <v>466</v>
      </c>
      <c r="B54" s="1" t="s">
        <v>452</v>
      </c>
      <c r="C54" s="1" t="s">
        <v>203</v>
      </c>
      <c r="D54" s="1" t="s">
        <v>467</v>
      </c>
      <c r="E54" s="1" t="s">
        <v>468</v>
      </c>
      <c r="F54" s="12" t="s">
        <v>254</v>
      </c>
      <c r="G54" s="10" t="s">
        <v>255</v>
      </c>
      <c r="H54" s="10" t="s">
        <v>725</v>
      </c>
      <c r="I54" s="10" t="s">
        <v>725</v>
      </c>
      <c r="J54" s="11" t="s">
        <v>84</v>
      </c>
      <c r="K54" s="11" t="s">
        <v>84</v>
      </c>
      <c r="L54" s="11" t="s">
        <v>84</v>
      </c>
      <c r="M54" s="11" t="s">
        <v>84</v>
      </c>
      <c r="N54" s="1" t="s">
        <v>601</v>
      </c>
      <c r="O54" s="1" t="s">
        <v>461</v>
      </c>
    </row>
    <row r="55" ht="15" customHeight="1">
      <c r="A55" s="12" t="s">
        <v>470</v>
      </c>
      <c r="B55" s="1" t="s">
        <v>452</v>
      </c>
      <c r="C55" s="1" t="s">
        <v>203</v>
      </c>
      <c r="D55" s="1" t="s">
        <v>471</v>
      </c>
      <c r="E55" s="1" t="s">
        <v>472</v>
      </c>
      <c r="F55" s="12" t="s">
        <v>254</v>
      </c>
      <c r="G55" s="10" t="s">
        <v>255</v>
      </c>
      <c r="H55" s="10" t="s">
        <v>725</v>
      </c>
      <c r="I55" s="10" t="s">
        <v>725</v>
      </c>
      <c r="J55" s="11" t="s">
        <v>84</v>
      </c>
      <c r="K55" s="11" t="s">
        <v>84</v>
      </c>
      <c r="L55" s="11" t="s">
        <v>84</v>
      </c>
      <c r="M55" s="11" t="s">
        <v>84</v>
      </c>
      <c r="N55" s="1" t="s">
        <v>616</v>
      </c>
      <c r="O55" s="1" t="s">
        <v>461</v>
      </c>
    </row>
    <row r="56" ht="15" customHeight="1">
      <c r="A56" s="1" t="s">
        <v>474</v>
      </c>
      <c r="B56" s="1" t="s">
        <v>452</v>
      </c>
      <c r="C56" s="1" t="s">
        <v>203</v>
      </c>
      <c r="D56" s="1" t="s">
        <v>475</v>
      </c>
      <c r="E56" s="1" t="s">
        <v>476</v>
      </c>
      <c r="F56" s="1" t="s">
        <v>206</v>
      </c>
      <c r="G56" s="10" t="s">
        <v>207</v>
      </c>
      <c r="H56" s="10" t="s">
        <v>725</v>
      </c>
      <c r="I56" s="10" t="s">
        <v>725</v>
      </c>
      <c r="J56" s="11" t="s">
        <v>84</v>
      </c>
      <c r="K56" s="11" t="s">
        <v>84</v>
      </c>
      <c r="L56" s="11" t="s">
        <v>84</v>
      </c>
      <c r="M56" s="11" t="s">
        <v>208</v>
      </c>
      <c r="N56" s="1" t="s">
        <v>617</v>
      </c>
      <c r="O56" s="1" t="s">
        <v>461</v>
      </c>
    </row>
    <row r="57" ht="15" customHeight="1">
      <c r="A57" s="1" t="s">
        <v>478</v>
      </c>
      <c r="B57" s="1" t="s">
        <v>452</v>
      </c>
      <c r="C57" s="1" t="s">
        <v>203</v>
      </c>
      <c r="D57" s="1" t="s">
        <v>479</v>
      </c>
      <c r="E57" s="1" t="s">
        <v>480</v>
      </c>
      <c r="F57" s="1" t="s">
        <v>232</v>
      </c>
      <c r="G57" s="10" t="s">
        <v>207</v>
      </c>
      <c r="H57" s="10" t="s">
        <v>725</v>
      </c>
      <c r="I57" s="10" t="s">
        <v>725</v>
      </c>
      <c r="J57" s="11" t="s">
        <v>84</v>
      </c>
      <c r="K57" s="11" t="s">
        <v>209</v>
      </c>
      <c r="L57" s="11" t="s">
        <v>84</v>
      </c>
      <c r="M57" s="11" t="s">
        <v>84</v>
      </c>
      <c r="N57" s="1" t="s">
        <v>618</v>
      </c>
      <c r="O57" s="1" t="s">
        <v>461</v>
      </c>
    </row>
    <row r="58" ht="23.85" customHeight="1">
      <c r="A58" s="12" t="s">
        <v>481</v>
      </c>
      <c r="B58" s="1" t="s">
        <v>482</v>
      </c>
      <c r="C58" s="1" t="s">
        <v>203</v>
      </c>
      <c r="D58" s="1" t="s">
        <v>483</v>
      </c>
      <c r="E58" s="1" t="s">
        <v>484</v>
      </c>
      <c r="F58" s="12" t="s">
        <v>254</v>
      </c>
      <c r="G58" s="10" t="s">
        <v>255</v>
      </c>
      <c r="H58" s="10" t="s">
        <v>725</v>
      </c>
      <c r="I58" s="10" t="s">
        <v>725</v>
      </c>
      <c r="J58" s="11" t="s">
        <v>84</v>
      </c>
      <c r="K58" s="11" t="s">
        <v>84</v>
      </c>
      <c r="L58" s="11" t="s">
        <v>84</v>
      </c>
      <c r="M58" s="11" t="s">
        <v>84</v>
      </c>
      <c r="N58" s="1" t="s">
        <v>571</v>
      </c>
      <c r="O58" s="1"/>
    </row>
    <row r="59" ht="15" customHeight="1">
      <c r="A59" s="1" t="s">
        <v>486</v>
      </c>
      <c r="B59" s="1" t="s">
        <v>482</v>
      </c>
      <c r="C59" s="1" t="s">
        <v>203</v>
      </c>
      <c r="D59" s="1" t="s">
        <v>487</v>
      </c>
      <c r="E59" s="1" t="s">
        <v>488</v>
      </c>
      <c r="F59" s="1" t="s">
        <v>232</v>
      </c>
      <c r="G59" s="10" t="s">
        <v>207</v>
      </c>
      <c r="H59" s="10" t="s">
        <v>725</v>
      </c>
      <c r="I59" s="10" t="s">
        <v>725</v>
      </c>
      <c r="J59" s="11" t="s">
        <v>209</v>
      </c>
      <c r="K59" s="11" t="s">
        <v>209</v>
      </c>
      <c r="L59" s="11" t="s">
        <v>84</v>
      </c>
      <c r="M59" s="11" t="s">
        <v>209</v>
      </c>
      <c r="N59" s="1" t="s">
        <v>619</v>
      </c>
      <c r="O59" s="1"/>
    </row>
    <row r="60" ht="15" customHeight="1">
      <c r="A60" s="12" t="s">
        <v>489</v>
      </c>
      <c r="B60" s="1" t="s">
        <v>482</v>
      </c>
      <c r="C60" s="1" t="s">
        <v>203</v>
      </c>
      <c r="D60" s="1" t="s">
        <v>490</v>
      </c>
      <c r="E60" s="1" t="s">
        <v>491</v>
      </c>
      <c r="F60" s="12" t="s">
        <v>254</v>
      </c>
      <c r="G60" s="10" t="s">
        <v>255</v>
      </c>
      <c r="H60" s="10" t="s">
        <v>725</v>
      </c>
      <c r="I60" s="10" t="s">
        <v>725</v>
      </c>
      <c r="J60" s="11" t="s">
        <v>84</v>
      </c>
      <c r="K60" s="11" t="s">
        <v>84</v>
      </c>
      <c r="L60" s="11" t="s">
        <v>84</v>
      </c>
      <c r="M60" s="11" t="s">
        <v>84</v>
      </c>
      <c r="N60" s="1" t="s">
        <v>491</v>
      </c>
      <c r="O60" s="1"/>
    </row>
    <row r="61" ht="35.05" customHeight="1">
      <c r="A61" s="1" t="s">
        <v>492</v>
      </c>
      <c r="B61" s="1" t="s">
        <v>493</v>
      </c>
      <c r="C61" s="1" t="s">
        <v>203</v>
      </c>
      <c r="D61" s="1" t="s">
        <v>494</v>
      </c>
      <c r="E61" s="1" t="s">
        <v>495</v>
      </c>
      <c r="F61" s="1" t="s">
        <v>206</v>
      </c>
      <c r="G61" s="10" t="s">
        <v>207</v>
      </c>
      <c r="H61" s="10" t="s">
        <v>926</v>
      </c>
      <c r="I61" s="10" t="s">
        <v>725</v>
      </c>
      <c r="J61" s="11" t="s">
        <v>209</v>
      </c>
      <c r="K61" s="11" t="s">
        <v>209</v>
      </c>
      <c r="L61" s="11" t="s">
        <v>209</v>
      </c>
      <c r="M61" s="11" t="s">
        <v>209</v>
      </c>
      <c r="N61" s="1" t="s">
        <v>572</v>
      </c>
      <c r="O61" s="1" t="s">
        <v>497</v>
      </c>
    </row>
    <row r="62" ht="35.05" customHeight="1">
      <c r="A62" s="1" t="s">
        <v>498</v>
      </c>
      <c r="B62" s="1" t="s">
        <v>493</v>
      </c>
      <c r="C62" s="1" t="s">
        <v>203</v>
      </c>
      <c r="D62" s="1" t="s">
        <v>499</v>
      </c>
      <c r="E62" s="1" t="s">
        <v>500</v>
      </c>
      <c r="F62" s="1" t="s">
        <v>232</v>
      </c>
      <c r="G62" s="10" t="s">
        <v>207</v>
      </c>
      <c r="H62" s="10" t="s">
        <v>926</v>
      </c>
      <c r="I62" s="10" t="s">
        <v>725</v>
      </c>
      <c r="J62" s="11" t="s">
        <v>209</v>
      </c>
      <c r="K62" s="11" t="s">
        <v>209</v>
      </c>
      <c r="L62" s="11" t="s">
        <v>209</v>
      </c>
      <c r="M62" s="11" t="s">
        <v>84</v>
      </c>
      <c r="N62" s="1" t="s">
        <v>500</v>
      </c>
      <c r="O62" s="1" t="s">
        <v>502</v>
      </c>
    </row>
  </sheetData>
  <autoFilter ref="A1:O62"/>
  <dataValidations count="4">
    <dataValidation allowBlank="false" errorStyle="stop" operator="between" showDropDown="false" showErrorMessage="false" showInputMessage="false" sqref="J2:M62" type="list">
      <formula1>"B,F,S,-"</formula1>
      <formula2>0</formula2>
    </dataValidation>
    <dataValidation allowBlank="false" errorStyle="stop" operator="between" showDropDown="false" showErrorMessage="false" showInputMessage="false" sqref="G2:G62" type="list">
      <formula1>"Y,N"</formula1>
      <formula2>0</formula2>
    </dataValidation>
    <dataValidation allowBlank="false" errorStyle="stop" operator="between" showDropDown="false" showErrorMessage="false" showInputMessage="false" sqref="F2:F62" type="list">
      <formula1>"Include,Test,Exclude"</formula1>
      <formula2>0</formula2>
    </dataValidation>
    <dataValidation allowBlank="false" errorStyle="stop" operator="between" showDropDown="false" showErrorMessage="false" showInputMessage="false" sqref="H2:I62" type="list">
      <formula1>"-1,0,1"</formula1>
      <formula2>0</formula2>
    </dataValidation>
  </dataValidations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11" hidden="false" outlineLevel="0" customWidth="1"/>
    <col min="2" max="2" width="18" hidden="false" outlineLevel="0" customWidth="1"/>
    <col min="3" max="3" width="12" hidden="false" outlineLevel="0" customWidth="1"/>
    <col min="4" max="4" width="12" hidden="false" outlineLevel="0" customWidth="1"/>
    <col min="5" max="5" width="11" hidden="false" outlineLevel="0" customWidth="1"/>
    <col min="6" max="6" width="10" hidden="false" outlineLevel="0" customWidth="1"/>
    <col min="7" max="7" width="10" hidden="false" outlineLevel="0" customWidth="1"/>
    <col min="8" max="8" width="10" hidden="false" outlineLevel="0" customWidth="1"/>
    <col min="9" max="9" width="11" hidden="false" outlineLevel="0" customWidth="1"/>
    <col min="10" max="10" width="9" hidden="false" outlineLevel="0" customWidth="1"/>
    <col min="11" max="11" width="8" hidden="false" outlineLevel="0" customWidth="1"/>
    <col min="12" max="12" width="11" hidden="false" outlineLevel="0" customWidth="1"/>
    <col min="13" max="13" width="9" hidden="false" outlineLevel="0" customWidth="1"/>
    <col min="14" max="14" width="8" hidden="false" outlineLevel="0" customWidth="1"/>
    <col min="15" max="15" width="11" hidden="false" outlineLevel="0" customWidth="1"/>
    <col min="16" max="16" width="9" hidden="false" outlineLevel="0" customWidth="1"/>
    <col min="17" max="17" width="60" hidden="false" outlineLevel="0" customWidth="1"/>
  </cols>
  <sheetData>
    <row r="1" ht="30" customHeight="1">
      <c r="A1" s="5" t="s">
        <v>23</v>
      </c>
      <c r="B1" s="5" t="s">
        <v>24</v>
      </c>
      <c r="C1" s="5" t="s">
        <v>620</v>
      </c>
      <c r="D1" s="5" t="s">
        <v>27</v>
      </c>
      <c r="E1" s="5" t="s">
        <v>621</v>
      </c>
      <c r="F1" s="5" t="s">
        <v>28</v>
      </c>
      <c r="G1" s="5" t="s">
        <v>622</v>
      </c>
      <c r="H1" s="5" t="s">
        <v>623</v>
      </c>
      <c r="I1" s="5" t="s">
        <v>624</v>
      </c>
      <c r="J1" s="5" t="s">
        <v>625</v>
      </c>
      <c r="K1" s="5" t="s">
        <v>626</v>
      </c>
      <c r="L1" s="5" t="s">
        <v>627</v>
      </c>
      <c r="M1" s="5" t="s">
        <v>628</v>
      </c>
      <c r="N1" s="5" t="s">
        <v>629</v>
      </c>
      <c r="O1" s="5" t="s">
        <v>630</v>
      </c>
      <c r="P1" s="5" t="s">
        <v>631</v>
      </c>
      <c r="Q1" s="5" t="s">
        <v>29</v>
      </c>
    </row>
    <row r="2" ht="15" customHeight="1">
      <c r="A2" s="1" t="s">
        <v>30</v>
      </c>
      <c r="B2" s="1" t="s">
        <v>31</v>
      </c>
      <c r="C2" s="10" t="s">
        <v>632</v>
      </c>
      <c r="D2" s="10" t="s">
        <v>633</v>
      </c>
      <c r="E2" s="10" t="s">
        <v>207</v>
      </c>
      <c r="F2" s="10" t="n">
        <v>0.999</v>
      </c>
      <c r="G2" s="10" t="s">
        <v>634</v>
      </c>
      <c r="H2" s="10" t="s">
        <v>634</v>
      </c>
      <c r="I2" s="10" t="n">
        <v>0</v>
      </c>
      <c r="J2" s="10" t="n">
        <v>4</v>
      </c>
      <c r="K2" s="10" t="n">
        <v>0.05</v>
      </c>
      <c r="L2" s="10" t="n">
        <v>50</v>
      </c>
      <c r="M2" s="10" t="n">
        <v>3</v>
      </c>
      <c r="N2" s="10" t="n">
        <v>0.05</v>
      </c>
      <c r="O2" s="10" t="n">
        <v>100</v>
      </c>
      <c r="P2" s="10" t="n">
        <v>1.5</v>
      </c>
      <c r="Q2" s="1" t="s">
        <v>635</v>
      </c>
    </row>
    <row r="3" ht="15" customHeight="1">
      <c r="A3" s="1" t="s">
        <v>30</v>
      </c>
      <c r="B3" s="1" t="s">
        <v>32</v>
      </c>
      <c r="C3" s="10" t="s">
        <v>632</v>
      </c>
      <c r="D3" s="10" t="s">
        <v>633</v>
      </c>
      <c r="E3" s="10" t="s">
        <v>207</v>
      </c>
      <c r="F3" s="10" t="n">
        <v>0.999</v>
      </c>
      <c r="G3" s="10" t="s">
        <v>634</v>
      </c>
      <c r="H3" s="10" t="s">
        <v>634</v>
      </c>
      <c r="I3" s="10" t="n">
        <v>0</v>
      </c>
      <c r="J3" s="10" t="n">
        <v>4</v>
      </c>
      <c r="K3" s="10" t="n">
        <v>0.05</v>
      </c>
      <c r="L3" s="10" t="n">
        <v>50</v>
      </c>
      <c r="M3" s="10" t="n">
        <v>3</v>
      </c>
      <c r="N3" s="10" t="n">
        <v>0.05</v>
      </c>
      <c r="O3" s="10" t="n">
        <v>100</v>
      </c>
      <c r="P3" s="10" t="n">
        <v>1.5</v>
      </c>
      <c r="Q3" s="1" t="s">
        <v>636</v>
      </c>
    </row>
    <row r="4" ht="35.05" customHeight="1">
      <c r="A4" s="1" t="s">
        <v>30</v>
      </c>
      <c r="B4" s="1" t="s">
        <v>33</v>
      </c>
      <c r="C4" s="10" t="s">
        <v>632</v>
      </c>
      <c r="D4" s="10" t="s">
        <v>637</v>
      </c>
      <c r="E4" s="10" t="s">
        <v>207</v>
      </c>
      <c r="F4" s="10" t="n">
        <v>0.995</v>
      </c>
      <c r="G4" s="2" t="s">
        <v>639</v>
      </c>
      <c r="H4" s="2" t="s">
        <v>639</v>
      </c>
      <c r="I4" s="10" t="n">
        <v>1</v>
      </c>
      <c r="J4" s="10" t="n">
        <v>3</v>
      </c>
      <c r="K4" s="10" t="n">
        <v>0.05</v>
      </c>
      <c r="L4" s="10" t="n">
        <v>100</v>
      </c>
      <c r="M4" s="10" t="n">
        <v>0</v>
      </c>
      <c r="N4" s="10" t="n">
        <v>0</v>
      </c>
      <c r="O4" s="10" t="n">
        <v>0</v>
      </c>
      <c r="P4" s="10" t="n">
        <v>1.6</v>
      </c>
      <c r="Q4" s="1" t="s">
        <v>638</v>
      </c>
    </row>
    <row r="5" ht="15" customHeight="1">
      <c r="A5" s="1" t="s">
        <v>30</v>
      </c>
      <c r="B5" s="1" t="s">
        <v>34</v>
      </c>
      <c r="C5" s="10" t="s">
        <v>632</v>
      </c>
      <c r="D5" s="2" t="s">
        <v>637</v>
      </c>
      <c r="E5" s="10" t="s">
        <v>207</v>
      </c>
      <c r="F5" s="10" t="n">
        <v>0.999</v>
      </c>
      <c r="G5" s="10" t="s">
        <v>634</v>
      </c>
      <c r="H5" s="10" t="s">
        <v>639</v>
      </c>
      <c r="I5" s="10" t="n">
        <v>0</v>
      </c>
      <c r="J5" s="10" t="n">
        <v>3</v>
      </c>
      <c r="K5" s="10" t="n">
        <v>0.05</v>
      </c>
      <c r="L5" s="10" t="n">
        <v>50</v>
      </c>
      <c r="M5" s="10" t="n">
        <v>3</v>
      </c>
      <c r="N5" s="10" t="n">
        <v>0.05</v>
      </c>
      <c r="O5" s="10" t="n">
        <v>100</v>
      </c>
      <c r="P5" s="10" t="n">
        <v>1.5</v>
      </c>
      <c r="Q5" s="1" t="s">
        <v>640</v>
      </c>
    </row>
    <row r="6" ht="15" customHeight="1">
      <c r="A6" s="1" t="s">
        <v>30</v>
      </c>
      <c r="B6" s="1" t="s">
        <v>35</v>
      </c>
      <c r="C6" s="10" t="s">
        <v>632</v>
      </c>
      <c r="D6" s="10" t="s">
        <v>633</v>
      </c>
      <c r="E6" s="10" t="s">
        <v>207</v>
      </c>
      <c r="F6" s="10" t="n">
        <v>0.999</v>
      </c>
      <c r="G6" s="10" t="s">
        <v>634</v>
      </c>
      <c r="H6" s="10" t="s">
        <v>639</v>
      </c>
      <c r="I6" s="10" t="n">
        <v>0</v>
      </c>
      <c r="J6" s="10" t="n">
        <v>3</v>
      </c>
      <c r="K6" s="10" t="n">
        <v>0.05</v>
      </c>
      <c r="L6" s="10" t="n">
        <v>50</v>
      </c>
      <c r="M6" s="10" t="n">
        <v>3</v>
      </c>
      <c r="N6" s="10" t="n">
        <v>0.05</v>
      </c>
      <c r="O6" s="10" t="n">
        <v>100</v>
      </c>
      <c r="P6" s="10" t="n">
        <v>1.5</v>
      </c>
      <c r="Q6" s="1" t="s">
        <v>641</v>
      </c>
    </row>
    <row r="7" ht="15" customHeight="1">
      <c r="A7" s="1" t="s">
        <v>36</v>
      </c>
      <c r="B7" s="1" t="s">
        <v>37</v>
      </c>
      <c r="C7" s="10" t="s">
        <v>632</v>
      </c>
      <c r="D7" s="10" t="s">
        <v>633</v>
      </c>
      <c r="E7" s="10" t="s">
        <v>207</v>
      </c>
      <c r="F7" s="10" t="n">
        <v>0.999</v>
      </c>
      <c r="G7" s="10" t="s">
        <v>634</v>
      </c>
      <c r="H7" s="10" t="s">
        <v>639</v>
      </c>
      <c r="I7" s="10" t="n">
        <v>0</v>
      </c>
      <c r="J7" s="10" t="n">
        <v>3</v>
      </c>
      <c r="K7" s="10" t="n">
        <v>0.05</v>
      </c>
      <c r="L7" s="10" t="n">
        <v>50</v>
      </c>
      <c r="M7" s="10" t="n">
        <v>3</v>
      </c>
      <c r="N7" s="10" t="n">
        <v>0.05</v>
      </c>
      <c r="O7" s="10" t="n">
        <v>100</v>
      </c>
      <c r="P7" s="10" t="n">
        <v>1.5</v>
      </c>
      <c r="Q7" s="1" t="s">
        <v>642</v>
      </c>
    </row>
    <row r="8" ht="15" customHeight="1">
      <c r="A8" s="1" t="s">
        <v>36</v>
      </c>
      <c r="B8" s="1" t="s">
        <v>38</v>
      </c>
      <c r="C8" s="10" t="s">
        <v>632</v>
      </c>
      <c r="D8" s="10" t="s">
        <v>637</v>
      </c>
      <c r="E8" s="10" t="s">
        <v>207</v>
      </c>
      <c r="F8" s="10" t="n">
        <v>0.995</v>
      </c>
      <c r="G8" s="10" t="s">
        <v>634</v>
      </c>
      <c r="H8" s="10" t="s">
        <v>639</v>
      </c>
      <c r="I8" s="10" t="n">
        <v>0</v>
      </c>
      <c r="J8" s="10" t="n">
        <v>3</v>
      </c>
      <c r="K8" s="10" t="n">
        <v>0.05</v>
      </c>
      <c r="L8" s="10" t="n">
        <v>30</v>
      </c>
      <c r="M8" s="10" t="n">
        <v>0</v>
      </c>
      <c r="N8" s="10" t="n">
        <v>0</v>
      </c>
      <c r="O8" s="10" t="n">
        <v>0</v>
      </c>
      <c r="P8" s="10" t="n">
        <v>1.6</v>
      </c>
      <c r="Q8" s="1" t="s">
        <v>643</v>
      </c>
    </row>
    <row r="9" ht="15" customHeight="1">
      <c r="A9" s="1" t="s">
        <v>36</v>
      </c>
      <c r="B9" s="1" t="s">
        <v>39</v>
      </c>
      <c r="C9" s="10" t="s">
        <v>632</v>
      </c>
      <c r="D9" s="2" t="s">
        <v>637</v>
      </c>
      <c r="E9" s="10" t="s">
        <v>207</v>
      </c>
      <c r="F9" s="10" t="n">
        <v>0.999</v>
      </c>
      <c r="G9" s="10" t="s">
        <v>634</v>
      </c>
      <c r="H9" s="10" t="s">
        <v>639</v>
      </c>
      <c r="I9" s="10" t="n">
        <v>0</v>
      </c>
      <c r="J9" s="10" t="n">
        <v>4</v>
      </c>
      <c r="K9" s="10" t="n">
        <v>0.05</v>
      </c>
      <c r="L9" s="10" t="n">
        <v>50</v>
      </c>
      <c r="M9" s="10" t="n">
        <v>3</v>
      </c>
      <c r="N9" s="10" t="n">
        <v>0.05</v>
      </c>
      <c r="O9" s="10" t="n">
        <v>100</v>
      </c>
      <c r="P9" s="10" t="n">
        <v>1.5</v>
      </c>
      <c r="Q9" s="1" t="s">
        <v>644</v>
      </c>
    </row>
    <row r="10" ht="23.85" customHeight="1">
      <c r="A10" s="1" t="s">
        <v>36</v>
      </c>
      <c r="B10" s="1" t="s">
        <v>40</v>
      </c>
      <c r="C10" s="10" t="s">
        <v>632</v>
      </c>
      <c r="D10" s="10" t="s">
        <v>637</v>
      </c>
      <c r="E10" s="10" t="s">
        <v>207</v>
      </c>
      <c r="F10" s="10" t="n">
        <v>0.995</v>
      </c>
      <c r="G10" s="10" t="s">
        <v>634</v>
      </c>
      <c r="H10" s="10" t="s">
        <v>639</v>
      </c>
      <c r="I10" s="10" t="n">
        <v>1</v>
      </c>
      <c r="J10" s="10" t="n">
        <v>3</v>
      </c>
      <c r="K10" s="10" t="n">
        <v>0.05</v>
      </c>
      <c r="L10" s="10" t="n">
        <v>30</v>
      </c>
      <c r="M10" s="10" t="n">
        <v>0</v>
      </c>
      <c r="N10" s="10" t="n">
        <v>0</v>
      </c>
      <c r="O10" s="10" t="n">
        <v>0</v>
      </c>
      <c r="P10" s="10" t="n">
        <v>1.6</v>
      </c>
      <c r="Q10" s="1" t="s">
        <v>645</v>
      </c>
    </row>
    <row r="11" ht="15" customHeight="1">
      <c r="A11" s="1" t="s">
        <v>36</v>
      </c>
      <c r="B11" s="1" t="s">
        <v>41</v>
      </c>
      <c r="C11" s="10" t="s">
        <v>632</v>
      </c>
      <c r="D11" s="10" t="s">
        <v>637</v>
      </c>
      <c r="E11" s="10" t="s">
        <v>207</v>
      </c>
      <c r="F11" s="10" t="n">
        <v>0.99</v>
      </c>
      <c r="G11" s="10" t="s">
        <v>634</v>
      </c>
      <c r="H11" s="10" t="s">
        <v>639</v>
      </c>
      <c r="I11" s="10" t="n">
        <v>0</v>
      </c>
      <c r="J11" s="10" t="n">
        <v>3</v>
      </c>
      <c r="K11" s="10" t="n">
        <v>0.05</v>
      </c>
      <c r="L11" s="2" t="n">
        <v>15</v>
      </c>
      <c r="M11" s="10" t="n">
        <v>0</v>
      </c>
      <c r="N11" s="10" t="n">
        <v>0</v>
      </c>
      <c r="O11" s="10" t="n">
        <v>0</v>
      </c>
      <c r="P11" s="10" t="n">
        <v>1.7</v>
      </c>
      <c r="Q11" s="1" t="s">
        <v>646</v>
      </c>
    </row>
    <row r="12" ht="15" customHeight="1">
      <c r="A12" s="1" t="s">
        <v>36</v>
      </c>
      <c r="B12" s="1" t="s">
        <v>42</v>
      </c>
      <c r="C12" s="10" t="s">
        <v>632</v>
      </c>
      <c r="D12" s="10" t="s">
        <v>633</v>
      </c>
      <c r="E12" s="10" t="s">
        <v>207</v>
      </c>
      <c r="F12" s="10" t="n">
        <v>0.999</v>
      </c>
      <c r="G12" s="10" t="s">
        <v>634</v>
      </c>
      <c r="H12" s="10" t="s">
        <v>639</v>
      </c>
      <c r="I12" s="10" t="n">
        <v>0</v>
      </c>
      <c r="J12" s="10" t="n">
        <v>3</v>
      </c>
      <c r="K12" s="10" t="n">
        <v>0.05</v>
      </c>
      <c r="L12" s="10" t="n">
        <v>30</v>
      </c>
      <c r="M12" s="10" t="n">
        <v>3</v>
      </c>
      <c r="N12" s="10" t="n">
        <v>0.05</v>
      </c>
      <c r="O12" s="10" t="n">
        <v>100</v>
      </c>
      <c r="P12" s="10" t="n">
        <v>1.5</v>
      </c>
      <c r="Q12" s="1" t="s">
        <v>647</v>
      </c>
    </row>
    <row r="13" ht="15" customHeight="1">
      <c r="A13" s="1" t="s">
        <v>43</v>
      </c>
      <c r="B13" s="1" t="s">
        <v>34</v>
      </c>
      <c r="C13" s="10" t="s">
        <v>632</v>
      </c>
      <c r="D13" s="2" t="s">
        <v>637</v>
      </c>
      <c r="E13" s="10" t="s">
        <v>207</v>
      </c>
      <c r="F13" s="10" t="n">
        <v>0.999</v>
      </c>
      <c r="G13" s="10" t="s">
        <v>634</v>
      </c>
      <c r="H13" s="10" t="s">
        <v>639</v>
      </c>
      <c r="I13" s="10" t="n">
        <v>0</v>
      </c>
      <c r="J13" s="10" t="n">
        <v>4</v>
      </c>
      <c r="K13" s="10" t="n">
        <v>0.05</v>
      </c>
      <c r="L13" s="10" t="n">
        <v>50</v>
      </c>
      <c r="M13" s="10" t="n">
        <v>3</v>
      </c>
      <c r="N13" s="10" t="n">
        <v>0.05</v>
      </c>
      <c r="O13" s="10" t="n">
        <v>100</v>
      </c>
      <c r="P13" s="10" t="n">
        <v>1.5</v>
      </c>
      <c r="Q13" s="1" t="s">
        <v>648</v>
      </c>
    </row>
    <row r="14" ht="15" customHeight="1">
      <c r="A14" s="1" t="s">
        <v>43</v>
      </c>
      <c r="B14" s="1" t="s">
        <v>39</v>
      </c>
      <c r="C14" s="10" t="s">
        <v>632</v>
      </c>
      <c r="D14" s="10" t="s">
        <v>633</v>
      </c>
      <c r="E14" s="10" t="s">
        <v>207</v>
      </c>
      <c r="F14" s="10" t="n">
        <v>0.999</v>
      </c>
      <c r="G14" s="10" t="s">
        <v>634</v>
      </c>
      <c r="H14" s="10" t="s">
        <v>639</v>
      </c>
      <c r="I14" s="10" t="n">
        <v>0</v>
      </c>
      <c r="J14" s="10" t="n">
        <v>3</v>
      </c>
      <c r="K14" s="10" t="n">
        <v>0.05</v>
      </c>
      <c r="L14" s="10" t="n">
        <v>50</v>
      </c>
      <c r="M14" s="10" t="n">
        <v>3</v>
      </c>
      <c r="N14" s="10" t="n">
        <v>0.05</v>
      </c>
      <c r="O14" s="10" t="n">
        <v>100</v>
      </c>
      <c r="P14" s="10" t="n">
        <v>1.5</v>
      </c>
      <c r="Q14" s="1" t="s">
        <v>649</v>
      </c>
    </row>
    <row r="15" ht="15" customHeight="1">
      <c r="A15" s="1" t="s">
        <v>43</v>
      </c>
      <c r="B15" s="1" t="s">
        <v>42</v>
      </c>
      <c r="C15" s="10" t="s">
        <v>632</v>
      </c>
      <c r="D15" s="10" t="s">
        <v>633</v>
      </c>
      <c r="E15" s="10" t="s">
        <v>207</v>
      </c>
      <c r="F15" s="10" t="n">
        <v>0.999</v>
      </c>
      <c r="G15" s="10" t="s">
        <v>634</v>
      </c>
      <c r="H15" s="10" t="s">
        <v>639</v>
      </c>
      <c r="I15" s="10" t="n">
        <v>0</v>
      </c>
      <c r="J15" s="10" t="n">
        <v>3</v>
      </c>
      <c r="K15" s="10" t="n">
        <v>0.05</v>
      </c>
      <c r="L15" s="10" t="n">
        <v>50</v>
      </c>
      <c r="M15" s="10" t="n">
        <v>3</v>
      </c>
      <c r="N15" s="10" t="n">
        <v>0.05</v>
      </c>
      <c r="O15" s="10" t="n">
        <v>100</v>
      </c>
      <c r="P15" s="10" t="n">
        <v>1.5</v>
      </c>
      <c r="Q15" s="1" t="s">
        <v>650</v>
      </c>
    </row>
    <row r="16" ht="15" customHeight="1">
      <c r="A16" s="1" t="s">
        <v>43</v>
      </c>
      <c r="B16" s="1" t="s">
        <v>38</v>
      </c>
      <c r="C16" s="10" t="s">
        <v>632</v>
      </c>
      <c r="D16" s="10" t="s">
        <v>637</v>
      </c>
      <c r="E16" s="10" t="s">
        <v>207</v>
      </c>
      <c r="F16" s="10" t="n">
        <v>0.995</v>
      </c>
      <c r="G16" s="10" t="s">
        <v>634</v>
      </c>
      <c r="H16" s="10" t="s">
        <v>639</v>
      </c>
      <c r="I16" s="10" t="n">
        <v>0</v>
      </c>
      <c r="J16" s="10" t="n">
        <v>3</v>
      </c>
      <c r="K16" s="10" t="n">
        <v>0.05</v>
      </c>
      <c r="L16" s="10" t="n">
        <v>30</v>
      </c>
      <c r="M16" s="10" t="n">
        <v>0</v>
      </c>
      <c r="N16" s="10" t="n">
        <v>0</v>
      </c>
      <c r="O16" s="10" t="n">
        <v>0</v>
      </c>
      <c r="P16" s="10" t="n">
        <v>1.6</v>
      </c>
      <c r="Q16" s="1" t="s">
        <v>651</v>
      </c>
    </row>
    <row r="18" ht="15" customHeight="1">
      <c r="A18" s="13" t="s">
        <v>652</v>
      </c>
    </row>
    <row r="19" ht="15" customHeight="1">
      <c r="A19" s="8" t="s">
        <v>653</v>
      </c>
    </row>
    <row r="20" ht="15" customHeight="1">
      <c r="A20" s="8" t="s">
        <v>654</v>
      </c>
    </row>
    <row r="21" ht="15" customHeight="1">
      <c r="A21" s="8" t="s">
        <v>655</v>
      </c>
    </row>
    <row r="22" ht="15" customHeight="1">
      <c r="A22" s="8" t="s">
        <v>656</v>
      </c>
    </row>
  </sheetData>
  <dataValidations count="4">
    <dataValidation allowBlank="false" errorStyle="stop" operator="between" showDropDown="false" showErrorMessage="false" showInputMessage="false" sqref="D2:D16" type="list">
      <formula1>"gamma_gbm,gamma_glm,mean"</formula1>
      <formula2>0</formula2>
    </dataValidation>
    <dataValidation allowBlank="false" errorStyle="stop" operator="between" showDropDown="false" showErrorMessage="false" showInputMessage="false" sqref="E2:E16" type="list">
      <formula1>"Y,N"</formula1>
      <formula2>0</formula2>
    </dataValidation>
    <dataValidation allowBlank="false" errorStyle="stop" operator="between" showDropDown="false" showErrorMessage="false" showInputMessage="false" sqref="G2:G16" type="list">
      <formula1>"estimate,none"</formula1>
      <formula2>0</formula2>
    </dataValidation>
    <dataValidation allowBlank="false" errorStyle="stop" operator="between" showDropDown="false" showErrorMessage="false" showInputMessage="false" sqref="H2:H16" type="list">
      <formula1>"estimate,none"</formula1>
      <formula2>0</formula2>
    </dataValidation>
  </dataValidations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11" hidden="false" outlineLevel="0" customWidth="1"/>
    <col min="2" max="2" width="18" hidden="false" outlineLevel="0" customWidth="1"/>
    <col min="3" max="3" width="26" hidden="false" outlineLevel="0" customWidth="1"/>
    <col min="4" max="4" width="44" hidden="false" outlineLevel="0" customWidth="1"/>
    <col min="5" max="5" width="60" hidden="false" outlineLevel="0" customWidth="1"/>
  </cols>
  <sheetData>
    <row r="1" ht="30" customHeight="1">
      <c r="A1" s="5" t="s">
        <v>23</v>
      </c>
      <c r="B1" s="5" t="s">
        <v>24</v>
      </c>
      <c r="C1" s="5" t="s">
        <v>191</v>
      </c>
      <c r="D1" s="5" t="s">
        <v>657</v>
      </c>
      <c r="E1" s="5" t="s">
        <v>29</v>
      </c>
    </row>
    <row r="2" ht="15" customHeight="1">
      <c r="A2" s="10" t="s">
        <v>30</v>
      </c>
      <c r="B2" s="10" t="s">
        <v>31</v>
      </c>
      <c r="C2" s="10" t="s">
        <v>267</v>
      </c>
      <c r="D2" s="10" t="s">
        <v>658</v>
      </c>
      <c r="E2" s="1" t="s">
        <v>659</v>
      </c>
    </row>
    <row r="3" ht="23.85" customHeight="1">
      <c r="A3" s="10" t="s">
        <v>30</v>
      </c>
      <c r="B3" s="10" t="s">
        <v>35</v>
      </c>
      <c r="C3" s="10" t="s">
        <v>267</v>
      </c>
      <c r="D3" s="10" t="s">
        <v>658</v>
      </c>
      <c r="E3" s="1" t="s">
        <v>660</v>
      </c>
    </row>
    <row r="4" ht="15" customHeight="1">
      <c r="A4" s="10" t="s">
        <v>30</v>
      </c>
      <c r="B4" s="10" t="s">
        <v>34</v>
      </c>
      <c r="C4" s="10" t="s">
        <v>267</v>
      </c>
      <c r="D4" s="10" t="s">
        <v>661</v>
      </c>
      <c r="E4" s="1" t="s">
        <v>662</v>
      </c>
    </row>
    <row r="5" ht="15" customHeight="1">
      <c r="A5" s="10" t="s">
        <v>36</v>
      </c>
      <c r="B5" s="10" t="s">
        <v>42</v>
      </c>
      <c r="C5" s="10" t="s">
        <v>529</v>
      </c>
      <c r="D5" s="10" t="s">
        <v>663</v>
      </c>
      <c r="E5" s="1" t="s">
        <v>664</v>
      </c>
    </row>
    <row r="6" ht="15" customHeight="1">
      <c r="A6" s="10" t="s">
        <v>43</v>
      </c>
      <c r="B6" s="10" t="s">
        <v>42</v>
      </c>
      <c r="C6" s="10" t="s">
        <v>529</v>
      </c>
      <c r="D6" s="10" t="s">
        <v>663</v>
      </c>
      <c r="E6" s="1" t="s">
        <v>664</v>
      </c>
    </row>
    <row r="8" ht="15" customHeight="1">
      <c r="A8" s="8" t="s">
        <v>665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0" hidden="false" outlineLevel="0" customWidth="1"/>
    <col min="2" max="2" width="22" hidden="false" outlineLevel="0" customWidth="1"/>
    <col min="3" max="3" width="80" hidden="false" outlineLevel="0" customWidth="1"/>
  </cols>
  <sheetData>
    <row r="1" ht="30" customHeight="1">
      <c r="A1" s="5" t="s">
        <v>666</v>
      </c>
      <c r="B1" s="5" t="s">
        <v>667</v>
      </c>
      <c r="C1" s="5" t="s">
        <v>668</v>
      </c>
    </row>
    <row r="2" ht="15" customHeight="1">
      <c r="A2" s="1" t="s">
        <v>669</v>
      </c>
      <c r="B2" s="10" t="s">
        <v>670</v>
      </c>
      <c r="C2" s="1" t="s">
        <v>671</v>
      </c>
    </row>
    <row r="3" ht="15" customHeight="1">
      <c r="A3" s="1" t="s">
        <v>672</v>
      </c>
      <c r="B3" s="10" t="s">
        <v>673</v>
      </c>
      <c r="C3" s="1" t="s">
        <v>674</v>
      </c>
    </row>
    <row r="4" ht="15" customHeight="1">
      <c r="A4" s="1" t="s">
        <v>675</v>
      </c>
      <c r="B4" s="10" t="s">
        <v>676</v>
      </c>
      <c r="C4" s="1" t="s">
        <v>677</v>
      </c>
    </row>
    <row r="5" ht="15" customHeight="1">
      <c r="A5" s="1" t="s">
        <v>678</v>
      </c>
      <c r="B5" s="10" t="s">
        <v>679</v>
      </c>
      <c r="C5" s="1" t="s">
        <v>680</v>
      </c>
    </row>
    <row r="6" ht="15" customHeight="1">
      <c r="A6" s="1" t="s">
        <v>681</v>
      </c>
      <c r="B6" s="10" t="s">
        <v>682</v>
      </c>
      <c r="C6" s="1" t="s">
        <v>683</v>
      </c>
    </row>
    <row r="7" ht="15" customHeight="1">
      <c r="A7" s="1" t="s">
        <v>684</v>
      </c>
      <c r="B7" s="10" t="s">
        <v>685</v>
      </c>
      <c r="C7" s="1" t="s">
        <v>686</v>
      </c>
    </row>
    <row r="8" ht="15" customHeight="1">
      <c r="A8" s="1" t="s">
        <v>687</v>
      </c>
      <c r="B8" s="10" t="s">
        <v>688</v>
      </c>
      <c r="C8" s="1" t="s">
        <v>689</v>
      </c>
    </row>
    <row r="9" ht="15" customHeight="1">
      <c r="A9" s="1" t="s">
        <v>690</v>
      </c>
      <c r="B9" s="10" t="s">
        <v>691</v>
      </c>
      <c r="C9" s="1" t="s">
        <v>692</v>
      </c>
    </row>
    <row r="10" ht="15" customHeight="1">
      <c r="A10" s="1" t="s">
        <v>693</v>
      </c>
      <c r="B10" s="10" t="s">
        <v>807</v>
      </c>
      <c r="C10" s="1" t="s">
        <v>695</v>
      </c>
    </row>
    <row r="11" ht="15" customHeight="1">
      <c r="A11" s="1" t="s">
        <v>696</v>
      </c>
      <c r="B11" s="10" t="s">
        <v>207</v>
      </c>
      <c r="C11" s="1" t="s">
        <v>697</v>
      </c>
    </row>
    <row r="12" ht="15" customHeight="1">
      <c r="A12" s="1" t="s">
        <v>698</v>
      </c>
      <c r="B12" s="10" t="s">
        <v>207</v>
      </c>
      <c r="C12" s="1" t="s">
        <v>699</v>
      </c>
    </row>
    <row r="13" ht="15" customHeight="1">
      <c r="A13" s="1" t="s">
        <v>700</v>
      </c>
      <c r="B13" s="10" t="s">
        <v>701</v>
      </c>
      <c r="C13" s="1" t="s">
        <v>702</v>
      </c>
    </row>
    <row r="14" ht="15" customHeight="1">
      <c r="A14" s="1" t="s">
        <v>703</v>
      </c>
      <c r="B14" s="10" t="s">
        <v>704</v>
      </c>
      <c r="C14" s="1"/>
    </row>
    <row r="15" ht="15" customHeight="1">
      <c r="A15" s="1" t="s">
        <v>705</v>
      </c>
      <c r="B15" s="10" t="s">
        <v>685</v>
      </c>
      <c r="C15" s="1" t="s">
        <v>706</v>
      </c>
    </row>
    <row r="16" ht="15" customHeight="1">
      <c r="A16" s="1" t="s">
        <v>707</v>
      </c>
      <c r="B16" s="10" t="s">
        <v>708</v>
      </c>
      <c r="C16" s="1" t="s">
        <v>709</v>
      </c>
    </row>
    <row r="17" ht="15" customHeight="1">
      <c r="A17" s="1" t="s">
        <v>710</v>
      </c>
      <c r="B17" s="10" t="s">
        <v>708</v>
      </c>
      <c r="C17" s="1" t="s">
        <v>711</v>
      </c>
    </row>
    <row r="18" ht="15" customHeight="1">
      <c r="A18" s="1" t="s">
        <v>712</v>
      </c>
      <c r="B18" s="10" t="s">
        <v>713</v>
      </c>
      <c r="C18" s="1" t="s">
        <v>714</v>
      </c>
    </row>
    <row r="19" ht="15" customHeight="1">
      <c r="A19" s="1" t="s">
        <v>715</v>
      </c>
      <c r="B19" s="10" t="s">
        <v>716</v>
      </c>
      <c r="C19" s="1" t="s">
        <v>717</v>
      </c>
    </row>
    <row r="20" ht="23.85" customHeight="1">
      <c r="A20" s="1" t="s">
        <v>718</v>
      </c>
      <c r="B20" s="10" t="s">
        <v>719</v>
      </c>
      <c r="C20" s="1" t="s">
        <v>720</v>
      </c>
    </row>
    <row r="21" ht="15" customHeight="1">
      <c r="A21" s="1" t="s">
        <v>721</v>
      </c>
      <c r="B21" s="10" t="s">
        <v>722</v>
      </c>
      <c r="C21" s="1" t="s">
        <v>723</v>
      </c>
    </row>
    <row r="22" ht="15" customHeight="1">
      <c r="A22" s="1" t="s">
        <v>724</v>
      </c>
      <c r="B22" s="10" t="s">
        <v>725</v>
      </c>
      <c r="C22" s="1" t="s">
        <v>726</v>
      </c>
    </row>
    <row r="23">
      <c r="A23" s="14" t="s">
        <v>792</v>
      </c>
      <c r="B23" s="14" t="s">
        <v>795</v>
      </c>
      <c r="C23" s="14" t="s">
        <v>796</v>
      </c>
    </row>
    <row r="24">
      <c r="A24" s="14" t="s">
        <v>797</v>
      </c>
      <c r="B24" s="14" t="s">
        <v>798</v>
      </c>
      <c r="C24" s="14" t="s">
        <v>799</v>
      </c>
    </row>
    <row r="25">
      <c r="A25" s="14" t="s">
        <v>800</v>
      </c>
      <c r="B25" s="14" t="s">
        <v>926</v>
      </c>
      <c r="C25" s="14" t="s">
        <v>801</v>
      </c>
    </row>
    <row r="26">
      <c r="A26" s="14" t="s">
        <v>802</v>
      </c>
      <c r="B26" s="14" t="s">
        <v>694</v>
      </c>
      <c r="C26" s="14" t="s">
        <v>804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2" hidden="false" outlineLevel="0" customWidth="1"/>
    <col min="2" max="2" width="22" hidden="false" outlineLevel="0" customWidth="1"/>
    <col min="3" max="3" width="46" hidden="false" outlineLevel="0" customWidth="1"/>
    <col min="4" max="4" width="34" hidden="false" outlineLevel="0" customWidth="1"/>
    <col min="5" max="5" width="11" hidden="false" outlineLevel="0" customWidth="1"/>
    <col min="6" max="6" width="11" hidden="false" outlineLevel="0" customWidth="1"/>
    <col min="7" max="7" width="11" hidden="false" outlineLevel="0" customWidth="1"/>
    <col min="8" max="8" width="44" hidden="false" outlineLevel="0" customWidth="1"/>
  </cols>
  <sheetData>
    <row r="1" ht="30" customHeight="1">
      <c r="A1" s="5" t="s">
        <v>191</v>
      </c>
      <c r="B1" s="5" t="s">
        <v>192</v>
      </c>
      <c r="C1" s="5" t="s">
        <v>194</v>
      </c>
      <c r="D1" s="5" t="s">
        <v>195</v>
      </c>
      <c r="E1" s="5" t="s">
        <v>30</v>
      </c>
      <c r="F1" s="5" t="s">
        <v>36</v>
      </c>
      <c r="G1" s="5" t="s">
        <v>43</v>
      </c>
      <c r="H1" s="5" t="s">
        <v>200</v>
      </c>
    </row>
    <row r="2" ht="15" customHeight="1">
      <c r="A2" s="1" t="s">
        <v>727</v>
      </c>
      <c r="B2" s="1" t="s">
        <v>297</v>
      </c>
      <c r="C2" s="1" t="s">
        <v>728</v>
      </c>
      <c r="D2" s="1" t="s">
        <v>729</v>
      </c>
      <c r="E2" s="1" t="s">
        <v>730</v>
      </c>
      <c r="F2" s="1" t="s">
        <v>730</v>
      </c>
      <c r="G2" s="1" t="s">
        <v>730</v>
      </c>
      <c r="H2" s="1" t="s">
        <v>731</v>
      </c>
    </row>
    <row r="3" ht="23.85" customHeight="1">
      <c r="A3" s="1" t="s">
        <v>732</v>
      </c>
      <c r="B3" s="1" t="s">
        <v>297</v>
      </c>
      <c r="C3" s="1" t="s">
        <v>733</v>
      </c>
      <c r="D3" s="1" t="s">
        <v>734</v>
      </c>
      <c r="E3" s="1" t="s">
        <v>730</v>
      </c>
      <c r="F3" s="1" t="s">
        <v>730</v>
      </c>
      <c r="G3" s="1" t="s">
        <v>730</v>
      </c>
      <c r="H3" s="1" t="s">
        <v>731</v>
      </c>
    </row>
    <row r="4" ht="15" customHeight="1">
      <c r="A4" s="1" t="s">
        <v>735</v>
      </c>
      <c r="B4" s="1" t="s">
        <v>297</v>
      </c>
      <c r="C4" s="1" t="s">
        <v>736</v>
      </c>
      <c r="D4" s="1" t="s">
        <v>737</v>
      </c>
      <c r="E4" s="1" t="s">
        <v>730</v>
      </c>
      <c r="F4" s="1" t="s">
        <v>730</v>
      </c>
      <c r="G4" s="1" t="s">
        <v>730</v>
      </c>
      <c r="H4" s="1" t="s">
        <v>731</v>
      </c>
    </row>
    <row r="5" ht="15" customHeight="1">
      <c r="A5" s="1" t="s">
        <v>738</v>
      </c>
      <c r="B5" s="1" t="s">
        <v>297</v>
      </c>
      <c r="C5" s="1" t="s">
        <v>739</v>
      </c>
      <c r="D5" s="1" t="s">
        <v>740</v>
      </c>
      <c r="E5" s="1" t="s">
        <v>730</v>
      </c>
      <c r="F5" s="1" t="s">
        <v>730</v>
      </c>
      <c r="G5" s="1" t="s">
        <v>730</v>
      </c>
      <c r="H5" s="1" t="s">
        <v>731</v>
      </c>
    </row>
    <row r="6" ht="15" customHeight="1">
      <c r="A6" s="1" t="s">
        <v>741</v>
      </c>
      <c r="B6" s="1" t="s">
        <v>297</v>
      </c>
      <c r="C6" s="1" t="s">
        <v>742</v>
      </c>
      <c r="D6" s="1" t="s">
        <v>743</v>
      </c>
      <c r="E6" s="1" t="s">
        <v>730</v>
      </c>
      <c r="F6" s="1" t="s">
        <v>730</v>
      </c>
      <c r="G6" s="1" t="s">
        <v>730</v>
      </c>
      <c r="H6" s="1" t="s">
        <v>744</v>
      </c>
    </row>
    <row r="7" ht="15" customHeight="1">
      <c r="A7" s="1" t="s">
        <v>745</v>
      </c>
      <c r="B7" s="1" t="s">
        <v>297</v>
      </c>
      <c r="C7" s="1" t="s">
        <v>746</v>
      </c>
      <c r="D7" s="1" t="s">
        <v>747</v>
      </c>
      <c r="E7" s="1" t="s">
        <v>730</v>
      </c>
      <c r="F7" s="1" t="s">
        <v>730</v>
      </c>
      <c r="G7" s="1" t="s">
        <v>730</v>
      </c>
      <c r="H7" s="1" t="s">
        <v>748</v>
      </c>
    </row>
    <row r="8" ht="15" customHeight="1">
      <c r="A8" s="1" t="s">
        <v>749</v>
      </c>
      <c r="B8" s="1" t="s">
        <v>750</v>
      </c>
      <c r="C8" s="1" t="s">
        <v>751</v>
      </c>
      <c r="D8" s="1" t="s">
        <v>752</v>
      </c>
      <c r="E8" s="1" t="s">
        <v>730</v>
      </c>
      <c r="F8" s="1" t="s">
        <v>730</v>
      </c>
      <c r="G8" s="1" t="s">
        <v>730</v>
      </c>
      <c r="H8" s="1" t="s">
        <v>753</v>
      </c>
    </row>
    <row r="9" ht="15" customHeight="1">
      <c r="A9" s="1" t="s">
        <v>754</v>
      </c>
      <c r="B9" s="1" t="s">
        <v>297</v>
      </c>
      <c r="C9" s="1" t="s">
        <v>755</v>
      </c>
      <c r="D9" s="1" t="s">
        <v>752</v>
      </c>
      <c r="E9" s="1" t="s">
        <v>730</v>
      </c>
      <c r="F9" s="1" t="s">
        <v>730</v>
      </c>
      <c r="G9" s="1" t="s">
        <v>730</v>
      </c>
      <c r="H9" s="1" t="s">
        <v>756</v>
      </c>
    </row>
    <row r="10" ht="15" customHeight="1">
      <c r="A10" s="1" t="s">
        <v>757</v>
      </c>
      <c r="B10" s="1" t="s">
        <v>339</v>
      </c>
      <c r="C10" s="1" t="s">
        <v>758</v>
      </c>
      <c r="D10" s="1" t="s">
        <v>378</v>
      </c>
      <c r="E10" s="1" t="s">
        <v>730</v>
      </c>
      <c r="F10" s="1" t="s">
        <v>730</v>
      </c>
      <c r="G10" s="1" t="s">
        <v>730</v>
      </c>
      <c r="H10" s="1" t="s">
        <v>759</v>
      </c>
    </row>
    <row r="11" ht="15" customHeight="1">
      <c r="A11" s="1" t="s">
        <v>760</v>
      </c>
      <c r="B11" s="1" t="s">
        <v>339</v>
      </c>
      <c r="C11" s="1" t="s">
        <v>761</v>
      </c>
      <c r="D11" s="1" t="s">
        <v>762</v>
      </c>
      <c r="E11" s="1" t="s">
        <v>730</v>
      </c>
      <c r="F11" s="1" t="s">
        <v>730</v>
      </c>
      <c r="G11" s="1" t="s">
        <v>730</v>
      </c>
      <c r="H11" s="1" t="s">
        <v>763</v>
      </c>
    </row>
    <row r="12" ht="15" customHeight="1">
      <c r="A12" s="1" t="s">
        <v>764</v>
      </c>
      <c r="B12" s="1" t="s">
        <v>765</v>
      </c>
      <c r="C12" s="1" t="s">
        <v>766</v>
      </c>
      <c r="D12" s="1" t="s">
        <v>729</v>
      </c>
      <c r="E12" s="1" t="s">
        <v>730</v>
      </c>
      <c r="F12" s="1" t="s">
        <v>730</v>
      </c>
      <c r="G12" s="1" t="s">
        <v>730</v>
      </c>
      <c r="H12" s="1" t="s">
        <v>84</v>
      </c>
    </row>
    <row r="13" ht="15" customHeight="1">
      <c r="A13" s="1" t="s">
        <v>24</v>
      </c>
      <c r="B13" s="1" t="s">
        <v>765</v>
      </c>
      <c r="C13" s="1" t="s">
        <v>767</v>
      </c>
      <c r="D13" s="1" t="s">
        <v>768</v>
      </c>
      <c r="E13" s="1" t="s">
        <v>730</v>
      </c>
      <c r="F13" s="1" t="s">
        <v>730</v>
      </c>
      <c r="G13" s="1" t="s">
        <v>730</v>
      </c>
      <c r="H13" s="1" t="s">
        <v>84</v>
      </c>
    </row>
    <row r="14" ht="15" customHeight="1">
      <c r="A14" s="1" t="s">
        <v>769</v>
      </c>
      <c r="B14" s="1" t="s">
        <v>765</v>
      </c>
      <c r="C14" s="1" t="s">
        <v>770</v>
      </c>
      <c r="D14" s="1" t="s">
        <v>771</v>
      </c>
      <c r="E14" s="1" t="s">
        <v>730</v>
      </c>
      <c r="F14" s="1" t="s">
        <v>730</v>
      </c>
      <c r="G14" s="1" t="s">
        <v>730</v>
      </c>
      <c r="H14" s="1" t="s">
        <v>84</v>
      </c>
    </row>
    <row r="15" ht="23.85" customHeight="1">
      <c r="A15" s="1" t="s">
        <v>772</v>
      </c>
      <c r="B15" s="1" t="s">
        <v>765</v>
      </c>
      <c r="C15" s="1" t="s">
        <v>773</v>
      </c>
      <c r="D15" s="1" t="s">
        <v>774</v>
      </c>
      <c r="E15" s="1" t="s">
        <v>730</v>
      </c>
      <c r="F15" s="1" t="s">
        <v>730</v>
      </c>
      <c r="G15" s="1" t="s">
        <v>730</v>
      </c>
      <c r="H15" s="1" t="s">
        <v>84</v>
      </c>
    </row>
    <row r="16" ht="23.85" customHeight="1">
      <c r="A16" s="1" t="s">
        <v>52</v>
      </c>
      <c r="B16" s="1" t="s">
        <v>765</v>
      </c>
      <c r="C16" s="1" t="s">
        <v>775</v>
      </c>
      <c r="D16" s="1" t="s">
        <v>776</v>
      </c>
      <c r="E16" s="1" t="s">
        <v>730</v>
      </c>
      <c r="F16" s="1" t="s">
        <v>730</v>
      </c>
      <c r="G16" s="1" t="s">
        <v>730</v>
      </c>
      <c r="H16" s="1" t="s">
        <v>84</v>
      </c>
    </row>
    <row r="17" ht="15" customHeight="1">
      <c r="A17" s="1" t="s">
        <v>777</v>
      </c>
      <c r="B17" s="1" t="s">
        <v>765</v>
      </c>
      <c r="C17" s="1" t="s">
        <v>778</v>
      </c>
      <c r="D17" s="1" t="s">
        <v>779</v>
      </c>
      <c r="E17" s="1" t="s">
        <v>730</v>
      </c>
      <c r="F17" s="1" t="s">
        <v>730</v>
      </c>
      <c r="G17" s="1" t="s">
        <v>730</v>
      </c>
      <c r="H17" s="1" t="s">
        <v>84</v>
      </c>
    </row>
    <row r="18" ht="15" customHeight="1">
      <c r="A18" s="1" t="s">
        <v>780</v>
      </c>
      <c r="B18" s="1" t="s">
        <v>765</v>
      </c>
      <c r="C18" s="1" t="s">
        <v>781</v>
      </c>
      <c r="D18" s="1" t="s">
        <v>782</v>
      </c>
      <c r="E18" s="1" t="s">
        <v>730</v>
      </c>
      <c r="F18" s="1" t="s">
        <v>730</v>
      </c>
      <c r="G18" s="1" t="s">
        <v>730</v>
      </c>
      <c r="H18" s="1" t="s">
        <v>84</v>
      </c>
    </row>
    <row r="19" ht="15" customHeight="1">
      <c r="A19" s="1" t="s">
        <v>783</v>
      </c>
      <c r="B19" s="1" t="s">
        <v>765</v>
      </c>
      <c r="C19" s="1" t="s">
        <v>784</v>
      </c>
      <c r="D19" s="1" t="s">
        <v>785</v>
      </c>
      <c r="E19" s="1" t="s">
        <v>730</v>
      </c>
      <c r="F19" s="1" t="s">
        <v>730</v>
      </c>
      <c r="G19" s="1" t="s">
        <v>730</v>
      </c>
      <c r="H19" s="1" t="s">
        <v>84</v>
      </c>
    </row>
    <row r="20" ht="15" customHeight="1">
      <c r="A20" s="1" t="s">
        <v>786</v>
      </c>
      <c r="B20" s="1" t="s">
        <v>765</v>
      </c>
      <c r="C20" s="1" t="s">
        <v>787</v>
      </c>
      <c r="D20" s="1" t="s">
        <v>788</v>
      </c>
      <c r="E20" s="1" t="s">
        <v>730</v>
      </c>
      <c r="F20" s="1" t="s">
        <v>730</v>
      </c>
      <c r="G20" s="1" t="s">
        <v>730</v>
      </c>
      <c r="H20" s="1" t="s">
        <v>789</v>
      </c>
    </row>
    <row r="21" ht="15" customHeight="1">
      <c r="A21" s="1" t="s">
        <v>201</v>
      </c>
      <c r="B21" s="1" t="s">
        <v>202</v>
      </c>
      <c r="C21" s="1" t="s">
        <v>204</v>
      </c>
      <c r="D21" s="1" t="s">
        <v>205</v>
      </c>
      <c r="E21" s="15" t="str">
        <f aca="false">IFERROR(INDEX(Features_Motor!$F:$F,MATCH($A21,Features_Motor!$A:$A,0)),"n/a")</f>
        <v>Include</v>
      </c>
      <c r="F21" s="15" t="str">
        <f aca="false">IFERROR(INDEX(Features_Buildings!$F:$F,MATCH($A21,Features_Buildings!$A:$A,0)),"n/a")</f>
        <v>n/a</v>
      </c>
      <c r="G21" s="15" t="str">
        <f aca="false">IFERROR(INDEX(Features_Contents!$F:$F,MATCH($A21,Features_Contents!$A:$A,0)),"n/a")</f>
        <v>n/a</v>
      </c>
      <c r="H21" s="1"/>
    </row>
    <row r="22" ht="15" customHeight="1">
      <c r="A22" s="1" t="s">
        <v>211</v>
      </c>
      <c r="B22" s="1" t="s">
        <v>202</v>
      </c>
      <c r="C22" s="1" t="s">
        <v>212</v>
      </c>
      <c r="D22" s="1" t="s">
        <v>213</v>
      </c>
      <c r="E22" s="15" t="str">
        <f aca="false">IFERROR(INDEX(Features_Motor!$F:$F,MATCH($A22,Features_Motor!$A:$A,0)),"n/a")</f>
        <v>Include</v>
      </c>
      <c r="F22" s="15" t="str">
        <f aca="false">IFERROR(INDEX(Features_Buildings!$F:$F,MATCH($A22,Features_Buildings!$A:$A,0)),"n/a")</f>
        <v>n/a</v>
      </c>
      <c r="G22" s="15" t="str">
        <f aca="false">IFERROR(INDEX(Features_Contents!$F:$F,MATCH($A22,Features_Contents!$A:$A,0)),"n/a")</f>
        <v>n/a</v>
      </c>
      <c r="H22" s="1"/>
    </row>
    <row r="23" ht="15" customHeight="1">
      <c r="A23" s="1" t="s">
        <v>215</v>
      </c>
      <c r="B23" s="1" t="s">
        <v>202</v>
      </c>
      <c r="C23" s="1" t="s">
        <v>216</v>
      </c>
      <c r="D23" s="1" t="s">
        <v>217</v>
      </c>
      <c r="E23" s="15" t="str">
        <f aca="false">IFERROR(INDEX(Features_Motor!$F:$F,MATCH($A23,Features_Motor!$A:$A,0)),"n/a")</f>
        <v>Include</v>
      </c>
      <c r="F23" s="15" t="str">
        <f aca="false">IFERROR(INDEX(Features_Buildings!$F:$F,MATCH($A23,Features_Buildings!$A:$A,0)),"n/a")</f>
        <v>n/a</v>
      </c>
      <c r="G23" s="15" t="str">
        <f aca="false">IFERROR(INDEX(Features_Contents!$F:$F,MATCH($A23,Features_Contents!$A:$A,0)),"n/a")</f>
        <v>n/a</v>
      </c>
      <c r="H23" s="1"/>
    </row>
    <row r="24" ht="15" customHeight="1">
      <c r="A24" s="1" t="s">
        <v>219</v>
      </c>
      <c r="B24" s="1" t="s">
        <v>202</v>
      </c>
      <c r="C24" s="1" t="s">
        <v>220</v>
      </c>
      <c r="D24" s="1" t="s">
        <v>221</v>
      </c>
      <c r="E24" s="15" t="str">
        <f aca="false">IFERROR(INDEX(Features_Motor!$F:$F,MATCH($A24,Features_Motor!$A:$A,0)),"n/a")</f>
        <v>Include</v>
      </c>
      <c r="F24" s="15" t="str">
        <f aca="false">IFERROR(INDEX(Features_Buildings!$F:$F,MATCH($A24,Features_Buildings!$A:$A,0)),"n/a")</f>
        <v>n/a</v>
      </c>
      <c r="G24" s="15" t="str">
        <f aca="false">IFERROR(INDEX(Features_Contents!$F:$F,MATCH($A24,Features_Contents!$A:$A,0)),"n/a")</f>
        <v>n/a</v>
      </c>
      <c r="H24" s="1"/>
    </row>
    <row r="25" ht="15" customHeight="1">
      <c r="A25" s="1" t="s">
        <v>223</v>
      </c>
      <c r="B25" s="1" t="s">
        <v>202</v>
      </c>
      <c r="C25" s="1" t="s">
        <v>224</v>
      </c>
      <c r="D25" s="1" t="s">
        <v>225</v>
      </c>
      <c r="E25" s="15" t="str">
        <f aca="false">IFERROR(INDEX(Features_Motor!$F:$F,MATCH($A25,Features_Motor!$A:$A,0)),"n/a")</f>
        <v>Include</v>
      </c>
      <c r="F25" s="15" t="str">
        <f aca="false">IFERROR(INDEX(Features_Buildings!$F:$F,MATCH($A25,Features_Buildings!$A:$A,0)),"n/a")</f>
        <v>n/a</v>
      </c>
      <c r="G25" s="15" t="str">
        <f aca="false">IFERROR(INDEX(Features_Contents!$F:$F,MATCH($A25,Features_Contents!$A:$A,0)),"n/a")</f>
        <v>n/a</v>
      </c>
      <c r="H25" s="1"/>
    </row>
    <row r="26" ht="23.85" customHeight="1">
      <c r="A26" s="1" t="s">
        <v>228</v>
      </c>
      <c r="B26" s="1" t="s">
        <v>202</v>
      </c>
      <c r="C26" s="1" t="s">
        <v>230</v>
      </c>
      <c r="D26" s="1" t="s">
        <v>231</v>
      </c>
      <c r="E26" s="15" t="str">
        <f aca="false">IFERROR(INDEX(Features_Motor!$F:$F,MATCH($A26,Features_Motor!$A:$A,0)),"n/a")</f>
        <v>Test</v>
      </c>
      <c r="F26" s="15" t="str">
        <f aca="false">IFERROR(INDEX(Features_Buildings!$F:$F,MATCH($A26,Features_Buildings!$A:$A,0)),"n/a")</f>
        <v>n/a</v>
      </c>
      <c r="G26" s="15" t="str">
        <f aca="false">IFERROR(INDEX(Features_Contents!$F:$F,MATCH($A26,Features_Contents!$A:$A,0)),"n/a")</f>
        <v>n/a</v>
      </c>
      <c r="H26" s="1" t="s">
        <v>234</v>
      </c>
    </row>
    <row r="27" ht="15" customHeight="1">
      <c r="A27" s="1" t="s">
        <v>235</v>
      </c>
      <c r="B27" s="1" t="s">
        <v>202</v>
      </c>
      <c r="C27" s="1" t="s">
        <v>236</v>
      </c>
      <c r="D27" s="1" t="s">
        <v>237</v>
      </c>
      <c r="E27" s="15" t="str">
        <f aca="false">IFERROR(INDEX(Features_Motor!$F:$F,MATCH($A27,Features_Motor!$A:$A,0)),"n/a")</f>
        <v>Include</v>
      </c>
      <c r="F27" s="15" t="str">
        <f aca="false">IFERROR(INDEX(Features_Buildings!$F:$F,MATCH($A27,Features_Buildings!$A:$A,0)),"n/a")</f>
        <v>n/a</v>
      </c>
      <c r="G27" s="15" t="str">
        <f aca="false">IFERROR(INDEX(Features_Contents!$F:$F,MATCH($A27,Features_Contents!$A:$A,0)),"n/a")</f>
        <v>n/a</v>
      </c>
      <c r="H27" s="1"/>
    </row>
    <row r="28" ht="15" customHeight="1">
      <c r="A28" s="1" t="s">
        <v>239</v>
      </c>
      <c r="B28" s="1" t="s">
        <v>202</v>
      </c>
      <c r="C28" s="1" t="s">
        <v>240</v>
      </c>
      <c r="D28" s="1" t="s">
        <v>241</v>
      </c>
      <c r="E28" s="15" t="str">
        <f aca="false">IFERROR(INDEX(Features_Motor!$F:$F,MATCH($A28,Features_Motor!$A:$A,0)),"n/a")</f>
        <v>Include</v>
      </c>
      <c r="F28" s="15" t="str">
        <f aca="false">IFERROR(INDEX(Features_Buildings!$F:$F,MATCH($A28,Features_Buildings!$A:$A,0)),"n/a")</f>
        <v>n/a</v>
      </c>
      <c r="G28" s="15" t="str">
        <f aca="false">IFERROR(INDEX(Features_Contents!$F:$F,MATCH($A28,Features_Contents!$A:$A,0)),"n/a")</f>
        <v>n/a</v>
      </c>
      <c r="H28" s="1"/>
    </row>
    <row r="29" ht="15" customHeight="1">
      <c r="A29" s="1" t="s">
        <v>243</v>
      </c>
      <c r="B29" s="1" t="s">
        <v>202</v>
      </c>
      <c r="C29" s="1" t="s">
        <v>244</v>
      </c>
      <c r="D29" s="1" t="s">
        <v>245</v>
      </c>
      <c r="E29" s="15" t="str">
        <f aca="false">IFERROR(INDEX(Features_Motor!$F:$F,MATCH($A29,Features_Motor!$A:$A,0)),"n/a")</f>
        <v>Test</v>
      </c>
      <c r="F29" s="15" t="str">
        <f aca="false">IFERROR(INDEX(Features_Buildings!$F:$F,MATCH($A29,Features_Buildings!$A:$A,0)),"n/a")</f>
        <v>n/a</v>
      </c>
      <c r="G29" s="15" t="str">
        <f aca="false">IFERROR(INDEX(Features_Contents!$F:$F,MATCH($A29,Features_Contents!$A:$A,0)),"n/a")</f>
        <v>n/a</v>
      </c>
      <c r="H29" s="1"/>
    </row>
    <row r="30" ht="15" customHeight="1">
      <c r="A30" s="1" t="s">
        <v>247</v>
      </c>
      <c r="B30" s="1" t="s">
        <v>202</v>
      </c>
      <c r="C30" s="1" t="s">
        <v>248</v>
      </c>
      <c r="D30" s="1" t="s">
        <v>249</v>
      </c>
      <c r="E30" s="15" t="str">
        <f aca="false">IFERROR(INDEX(Features_Motor!$F:$F,MATCH($A30,Features_Motor!$A:$A,0)),"n/a")</f>
        <v>Test</v>
      </c>
      <c r="F30" s="15" t="str">
        <f aca="false">IFERROR(INDEX(Features_Buildings!$F:$F,MATCH($A30,Features_Buildings!$A:$A,0)),"n/a")</f>
        <v>n/a</v>
      </c>
      <c r="G30" s="15" t="str">
        <f aca="false">IFERROR(INDEX(Features_Contents!$F:$F,MATCH($A30,Features_Contents!$A:$A,0)),"n/a")</f>
        <v>n/a</v>
      </c>
      <c r="H30" s="1"/>
    </row>
    <row r="31" ht="23.85" customHeight="1">
      <c r="A31" s="1" t="s">
        <v>251</v>
      </c>
      <c r="B31" s="1" t="s">
        <v>202</v>
      </c>
      <c r="C31" s="1" t="s">
        <v>252</v>
      </c>
      <c r="D31" s="1" t="s">
        <v>253</v>
      </c>
      <c r="E31" s="15" t="str">
        <f aca="false">IFERROR(INDEX(Features_Motor!$F:$F,MATCH($A31,Features_Motor!$A:$A,0)),"n/a")</f>
        <v>Exclude</v>
      </c>
      <c r="F31" s="15" t="str">
        <f aca="false">IFERROR(INDEX(Features_Buildings!$F:$F,MATCH($A31,Features_Buildings!$A:$A,0)),"n/a")</f>
        <v>n/a</v>
      </c>
      <c r="G31" s="15" t="str">
        <f aca="false">IFERROR(INDEX(Features_Contents!$F:$F,MATCH($A31,Features_Contents!$A:$A,0)),"n/a")</f>
        <v>n/a</v>
      </c>
      <c r="H31" s="1" t="s">
        <v>257</v>
      </c>
    </row>
    <row r="32" ht="15" customHeight="1">
      <c r="A32" s="1" t="s">
        <v>258</v>
      </c>
      <c r="B32" s="1" t="s">
        <v>202</v>
      </c>
      <c r="C32" s="1" t="s">
        <v>259</v>
      </c>
      <c r="D32" s="1" t="s">
        <v>260</v>
      </c>
      <c r="E32" s="15" t="str">
        <f aca="false">IFERROR(INDEX(Features_Motor!$F:$F,MATCH($A32,Features_Motor!$A:$A,0)),"n/a")</f>
        <v>Test</v>
      </c>
      <c r="F32" s="15" t="str">
        <f aca="false">IFERROR(INDEX(Features_Buildings!$F:$F,MATCH($A32,Features_Buildings!$A:$A,0)),"n/a")</f>
        <v>n/a</v>
      </c>
      <c r="G32" s="15" t="str">
        <f aca="false">IFERROR(INDEX(Features_Contents!$F:$F,MATCH($A32,Features_Contents!$A:$A,0)),"n/a")</f>
        <v>n/a</v>
      </c>
      <c r="H32" s="1"/>
    </row>
    <row r="33" ht="15" customHeight="1">
      <c r="A33" s="1" t="s">
        <v>262</v>
      </c>
      <c r="B33" s="1" t="s">
        <v>202</v>
      </c>
      <c r="C33" s="1" t="s">
        <v>264</v>
      </c>
      <c r="D33" s="1" t="s">
        <v>265</v>
      </c>
      <c r="E33" s="15" t="str">
        <f aca="false">IFERROR(INDEX(Features_Motor!$F:$F,MATCH($A33,Features_Motor!$A:$A,0)),"n/a")</f>
        <v>Include</v>
      </c>
      <c r="F33" s="15" t="str">
        <f aca="false">IFERROR(INDEX(Features_Buildings!$F:$F,MATCH($A33,Features_Buildings!$A:$A,0)),"n/a")</f>
        <v>n/a</v>
      </c>
      <c r="G33" s="15" t="str">
        <f aca="false">IFERROR(INDEX(Features_Contents!$F:$F,MATCH($A33,Features_Contents!$A:$A,0)),"n/a")</f>
        <v>n/a</v>
      </c>
      <c r="H33" s="1"/>
    </row>
    <row r="34" ht="23.85" customHeight="1">
      <c r="A34" s="1" t="s">
        <v>267</v>
      </c>
      <c r="B34" s="1" t="s">
        <v>202</v>
      </c>
      <c r="C34" s="1" t="s">
        <v>268</v>
      </c>
      <c r="D34" s="1" t="s">
        <v>269</v>
      </c>
      <c r="E34" s="15" t="str">
        <f aca="false">IFERROR(INDEX(Features_Motor!$F:$F,MATCH($A34,Features_Motor!$A:$A,0)),"n/a")</f>
        <v>Include</v>
      </c>
      <c r="F34" s="15" t="str">
        <f aca="false">IFERROR(INDEX(Features_Buildings!$F:$F,MATCH($A34,Features_Buildings!$A:$A,0)),"n/a")</f>
        <v>n/a</v>
      </c>
      <c r="G34" s="15" t="str">
        <f aca="false">IFERROR(INDEX(Features_Contents!$F:$F,MATCH($A34,Features_Contents!$A:$A,0)),"n/a")</f>
        <v>n/a</v>
      </c>
      <c r="H34" s="1" t="s">
        <v>271</v>
      </c>
    </row>
    <row r="35" ht="15" customHeight="1">
      <c r="A35" s="1" t="s">
        <v>272</v>
      </c>
      <c r="B35" s="1" t="s">
        <v>202</v>
      </c>
      <c r="C35" s="1" t="s">
        <v>273</v>
      </c>
      <c r="D35" s="1" t="s">
        <v>274</v>
      </c>
      <c r="E35" s="15" t="str">
        <f aca="false">IFERROR(INDEX(Features_Motor!$F:$F,MATCH($A35,Features_Motor!$A:$A,0)),"n/a")</f>
        <v>Include</v>
      </c>
      <c r="F35" s="15" t="str">
        <f aca="false">IFERROR(INDEX(Features_Buildings!$F:$F,MATCH($A35,Features_Buildings!$A:$A,0)),"n/a")</f>
        <v>n/a</v>
      </c>
      <c r="G35" s="15" t="str">
        <f aca="false">IFERROR(INDEX(Features_Contents!$F:$F,MATCH($A35,Features_Contents!$A:$A,0)),"n/a")</f>
        <v>n/a</v>
      </c>
      <c r="H35" s="1"/>
    </row>
    <row r="36" ht="15" customHeight="1">
      <c r="A36" s="1" t="s">
        <v>276</v>
      </c>
      <c r="B36" s="1" t="s">
        <v>202</v>
      </c>
      <c r="C36" s="1" t="s">
        <v>277</v>
      </c>
      <c r="D36" s="1" t="s">
        <v>278</v>
      </c>
      <c r="E36" s="15" t="str">
        <f aca="false">IFERROR(INDEX(Features_Motor!$F:$F,MATCH($A36,Features_Motor!$A:$A,0)),"n/a")</f>
        <v>Include</v>
      </c>
      <c r="F36" s="15" t="str">
        <f aca="false">IFERROR(INDEX(Features_Buildings!$F:$F,MATCH($A36,Features_Buildings!$A:$A,0)),"n/a")</f>
        <v>n/a</v>
      </c>
      <c r="G36" s="15" t="str">
        <f aca="false">IFERROR(INDEX(Features_Contents!$F:$F,MATCH($A36,Features_Contents!$A:$A,0)),"n/a")</f>
        <v>n/a</v>
      </c>
      <c r="H36" s="1"/>
    </row>
    <row r="37" ht="15" customHeight="1">
      <c r="A37" s="1" t="s">
        <v>280</v>
      </c>
      <c r="B37" s="1" t="s">
        <v>202</v>
      </c>
      <c r="C37" s="1" t="s">
        <v>281</v>
      </c>
      <c r="D37" s="1" t="s">
        <v>282</v>
      </c>
      <c r="E37" s="15" t="str">
        <f aca="false">IFERROR(INDEX(Features_Motor!$F:$F,MATCH($A37,Features_Motor!$A:$A,0)),"n/a")</f>
        <v>Include</v>
      </c>
      <c r="F37" s="15" t="str">
        <f aca="false">IFERROR(INDEX(Features_Buildings!$F:$F,MATCH($A37,Features_Buildings!$A:$A,0)),"n/a")</f>
        <v>n/a</v>
      </c>
      <c r="G37" s="15" t="str">
        <f aca="false">IFERROR(INDEX(Features_Contents!$F:$F,MATCH($A37,Features_Contents!$A:$A,0)),"n/a")</f>
        <v>n/a</v>
      </c>
      <c r="H37" s="1"/>
    </row>
    <row r="38" ht="15" customHeight="1">
      <c r="A38" s="1" t="s">
        <v>283</v>
      </c>
      <c r="B38" s="1" t="s">
        <v>202</v>
      </c>
      <c r="C38" s="1" t="s">
        <v>285</v>
      </c>
      <c r="D38" s="1" t="s">
        <v>205</v>
      </c>
      <c r="E38" s="15" t="str">
        <f aca="false">IFERROR(INDEX(Features_Motor!$F:$F,MATCH($A38,Features_Motor!$A:$A,0)),"n/a")</f>
        <v>Include</v>
      </c>
      <c r="F38" s="15" t="str">
        <f aca="false">IFERROR(INDEX(Features_Buildings!$F:$F,MATCH($A38,Features_Buildings!$A:$A,0)),"n/a")</f>
        <v>n/a</v>
      </c>
      <c r="G38" s="15" t="str">
        <f aca="false">IFERROR(INDEX(Features_Contents!$F:$F,MATCH($A38,Features_Contents!$A:$A,0)),"n/a")</f>
        <v>n/a</v>
      </c>
      <c r="H38" s="1"/>
    </row>
    <row r="39" ht="15" customHeight="1">
      <c r="A39" s="1" t="s">
        <v>287</v>
      </c>
      <c r="B39" s="1" t="s">
        <v>202</v>
      </c>
      <c r="C39" s="1" t="s">
        <v>288</v>
      </c>
      <c r="D39" s="1" t="s">
        <v>289</v>
      </c>
      <c r="E39" s="15" t="str">
        <f aca="false">IFERROR(INDEX(Features_Motor!$F:$F,MATCH($A39,Features_Motor!$A:$A,0)),"n/a")</f>
        <v>Test</v>
      </c>
      <c r="F39" s="15" t="str">
        <f aca="false">IFERROR(INDEX(Features_Buildings!$F:$F,MATCH($A39,Features_Buildings!$A:$A,0)),"n/a")</f>
        <v>n/a</v>
      </c>
      <c r="G39" s="15" t="str">
        <f aca="false">IFERROR(INDEX(Features_Contents!$F:$F,MATCH($A39,Features_Contents!$A:$A,0)),"n/a")</f>
        <v>n/a</v>
      </c>
      <c r="H39" s="1"/>
    </row>
    <row r="40" ht="15" customHeight="1">
      <c r="A40" s="1" t="s">
        <v>291</v>
      </c>
      <c r="B40" s="1" t="s">
        <v>202</v>
      </c>
      <c r="C40" s="1" t="s">
        <v>292</v>
      </c>
      <c r="D40" s="1" t="s">
        <v>293</v>
      </c>
      <c r="E40" s="15" t="str">
        <f aca="false">IFERROR(INDEX(Features_Motor!$F:$F,MATCH($A40,Features_Motor!$A:$A,0)),"n/a")</f>
        <v>Test</v>
      </c>
      <c r="F40" s="15" t="str">
        <f aca="false">IFERROR(INDEX(Features_Buildings!$F:$F,MATCH($A40,Features_Buildings!$A:$A,0)),"n/a")</f>
        <v>n/a</v>
      </c>
      <c r="G40" s="15" t="str">
        <f aca="false">IFERROR(INDEX(Features_Contents!$F:$F,MATCH($A40,Features_Contents!$A:$A,0)),"n/a")</f>
        <v>n/a</v>
      </c>
      <c r="H40" s="1" t="s">
        <v>295</v>
      </c>
    </row>
    <row r="41" ht="23.85" customHeight="1">
      <c r="A41" s="1" t="s">
        <v>503</v>
      </c>
      <c r="B41" s="1" t="s">
        <v>504</v>
      </c>
      <c r="C41" s="1" t="s">
        <v>505</v>
      </c>
      <c r="D41" s="1" t="s">
        <v>506</v>
      </c>
      <c r="E41" s="15" t="str">
        <f aca="false">IFERROR(INDEX(Features_Motor!$F:$F,MATCH($A41,Features_Motor!$A:$A,0)),"n/a")</f>
        <v>n/a</v>
      </c>
      <c r="F41" s="15" t="str">
        <f aca="false">IFERROR(INDEX(Features_Buildings!$F:$F,MATCH($A41,Features_Buildings!$A:$A,0)),"n/a")</f>
        <v>Test</v>
      </c>
      <c r="G41" s="15" t="str">
        <f aca="false">IFERROR(INDEX(Features_Contents!$F:$F,MATCH($A41,Features_Contents!$A:$A,0)),"n/a")</f>
        <v>Test</v>
      </c>
      <c r="H41" s="1" t="s">
        <v>507</v>
      </c>
    </row>
    <row r="42" ht="15" customHeight="1">
      <c r="A42" s="1" t="s">
        <v>508</v>
      </c>
      <c r="B42" s="1" t="s">
        <v>504</v>
      </c>
      <c r="C42" s="1" t="s">
        <v>509</v>
      </c>
      <c r="D42" s="1" t="s">
        <v>510</v>
      </c>
      <c r="E42" s="15" t="str">
        <f aca="false">IFERROR(INDEX(Features_Motor!$F:$F,MATCH($A42,Features_Motor!$A:$A,0)),"n/a")</f>
        <v>n/a</v>
      </c>
      <c r="F42" s="15" t="str">
        <f aca="false">IFERROR(INDEX(Features_Buildings!$F:$F,MATCH($A42,Features_Buildings!$A:$A,0)),"n/a")</f>
        <v>Include</v>
      </c>
      <c r="G42" s="15" t="str">
        <f aca="false">IFERROR(INDEX(Features_Contents!$F:$F,MATCH($A42,Features_Contents!$A:$A,0)),"n/a")</f>
        <v>Include</v>
      </c>
      <c r="H42" s="1"/>
    </row>
    <row r="43" ht="15" customHeight="1">
      <c r="A43" s="1" t="s">
        <v>140</v>
      </c>
      <c r="B43" s="1" t="s">
        <v>512</v>
      </c>
      <c r="C43" s="1" t="s">
        <v>513</v>
      </c>
      <c r="D43" s="1" t="s">
        <v>514</v>
      </c>
      <c r="E43" s="15" t="str">
        <f aca="false">IFERROR(INDEX(Features_Motor!$F:$F,MATCH($A43,Features_Motor!$A:$A,0)),"n/a")</f>
        <v>n/a</v>
      </c>
      <c r="F43" s="15" t="str">
        <f aca="false">IFERROR(INDEX(Features_Buildings!$F:$F,MATCH($A43,Features_Buildings!$A:$A,0)),"n/a")</f>
        <v>Include</v>
      </c>
      <c r="G43" s="15" t="str">
        <f aca="false">IFERROR(INDEX(Features_Contents!$F:$F,MATCH($A43,Features_Contents!$A:$A,0)),"n/a")</f>
        <v>n/a</v>
      </c>
      <c r="H43" s="1" t="s">
        <v>516</v>
      </c>
    </row>
    <row r="44" ht="15" customHeight="1">
      <c r="A44" s="1" t="s">
        <v>517</v>
      </c>
      <c r="B44" s="1" t="s">
        <v>512</v>
      </c>
      <c r="C44" s="1" t="s">
        <v>518</v>
      </c>
      <c r="D44" s="1" t="s">
        <v>519</v>
      </c>
      <c r="E44" s="15" t="str">
        <f aca="false">IFERROR(INDEX(Features_Motor!$F:$F,MATCH($A44,Features_Motor!$A:$A,0)),"n/a")</f>
        <v>n/a</v>
      </c>
      <c r="F44" s="15" t="str">
        <f aca="false">IFERROR(INDEX(Features_Buildings!$F:$F,MATCH($A44,Features_Buildings!$A:$A,0)),"n/a")</f>
        <v>Include</v>
      </c>
      <c r="G44" s="15" t="str">
        <f aca="false">IFERROR(INDEX(Features_Contents!$F:$F,MATCH($A44,Features_Contents!$A:$A,0)),"n/a")</f>
        <v>n/a</v>
      </c>
      <c r="H44" s="1"/>
    </row>
    <row r="45" ht="15" customHeight="1">
      <c r="A45" s="1" t="s">
        <v>521</v>
      </c>
      <c r="B45" s="1" t="s">
        <v>512</v>
      </c>
      <c r="C45" s="1" t="s">
        <v>522</v>
      </c>
      <c r="D45" s="1" t="s">
        <v>523</v>
      </c>
      <c r="E45" s="15" t="str">
        <f aca="false">IFERROR(INDEX(Features_Motor!$F:$F,MATCH($A45,Features_Motor!$A:$A,0)),"n/a")</f>
        <v>n/a</v>
      </c>
      <c r="F45" s="15" t="str">
        <f aca="false">IFERROR(INDEX(Features_Buildings!$F:$F,MATCH($A45,Features_Buildings!$A:$A,0)),"n/a")</f>
        <v>Include</v>
      </c>
      <c r="G45" s="15" t="str">
        <f aca="false">IFERROR(INDEX(Features_Contents!$F:$F,MATCH($A45,Features_Contents!$A:$A,0)),"n/a")</f>
        <v>n/a</v>
      </c>
      <c r="H45" s="1"/>
    </row>
    <row r="46" ht="15" customHeight="1">
      <c r="A46" s="1" t="s">
        <v>525</v>
      </c>
      <c r="B46" s="1" t="s">
        <v>512</v>
      </c>
      <c r="C46" s="1" t="s">
        <v>526</v>
      </c>
      <c r="D46" s="1" t="s">
        <v>527</v>
      </c>
      <c r="E46" s="15" t="str">
        <f aca="false">IFERROR(INDEX(Features_Motor!$F:$F,MATCH($A46,Features_Motor!$A:$A,0)),"n/a")</f>
        <v>n/a</v>
      </c>
      <c r="F46" s="15" t="str">
        <f aca="false">IFERROR(INDEX(Features_Buildings!$F:$F,MATCH($A46,Features_Buildings!$A:$A,0)),"n/a")</f>
        <v>Include</v>
      </c>
      <c r="G46" s="15" t="str">
        <f aca="false">IFERROR(INDEX(Features_Contents!$F:$F,MATCH($A46,Features_Contents!$A:$A,0)),"n/a")</f>
        <v>n/a</v>
      </c>
      <c r="H46" s="1"/>
    </row>
    <row r="47" ht="23.85" customHeight="1">
      <c r="A47" s="1" t="s">
        <v>529</v>
      </c>
      <c r="B47" s="1" t="s">
        <v>504</v>
      </c>
      <c r="C47" s="1" t="s">
        <v>530</v>
      </c>
      <c r="D47" s="1" t="s">
        <v>531</v>
      </c>
      <c r="E47" s="15" t="str">
        <f aca="false">IFERROR(INDEX(Features_Motor!$F:$F,MATCH($A47,Features_Motor!$A:$A,0)),"n/a")</f>
        <v>n/a</v>
      </c>
      <c r="F47" s="15" t="str">
        <f aca="false">IFERROR(INDEX(Features_Buildings!$F:$F,MATCH($A47,Features_Buildings!$A:$A,0)),"n/a")</f>
        <v>Include</v>
      </c>
      <c r="G47" s="15" t="str">
        <f aca="false">IFERROR(INDEX(Features_Contents!$F:$F,MATCH($A47,Features_Contents!$A:$A,0)),"n/a")</f>
        <v>Include</v>
      </c>
      <c r="H47" s="1" t="s">
        <v>533</v>
      </c>
    </row>
    <row r="48" ht="15" customHeight="1">
      <c r="A48" s="1" t="s">
        <v>534</v>
      </c>
      <c r="B48" s="1" t="s">
        <v>512</v>
      </c>
      <c r="C48" s="1" t="s">
        <v>535</v>
      </c>
      <c r="D48" s="1" t="s">
        <v>536</v>
      </c>
      <c r="E48" s="15" t="str">
        <f aca="false">IFERROR(INDEX(Features_Motor!$F:$F,MATCH($A48,Features_Motor!$A:$A,0)),"n/a")</f>
        <v>n/a</v>
      </c>
      <c r="F48" s="15" t="str">
        <f aca="false">IFERROR(INDEX(Features_Buildings!$F:$F,MATCH($A48,Features_Buildings!$A:$A,0)),"n/a")</f>
        <v>Exclude</v>
      </c>
      <c r="G48" s="15" t="str">
        <f aca="false">IFERROR(INDEX(Features_Contents!$F:$F,MATCH($A48,Features_Contents!$A:$A,0)),"n/a")</f>
        <v>n/a</v>
      </c>
      <c r="H48" s="1" t="s">
        <v>537</v>
      </c>
    </row>
    <row r="49" ht="15" customHeight="1">
      <c r="A49" s="1" t="s">
        <v>575</v>
      </c>
      <c r="B49" s="1" t="s">
        <v>576</v>
      </c>
      <c r="C49" s="1" t="s">
        <v>577</v>
      </c>
      <c r="D49" s="1" t="s">
        <v>578</v>
      </c>
      <c r="E49" s="15" t="str">
        <f aca="false">IFERROR(INDEX(Features_Motor!$F:$F,MATCH($A49,Features_Motor!$A:$A,0)),"n/a")</f>
        <v>n/a</v>
      </c>
      <c r="F49" s="15" t="str">
        <f aca="false">IFERROR(INDEX(Features_Buildings!$F:$F,MATCH($A49,Features_Buildings!$A:$A,0)),"n/a")</f>
        <v>n/a</v>
      </c>
      <c r="G49" s="15" t="str">
        <f aca="false">IFERROR(INDEX(Features_Contents!$F:$F,MATCH($A49,Features_Contents!$A:$A,0)),"n/a")</f>
        <v>Include</v>
      </c>
      <c r="H49" s="1"/>
    </row>
    <row r="50" ht="15" customHeight="1">
      <c r="A50" s="1" t="s">
        <v>580</v>
      </c>
      <c r="B50" s="1" t="s">
        <v>576</v>
      </c>
      <c r="C50" s="1" t="s">
        <v>581</v>
      </c>
      <c r="D50" s="1" t="s">
        <v>582</v>
      </c>
      <c r="E50" s="15" t="str">
        <f aca="false">IFERROR(INDEX(Features_Motor!$F:$F,MATCH($A50,Features_Motor!$A:$A,0)),"n/a")</f>
        <v>n/a</v>
      </c>
      <c r="F50" s="15" t="str">
        <f aca="false">IFERROR(INDEX(Features_Buildings!$F:$F,MATCH($A50,Features_Buildings!$A:$A,0)),"n/a")</f>
        <v>n/a</v>
      </c>
      <c r="G50" s="15" t="str">
        <f aca="false">IFERROR(INDEX(Features_Contents!$F:$F,MATCH($A50,Features_Contents!$A:$A,0)),"n/a")</f>
        <v>Include</v>
      </c>
      <c r="H50" s="1"/>
    </row>
    <row r="51" ht="15" customHeight="1">
      <c r="A51" s="1" t="s">
        <v>583</v>
      </c>
      <c r="B51" s="1" t="s">
        <v>576</v>
      </c>
      <c r="C51" s="1" t="s">
        <v>584</v>
      </c>
      <c r="D51" s="1" t="s">
        <v>585</v>
      </c>
      <c r="E51" s="15" t="str">
        <f aca="false">IFERROR(INDEX(Features_Motor!$F:$F,MATCH($A51,Features_Motor!$A:$A,0)),"n/a")</f>
        <v>n/a</v>
      </c>
      <c r="F51" s="15" t="str">
        <f aca="false">IFERROR(INDEX(Features_Buildings!$F:$F,MATCH($A51,Features_Buildings!$A:$A,0)),"n/a")</f>
        <v>n/a</v>
      </c>
      <c r="G51" s="15" t="str">
        <f aca="false">IFERROR(INDEX(Features_Contents!$F:$F,MATCH($A51,Features_Contents!$A:$A,0)),"n/a")</f>
        <v>Include</v>
      </c>
      <c r="H51" s="1"/>
    </row>
    <row r="52" ht="15" customHeight="1">
      <c r="A52" s="1" t="s">
        <v>587</v>
      </c>
      <c r="B52" s="1" t="s">
        <v>576</v>
      </c>
      <c r="C52" s="1" t="s">
        <v>588</v>
      </c>
      <c r="D52" s="1" t="s">
        <v>589</v>
      </c>
      <c r="E52" s="15" t="str">
        <f aca="false">IFERROR(INDEX(Features_Motor!$F:$F,MATCH($A52,Features_Motor!$A:$A,0)),"n/a")</f>
        <v>n/a</v>
      </c>
      <c r="F52" s="15" t="str">
        <f aca="false">IFERROR(INDEX(Features_Buildings!$F:$F,MATCH($A52,Features_Buildings!$A:$A,0)),"n/a")</f>
        <v>n/a</v>
      </c>
      <c r="G52" s="15" t="str">
        <f aca="false">IFERROR(INDEX(Features_Contents!$F:$F,MATCH($A52,Features_Contents!$A:$A,0)),"n/a")</f>
        <v>Test</v>
      </c>
      <c r="H52" s="1"/>
    </row>
    <row r="53" ht="15" customHeight="1">
      <c r="A53" s="1" t="s">
        <v>591</v>
      </c>
      <c r="B53" s="1" t="s">
        <v>576</v>
      </c>
      <c r="C53" s="1" t="s">
        <v>592</v>
      </c>
      <c r="D53" s="1" t="s">
        <v>593</v>
      </c>
      <c r="E53" s="15" t="str">
        <f aca="false">IFERROR(INDEX(Features_Motor!$F:$F,MATCH($A53,Features_Motor!$A:$A,0)),"n/a")</f>
        <v>n/a</v>
      </c>
      <c r="F53" s="15" t="str">
        <f aca="false">IFERROR(INDEX(Features_Buildings!$F:$F,MATCH($A53,Features_Buildings!$A:$A,0)),"n/a")</f>
        <v>n/a</v>
      </c>
      <c r="G53" s="15" t="str">
        <f aca="false">IFERROR(INDEX(Features_Contents!$F:$F,MATCH($A53,Features_Contents!$A:$A,0)),"n/a")</f>
        <v>Test</v>
      </c>
      <c r="H53" s="1"/>
    </row>
    <row r="54" ht="15" customHeight="1">
      <c r="A54" s="1" t="s">
        <v>595</v>
      </c>
      <c r="B54" s="1" t="s">
        <v>576</v>
      </c>
      <c r="C54" s="1" t="s">
        <v>596</v>
      </c>
      <c r="D54" s="1" t="s">
        <v>597</v>
      </c>
      <c r="E54" s="15" t="str">
        <f aca="false">IFERROR(INDEX(Features_Motor!$F:$F,MATCH($A54,Features_Motor!$A:$A,0)),"n/a")</f>
        <v>n/a</v>
      </c>
      <c r="F54" s="15" t="str">
        <f aca="false">IFERROR(INDEX(Features_Buildings!$F:$F,MATCH($A54,Features_Buildings!$A:$A,0)),"n/a")</f>
        <v>n/a</v>
      </c>
      <c r="G54" s="15" t="str">
        <f aca="false">IFERROR(INDEX(Features_Contents!$F:$F,MATCH($A54,Features_Contents!$A:$A,0)),"n/a")</f>
        <v>Include</v>
      </c>
      <c r="H54" s="1"/>
    </row>
    <row r="55" ht="15" customHeight="1">
      <c r="A55" s="1" t="s">
        <v>296</v>
      </c>
      <c r="B55" s="1" t="s">
        <v>297</v>
      </c>
      <c r="C55" s="1" t="s">
        <v>298</v>
      </c>
      <c r="D55" s="1" t="s">
        <v>299</v>
      </c>
      <c r="E55" s="15" t="str">
        <f aca="false">IFERROR(INDEX(Features_Motor!$F:$F,MATCH($A55,Features_Motor!$A:$A,0)),"n/a")</f>
        <v>Include</v>
      </c>
      <c r="F55" s="15" t="str">
        <f aca="false">IFERROR(INDEX(Features_Buildings!$F:$F,MATCH($A55,Features_Buildings!$A:$A,0)),"n/a")</f>
        <v>Include</v>
      </c>
      <c r="G55" s="15" t="str">
        <f aca="false">IFERROR(INDEX(Features_Contents!$F:$F,MATCH($A55,Features_Contents!$A:$A,0)),"n/a")</f>
        <v>Include</v>
      </c>
      <c r="H55" s="1" t="s">
        <v>301</v>
      </c>
    </row>
    <row r="56" ht="15" customHeight="1">
      <c r="A56" s="1" t="s">
        <v>302</v>
      </c>
      <c r="B56" s="1" t="s">
        <v>297</v>
      </c>
      <c r="C56" s="1" t="s">
        <v>303</v>
      </c>
      <c r="D56" s="1" t="s">
        <v>304</v>
      </c>
      <c r="E56" s="15" t="str">
        <f aca="false">IFERROR(INDEX(Features_Motor!$F:$F,MATCH($A56,Features_Motor!$A:$A,0)),"n/a")</f>
        <v>Include</v>
      </c>
      <c r="F56" s="15" t="str">
        <f aca="false">IFERROR(INDEX(Features_Buildings!$F:$F,MATCH($A56,Features_Buildings!$A:$A,0)),"n/a")</f>
        <v>Include</v>
      </c>
      <c r="G56" s="15" t="str">
        <f aca="false">IFERROR(INDEX(Features_Contents!$F:$F,MATCH($A56,Features_Contents!$A:$A,0)),"n/a")</f>
        <v>Include</v>
      </c>
      <c r="H56" s="1"/>
    </row>
    <row r="57" ht="15" customHeight="1">
      <c r="A57" s="1" t="s">
        <v>306</v>
      </c>
      <c r="B57" s="1" t="s">
        <v>297</v>
      </c>
      <c r="C57" s="1" t="s">
        <v>307</v>
      </c>
      <c r="D57" s="1" t="s">
        <v>308</v>
      </c>
      <c r="E57" s="15" t="str">
        <f aca="false">IFERROR(INDEX(Features_Motor!$F:$F,MATCH($A57,Features_Motor!$A:$A,0)),"n/a")</f>
        <v>Test</v>
      </c>
      <c r="F57" s="15" t="str">
        <f aca="false">IFERROR(INDEX(Features_Buildings!$F:$F,MATCH($A57,Features_Buildings!$A:$A,0)),"n/a")</f>
        <v>Test</v>
      </c>
      <c r="G57" s="15" t="str">
        <f aca="false">IFERROR(INDEX(Features_Contents!$F:$F,MATCH($A57,Features_Contents!$A:$A,0)),"n/a")</f>
        <v>Test</v>
      </c>
      <c r="H57" s="1"/>
    </row>
    <row r="58" ht="15" customHeight="1">
      <c r="A58" s="1" t="s">
        <v>310</v>
      </c>
      <c r="B58" s="1" t="s">
        <v>297</v>
      </c>
      <c r="C58" s="1" t="s">
        <v>311</v>
      </c>
      <c r="D58" s="1" t="s">
        <v>312</v>
      </c>
      <c r="E58" s="15" t="str">
        <f aca="false">IFERROR(INDEX(Features_Motor!$F:$F,MATCH($A58,Features_Motor!$A:$A,0)),"n/a")</f>
        <v>Test</v>
      </c>
      <c r="F58" s="15" t="str">
        <f aca="false">IFERROR(INDEX(Features_Buildings!$F:$F,MATCH($A58,Features_Buildings!$A:$A,0)),"n/a")</f>
        <v>Test</v>
      </c>
      <c r="G58" s="15" t="str">
        <f aca="false">IFERROR(INDEX(Features_Contents!$F:$F,MATCH($A58,Features_Contents!$A:$A,0)),"n/a")</f>
        <v>Test</v>
      </c>
      <c r="H58" s="1" t="s">
        <v>313</v>
      </c>
    </row>
    <row r="59" ht="15" customHeight="1">
      <c r="A59" s="1" t="s">
        <v>314</v>
      </c>
      <c r="B59" s="1" t="s">
        <v>297</v>
      </c>
      <c r="C59" s="1" t="s">
        <v>315</v>
      </c>
      <c r="D59" s="1" t="s">
        <v>312</v>
      </c>
      <c r="E59" s="15" t="str">
        <f aca="false">IFERROR(INDEX(Features_Motor!$F:$F,MATCH($A59,Features_Motor!$A:$A,0)),"n/a")</f>
        <v>Test</v>
      </c>
      <c r="F59" s="15" t="str">
        <f aca="false">IFERROR(INDEX(Features_Buildings!$F:$F,MATCH($A59,Features_Buildings!$A:$A,0)),"n/a")</f>
        <v>Test</v>
      </c>
      <c r="G59" s="15" t="str">
        <f aca="false">IFERROR(INDEX(Features_Contents!$F:$F,MATCH($A59,Features_Contents!$A:$A,0)),"n/a")</f>
        <v>Test</v>
      </c>
      <c r="H59" s="1" t="s">
        <v>313</v>
      </c>
    </row>
    <row r="60" ht="15" customHeight="1">
      <c r="A60" s="1" t="s">
        <v>316</v>
      </c>
      <c r="B60" s="1" t="s">
        <v>297</v>
      </c>
      <c r="C60" s="1" t="s">
        <v>317</v>
      </c>
      <c r="D60" s="1" t="s">
        <v>318</v>
      </c>
      <c r="E60" s="15" t="str">
        <f aca="false">IFERROR(INDEX(Features_Motor!$F:$F,MATCH($A60,Features_Motor!$A:$A,0)),"n/a")</f>
        <v>Test</v>
      </c>
      <c r="F60" s="15" t="str">
        <f aca="false">IFERROR(INDEX(Features_Buildings!$F:$F,MATCH($A60,Features_Buildings!$A:$A,0)),"n/a")</f>
        <v>Test</v>
      </c>
      <c r="G60" s="15" t="str">
        <f aca="false">IFERROR(INDEX(Features_Contents!$F:$F,MATCH($A60,Features_Contents!$A:$A,0)),"n/a")</f>
        <v>Test</v>
      </c>
      <c r="H60" s="1"/>
    </row>
    <row r="61" ht="15" customHeight="1">
      <c r="A61" s="1" t="s">
        <v>320</v>
      </c>
      <c r="B61" s="1" t="s">
        <v>297</v>
      </c>
      <c r="C61" s="1" t="s">
        <v>321</v>
      </c>
      <c r="D61" s="1" t="s">
        <v>322</v>
      </c>
      <c r="E61" s="15" t="str">
        <f aca="false">IFERROR(INDEX(Features_Motor!$F:$F,MATCH($A61,Features_Motor!$A:$A,0)),"n/a")</f>
        <v>Test</v>
      </c>
      <c r="F61" s="15" t="str">
        <f aca="false">IFERROR(INDEX(Features_Buildings!$F:$F,MATCH($A61,Features_Buildings!$A:$A,0)),"n/a")</f>
        <v>Test</v>
      </c>
      <c r="G61" s="15" t="str">
        <f aca="false">IFERROR(INDEX(Features_Contents!$F:$F,MATCH($A61,Features_Contents!$A:$A,0)),"n/a")</f>
        <v>Test</v>
      </c>
      <c r="H61" s="1" t="s">
        <v>324</v>
      </c>
    </row>
    <row r="62" ht="15" customHeight="1">
      <c r="A62" s="1" t="s">
        <v>325</v>
      </c>
      <c r="B62" s="1" t="s">
        <v>297</v>
      </c>
      <c r="C62" s="1" t="s">
        <v>326</v>
      </c>
      <c r="D62" s="1" t="s">
        <v>327</v>
      </c>
      <c r="E62" s="15" t="str">
        <f aca="false">IFERROR(INDEX(Features_Motor!$F:$F,MATCH($A62,Features_Motor!$A:$A,0)),"n/a")</f>
        <v>Test</v>
      </c>
      <c r="F62" s="15" t="str">
        <f aca="false">IFERROR(INDEX(Features_Buildings!$F:$F,MATCH($A62,Features_Buildings!$A:$A,0)),"n/a")</f>
        <v>Test</v>
      </c>
      <c r="G62" s="15" t="str">
        <f aca="false">IFERROR(INDEX(Features_Contents!$F:$F,MATCH($A62,Features_Contents!$A:$A,0)),"n/a")</f>
        <v>Test</v>
      </c>
      <c r="H62" s="1"/>
    </row>
    <row r="63" ht="15" customHeight="1">
      <c r="A63" s="1" t="s">
        <v>329</v>
      </c>
      <c r="B63" s="1" t="s">
        <v>297</v>
      </c>
      <c r="C63" s="1" t="s">
        <v>330</v>
      </c>
      <c r="D63" s="1" t="s">
        <v>331</v>
      </c>
      <c r="E63" s="15" t="str">
        <f aca="false">IFERROR(INDEX(Features_Motor!$F:$F,MATCH($A63,Features_Motor!$A:$A,0)),"n/a")</f>
        <v>Exclude</v>
      </c>
      <c r="F63" s="15" t="str">
        <f aca="false">IFERROR(INDEX(Features_Buildings!$F:$F,MATCH($A63,Features_Buildings!$A:$A,0)),"n/a")</f>
        <v>Exclude</v>
      </c>
      <c r="G63" s="15" t="str">
        <f aca="false">IFERROR(INDEX(Features_Contents!$F:$F,MATCH($A63,Features_Contents!$A:$A,0)),"n/a")</f>
        <v>Exclude</v>
      </c>
      <c r="H63" s="1" t="s">
        <v>333</v>
      </c>
    </row>
    <row r="64" ht="23.85" customHeight="1">
      <c r="A64" s="1" t="s">
        <v>174</v>
      </c>
      <c r="B64" s="1" t="s">
        <v>297</v>
      </c>
      <c r="C64" s="1" t="s">
        <v>334</v>
      </c>
      <c r="D64" s="1" t="s">
        <v>335</v>
      </c>
      <c r="E64" s="15" t="str">
        <f aca="false">IFERROR(INDEX(Features_Motor!$F:$F,MATCH($A64,Features_Motor!$A:$A,0)),"n/a")</f>
        <v>Exclude</v>
      </c>
      <c r="F64" s="15" t="str">
        <f aca="false">IFERROR(INDEX(Features_Buildings!$F:$F,MATCH($A64,Features_Buildings!$A:$A,0)),"n/a")</f>
        <v>Exclude</v>
      </c>
      <c r="G64" s="15" t="str">
        <f aca="false">IFERROR(INDEX(Features_Contents!$F:$F,MATCH($A64,Features_Contents!$A:$A,0)),"n/a")</f>
        <v>Exclude</v>
      </c>
      <c r="H64" s="1" t="s">
        <v>337</v>
      </c>
    </row>
    <row r="65" ht="15" customHeight="1">
      <c r="A65" s="1" t="s">
        <v>754</v>
      </c>
      <c r="B65" s="1" t="s">
        <v>297</v>
      </c>
      <c r="C65" s="1" t="s">
        <v>755</v>
      </c>
      <c r="D65" s="1" t="s">
        <v>790</v>
      </c>
      <c r="E65" s="15" t="str">
        <f aca="false">IFERROR(INDEX(Features_Motor!$F:$F,MATCH($A65,Features_Motor!$A:$A,0)),"n/a")</f>
        <v>n/a</v>
      </c>
      <c r="F65" s="15" t="str">
        <f aca="false">IFERROR(INDEX(Features_Buildings!$F:$F,MATCH($A65,Features_Buildings!$A:$A,0)),"n/a")</f>
        <v>n/a</v>
      </c>
      <c r="G65" s="15" t="str">
        <f aca="false">IFERROR(INDEX(Features_Contents!$F:$F,MATCH($A65,Features_Contents!$A:$A,0)),"n/a")</f>
        <v>n/a</v>
      </c>
      <c r="H65" s="1" t="s">
        <v>791</v>
      </c>
    </row>
    <row r="66" ht="15" customHeight="1">
      <c r="A66" s="1" t="s">
        <v>338</v>
      </c>
      <c r="B66" s="1" t="s">
        <v>339</v>
      </c>
      <c r="C66" s="1" t="s">
        <v>340</v>
      </c>
      <c r="D66" s="1" t="s">
        <v>341</v>
      </c>
      <c r="E66" s="15" t="str">
        <f aca="false">IFERROR(INDEX(Features_Motor!$F:$F,MATCH($A66,Features_Motor!$A:$A,0)),"n/a")</f>
        <v>Test</v>
      </c>
      <c r="F66" s="15" t="str">
        <f aca="false">IFERROR(INDEX(Features_Buildings!$F:$F,MATCH($A66,Features_Buildings!$A:$A,0)),"n/a")</f>
        <v>Exclude</v>
      </c>
      <c r="G66" s="15" t="str">
        <f aca="false">IFERROR(INDEX(Features_Contents!$F:$F,MATCH($A66,Features_Contents!$A:$A,0)),"n/a")</f>
        <v>Exclude</v>
      </c>
      <c r="H66" s="1" t="s">
        <v>343</v>
      </c>
    </row>
    <row r="67" ht="15" customHeight="1">
      <c r="A67" s="1" t="s">
        <v>344</v>
      </c>
      <c r="B67" s="1" t="s">
        <v>339</v>
      </c>
      <c r="C67" s="1" t="s">
        <v>345</v>
      </c>
      <c r="D67" s="1" t="s">
        <v>346</v>
      </c>
      <c r="E67" s="15" t="str">
        <f aca="false">IFERROR(INDEX(Features_Motor!$F:$F,MATCH($A67,Features_Motor!$A:$A,0)),"n/a")</f>
        <v>Test</v>
      </c>
      <c r="F67" s="15" t="str">
        <f aca="false">IFERROR(INDEX(Features_Buildings!$F:$F,MATCH($A67,Features_Buildings!$A:$A,0)),"n/a")</f>
        <v>Exclude</v>
      </c>
      <c r="G67" s="15" t="str">
        <f aca="false">IFERROR(INDEX(Features_Contents!$F:$F,MATCH($A67,Features_Contents!$A:$A,0)),"n/a")</f>
        <v>Exclude</v>
      </c>
      <c r="H67" s="1" t="s">
        <v>348</v>
      </c>
    </row>
    <row r="68" ht="15" customHeight="1">
      <c r="A68" s="1" t="s">
        <v>349</v>
      </c>
      <c r="B68" s="1" t="s">
        <v>339</v>
      </c>
      <c r="C68" s="1" t="s">
        <v>350</v>
      </c>
      <c r="D68" s="1" t="s">
        <v>351</v>
      </c>
      <c r="E68" s="15" t="str">
        <f aca="false">IFERROR(INDEX(Features_Motor!$F:$F,MATCH($A68,Features_Motor!$A:$A,0)),"n/a")</f>
        <v>Exclude</v>
      </c>
      <c r="F68" s="15" t="str">
        <f aca="false">IFERROR(INDEX(Features_Buildings!$F:$F,MATCH($A68,Features_Buildings!$A:$A,0)),"n/a")</f>
        <v>Test</v>
      </c>
      <c r="G68" s="15" t="str">
        <f aca="false">IFERROR(INDEX(Features_Contents!$F:$F,MATCH($A68,Features_Contents!$A:$A,0)),"n/a")</f>
        <v>Test</v>
      </c>
      <c r="H68" s="1"/>
    </row>
    <row r="69" ht="23.85" customHeight="1">
      <c r="A69" s="1" t="s">
        <v>353</v>
      </c>
      <c r="B69" s="1" t="s">
        <v>339</v>
      </c>
      <c r="C69" s="1" t="s">
        <v>354</v>
      </c>
      <c r="D69" s="1" t="s">
        <v>355</v>
      </c>
      <c r="E69" s="15" t="str">
        <f aca="false">IFERROR(INDEX(Features_Motor!$F:$F,MATCH($A69,Features_Motor!$A:$A,0)),"n/a")</f>
        <v>Test</v>
      </c>
      <c r="F69" s="15" t="str">
        <f aca="false">IFERROR(INDEX(Features_Buildings!$F:$F,MATCH($A69,Features_Buildings!$A:$A,0)),"n/a")</f>
        <v>Test</v>
      </c>
      <c r="G69" s="15" t="str">
        <f aca="false">IFERROR(INDEX(Features_Contents!$F:$F,MATCH($A69,Features_Contents!$A:$A,0)),"n/a")</f>
        <v>Test</v>
      </c>
      <c r="H69" s="1" t="s">
        <v>357</v>
      </c>
    </row>
    <row r="70" ht="15" customHeight="1">
      <c r="A70" s="1" t="s">
        <v>358</v>
      </c>
      <c r="B70" s="1" t="s">
        <v>339</v>
      </c>
      <c r="C70" s="1" t="s">
        <v>359</v>
      </c>
      <c r="D70" s="1" t="s">
        <v>157</v>
      </c>
      <c r="E70" s="15" t="str">
        <f aca="false">IFERROR(INDEX(Features_Motor!$F:$F,MATCH($A70,Features_Motor!$A:$A,0)),"n/a")</f>
        <v>Include</v>
      </c>
      <c r="F70" s="15" t="str">
        <f aca="false">IFERROR(INDEX(Features_Buildings!$F:$F,MATCH($A70,Features_Buildings!$A:$A,0)),"n/a")</f>
        <v>Include</v>
      </c>
      <c r="G70" s="15" t="str">
        <f aca="false">IFERROR(INDEX(Features_Contents!$F:$F,MATCH($A70,Features_Contents!$A:$A,0)),"n/a")</f>
        <v>Include</v>
      </c>
      <c r="H70" s="1"/>
    </row>
    <row r="71" ht="15" customHeight="1">
      <c r="A71" s="1" t="s">
        <v>361</v>
      </c>
      <c r="B71" s="1" t="s">
        <v>339</v>
      </c>
      <c r="C71" s="1" t="s">
        <v>362</v>
      </c>
      <c r="D71" s="1" t="s">
        <v>363</v>
      </c>
      <c r="E71" s="15" t="str">
        <f aca="false">IFERROR(INDEX(Features_Motor!$F:$F,MATCH($A71,Features_Motor!$A:$A,0)),"n/a")</f>
        <v>Include</v>
      </c>
      <c r="F71" s="15" t="str">
        <f aca="false">IFERROR(INDEX(Features_Buildings!$F:$F,MATCH($A71,Features_Buildings!$A:$A,0)),"n/a")</f>
        <v>Exclude</v>
      </c>
      <c r="G71" s="15" t="str">
        <f aca="false">IFERROR(INDEX(Features_Contents!$F:$F,MATCH($A71,Features_Contents!$A:$A,0)),"n/a")</f>
        <v>Exclude</v>
      </c>
      <c r="H71" s="1"/>
    </row>
    <row r="72" ht="15" customHeight="1">
      <c r="A72" s="1" t="s">
        <v>364</v>
      </c>
      <c r="B72" s="1" t="s">
        <v>339</v>
      </c>
      <c r="C72" s="1" t="s">
        <v>365</v>
      </c>
      <c r="D72" s="1" t="s">
        <v>366</v>
      </c>
      <c r="E72" s="15" t="str">
        <f aca="false">IFERROR(INDEX(Features_Motor!$F:$F,MATCH($A72,Features_Motor!$A:$A,0)),"n/a")</f>
        <v>Test</v>
      </c>
      <c r="F72" s="15" t="str">
        <f aca="false">IFERROR(INDEX(Features_Buildings!$F:$F,MATCH($A72,Features_Buildings!$A:$A,0)),"n/a")</f>
        <v>Test</v>
      </c>
      <c r="G72" s="15" t="str">
        <f aca="false">IFERROR(INDEX(Features_Contents!$F:$F,MATCH($A72,Features_Contents!$A:$A,0)),"n/a")</f>
        <v>Test</v>
      </c>
      <c r="H72" s="1"/>
    </row>
    <row r="73" ht="23.85" customHeight="1">
      <c r="A73" s="1" t="s">
        <v>367</v>
      </c>
      <c r="B73" s="1" t="s">
        <v>339</v>
      </c>
      <c r="C73" s="1" t="s">
        <v>368</v>
      </c>
      <c r="D73" s="1" t="s">
        <v>369</v>
      </c>
      <c r="E73" s="15" t="str">
        <f aca="false">IFERROR(INDEX(Features_Motor!$F:$F,MATCH($A73,Features_Motor!$A:$A,0)),"n/a")</f>
        <v>Exclude</v>
      </c>
      <c r="F73" s="15" t="str">
        <f aca="false">IFERROR(INDEX(Features_Buildings!$F:$F,MATCH($A73,Features_Buildings!$A:$A,0)),"n/a")</f>
        <v>Exclude</v>
      </c>
      <c r="G73" s="15" t="str">
        <f aca="false">IFERROR(INDEX(Features_Contents!$F:$F,MATCH($A73,Features_Contents!$A:$A,0)),"n/a")</f>
        <v>Exclude</v>
      </c>
      <c r="H73" s="1" t="s">
        <v>371</v>
      </c>
    </row>
    <row r="74" ht="15" customHeight="1">
      <c r="A74" s="1" t="s">
        <v>372</v>
      </c>
      <c r="B74" s="1" t="s">
        <v>339</v>
      </c>
      <c r="C74" s="1" t="s">
        <v>373</v>
      </c>
      <c r="D74" s="1" t="s">
        <v>253</v>
      </c>
      <c r="E74" s="15" t="str">
        <f aca="false">IFERROR(INDEX(Features_Motor!$F:$F,MATCH($A74,Features_Motor!$A:$A,0)),"n/a")</f>
        <v>Exclude</v>
      </c>
      <c r="F74" s="15" t="str">
        <f aca="false">IFERROR(INDEX(Features_Buildings!$F:$F,MATCH($A74,Features_Buildings!$A:$A,0)),"n/a")</f>
        <v>Exclude</v>
      </c>
      <c r="G74" s="15" t="str">
        <f aca="false">IFERROR(INDEX(Features_Contents!$F:$F,MATCH($A74,Features_Contents!$A:$A,0)),"n/a")</f>
        <v>Exclude</v>
      </c>
      <c r="H74" s="1" t="s">
        <v>375</v>
      </c>
    </row>
    <row r="75" ht="15" customHeight="1">
      <c r="A75" s="1" t="s">
        <v>376</v>
      </c>
      <c r="B75" s="1" t="s">
        <v>339</v>
      </c>
      <c r="C75" s="1" t="s">
        <v>377</v>
      </c>
      <c r="D75" s="1" t="s">
        <v>378</v>
      </c>
      <c r="E75" s="15" t="str">
        <f aca="false">IFERROR(INDEX(Features_Motor!$F:$F,MATCH($A75,Features_Motor!$A:$A,0)),"n/a")</f>
        <v>Exclude</v>
      </c>
      <c r="F75" s="15" t="str">
        <f aca="false">IFERROR(INDEX(Features_Buildings!$F:$F,MATCH($A75,Features_Buildings!$A:$A,0)),"n/a")</f>
        <v>Exclude</v>
      </c>
      <c r="G75" s="15" t="str">
        <f aca="false">IFERROR(INDEX(Features_Contents!$F:$F,MATCH($A75,Features_Contents!$A:$A,0)),"n/a")</f>
        <v>Exclude</v>
      </c>
      <c r="H75" s="1" t="s">
        <v>379</v>
      </c>
    </row>
    <row r="76" ht="15" customHeight="1">
      <c r="A76" s="1" t="s">
        <v>380</v>
      </c>
      <c r="B76" s="1" t="s">
        <v>339</v>
      </c>
      <c r="C76" s="1" t="s">
        <v>381</v>
      </c>
      <c r="D76" s="1" t="s">
        <v>382</v>
      </c>
      <c r="E76" s="15" t="str">
        <f aca="false">IFERROR(INDEX(Features_Motor!$F:$F,MATCH($A76,Features_Motor!$A:$A,0)),"n/a")</f>
        <v>Exclude</v>
      </c>
      <c r="F76" s="15" t="str">
        <f aca="false">IFERROR(INDEX(Features_Buildings!$F:$F,MATCH($A76,Features_Buildings!$A:$A,0)),"n/a")</f>
        <v>Exclude</v>
      </c>
      <c r="G76" s="15" t="str">
        <f aca="false">IFERROR(INDEX(Features_Contents!$F:$F,MATCH($A76,Features_Contents!$A:$A,0)),"n/a")</f>
        <v>Exclude</v>
      </c>
      <c r="H76" s="1" t="s">
        <v>383</v>
      </c>
    </row>
    <row r="77" ht="23.85" customHeight="1">
      <c r="A77" s="1" t="s">
        <v>384</v>
      </c>
      <c r="B77" s="1" t="s">
        <v>339</v>
      </c>
      <c r="C77" s="1" t="s">
        <v>385</v>
      </c>
      <c r="D77" s="1" t="s">
        <v>386</v>
      </c>
      <c r="E77" s="15" t="str">
        <f aca="false">IFERROR(INDEX(Features_Motor!$F:$F,MATCH($A77,Features_Motor!$A:$A,0)),"n/a")</f>
        <v>Exclude</v>
      </c>
      <c r="F77" s="15" t="str">
        <f aca="false">IFERROR(INDEX(Features_Buildings!$F:$F,MATCH($A77,Features_Buildings!$A:$A,0)),"n/a")</f>
        <v>Exclude</v>
      </c>
      <c r="G77" s="15" t="str">
        <f aca="false">IFERROR(INDEX(Features_Contents!$F:$F,MATCH($A77,Features_Contents!$A:$A,0)),"n/a")</f>
        <v>Exclude</v>
      </c>
      <c r="H77" s="1" t="s">
        <v>388</v>
      </c>
    </row>
    <row r="78" ht="15" customHeight="1">
      <c r="A78" s="1" t="s">
        <v>389</v>
      </c>
      <c r="B78" s="1" t="s">
        <v>339</v>
      </c>
      <c r="C78" s="1" t="s">
        <v>390</v>
      </c>
      <c r="D78" s="1" t="s">
        <v>391</v>
      </c>
      <c r="E78" s="15" t="str">
        <f aca="false">IFERROR(INDEX(Features_Motor!$F:$F,MATCH($A78,Features_Motor!$A:$A,0)),"n/a")</f>
        <v>Exclude</v>
      </c>
      <c r="F78" s="15" t="str">
        <f aca="false">IFERROR(INDEX(Features_Buildings!$F:$F,MATCH($A78,Features_Buildings!$A:$A,0)),"n/a")</f>
        <v>Exclude</v>
      </c>
      <c r="G78" s="15" t="str">
        <f aca="false">IFERROR(INDEX(Features_Contents!$F:$F,MATCH($A78,Features_Contents!$A:$A,0)),"n/a")</f>
        <v>Exclude</v>
      </c>
      <c r="H78" s="1" t="s">
        <v>392</v>
      </c>
    </row>
    <row r="79" ht="15" customHeight="1">
      <c r="A79" s="1" t="s">
        <v>393</v>
      </c>
      <c r="B79" s="1" t="s">
        <v>339</v>
      </c>
      <c r="C79" s="1" t="s">
        <v>394</v>
      </c>
      <c r="D79" s="1" t="s">
        <v>395</v>
      </c>
      <c r="E79" s="15" t="str">
        <f aca="false">IFERROR(INDEX(Features_Motor!$F:$F,MATCH($A79,Features_Motor!$A:$A,0)),"n/a")</f>
        <v>Exclude</v>
      </c>
      <c r="F79" s="15" t="str">
        <f aca="false">IFERROR(INDEX(Features_Buildings!$F:$F,MATCH($A79,Features_Buildings!$A:$A,0)),"n/a")</f>
        <v>Exclude</v>
      </c>
      <c r="G79" s="15" t="str">
        <f aca="false">IFERROR(INDEX(Features_Contents!$F:$F,MATCH($A79,Features_Contents!$A:$A,0)),"n/a")</f>
        <v>Exclude</v>
      </c>
      <c r="H79" s="1" t="s">
        <v>396</v>
      </c>
    </row>
    <row r="80" ht="23.85" customHeight="1">
      <c r="A80" s="1" t="s">
        <v>397</v>
      </c>
      <c r="B80" s="1" t="s">
        <v>339</v>
      </c>
      <c r="C80" s="1" t="s">
        <v>398</v>
      </c>
      <c r="D80" s="1" t="s">
        <v>399</v>
      </c>
      <c r="E80" s="15" t="str">
        <f aca="false">IFERROR(INDEX(Features_Motor!$F:$F,MATCH($A80,Features_Motor!$A:$A,0)),"n/a")</f>
        <v>Exclude</v>
      </c>
      <c r="F80" s="15" t="str">
        <f aca="false">IFERROR(INDEX(Features_Buildings!$F:$F,MATCH($A80,Features_Buildings!$A:$A,0)),"n/a")</f>
        <v>Exclude</v>
      </c>
      <c r="G80" s="15" t="str">
        <f aca="false">IFERROR(INDEX(Features_Contents!$F:$F,MATCH($A80,Features_Contents!$A:$A,0)),"n/a")</f>
        <v>Exclude</v>
      </c>
      <c r="H80" s="1" t="s">
        <v>400</v>
      </c>
    </row>
    <row r="81" ht="15" customHeight="1">
      <c r="A81" s="1" t="s">
        <v>401</v>
      </c>
      <c r="B81" s="1" t="s">
        <v>402</v>
      </c>
      <c r="C81" s="1" t="s">
        <v>403</v>
      </c>
      <c r="D81" s="1" t="s">
        <v>404</v>
      </c>
      <c r="E81" s="15" t="str">
        <f aca="false">IFERROR(INDEX(Features_Motor!$F:$F,MATCH($A81,Features_Motor!$A:$A,0)),"n/a")</f>
        <v>Include</v>
      </c>
      <c r="F81" s="15" t="str">
        <f aca="false">IFERROR(INDEX(Features_Buildings!$F:$F,MATCH($A81,Features_Buildings!$A:$A,0)),"n/a")</f>
        <v>Include</v>
      </c>
      <c r="G81" s="15" t="str">
        <f aca="false">IFERROR(INDEX(Features_Contents!$F:$F,MATCH($A81,Features_Contents!$A:$A,0)),"n/a")</f>
        <v>Include</v>
      </c>
      <c r="H81" s="1"/>
    </row>
    <row r="82" ht="15" customHeight="1">
      <c r="A82" s="1" t="s">
        <v>406</v>
      </c>
      <c r="B82" s="1" t="s">
        <v>402</v>
      </c>
      <c r="C82" s="1" t="s">
        <v>407</v>
      </c>
      <c r="D82" s="1" t="s">
        <v>408</v>
      </c>
      <c r="E82" s="15" t="str">
        <f aca="false">IFERROR(INDEX(Features_Motor!$F:$F,MATCH($A82,Features_Motor!$A:$A,0)),"n/a")</f>
        <v>Include</v>
      </c>
      <c r="F82" s="15" t="str">
        <f aca="false">IFERROR(INDEX(Features_Buildings!$F:$F,MATCH($A82,Features_Buildings!$A:$A,0)),"n/a")</f>
        <v>Test</v>
      </c>
      <c r="G82" s="15" t="str">
        <f aca="false">IFERROR(INDEX(Features_Contents!$F:$F,MATCH($A82,Features_Contents!$A:$A,0)),"n/a")</f>
        <v>Include</v>
      </c>
      <c r="H82" s="1"/>
    </row>
    <row r="83" ht="15" customHeight="1">
      <c r="A83" s="1" t="s">
        <v>410</v>
      </c>
      <c r="B83" s="1" t="s">
        <v>402</v>
      </c>
      <c r="C83" s="1" t="s">
        <v>411</v>
      </c>
      <c r="D83" s="1" t="s">
        <v>412</v>
      </c>
      <c r="E83" s="15" t="str">
        <f aca="false">IFERROR(INDEX(Features_Motor!$F:$F,MATCH($A83,Features_Motor!$A:$A,0)),"n/a")</f>
        <v>Exclude</v>
      </c>
      <c r="F83" s="15" t="str">
        <f aca="false">IFERROR(INDEX(Features_Buildings!$F:$F,MATCH($A83,Features_Buildings!$A:$A,0)),"n/a")</f>
        <v>Include</v>
      </c>
      <c r="G83" s="15" t="str">
        <f aca="false">IFERROR(INDEX(Features_Contents!$F:$F,MATCH($A83,Features_Contents!$A:$A,0)),"n/a")</f>
        <v>Include</v>
      </c>
      <c r="H83" s="1"/>
    </row>
    <row r="84" ht="15" customHeight="1">
      <c r="A84" s="1" t="s">
        <v>414</v>
      </c>
      <c r="B84" s="1" t="s">
        <v>402</v>
      </c>
      <c r="C84" s="1" t="s">
        <v>415</v>
      </c>
      <c r="D84" s="1" t="s">
        <v>412</v>
      </c>
      <c r="E84" s="15" t="str">
        <f aca="false">IFERROR(INDEX(Features_Motor!$F:$F,MATCH($A84,Features_Motor!$A:$A,0)),"n/a")</f>
        <v>Exclude</v>
      </c>
      <c r="F84" s="15" t="str">
        <f aca="false">IFERROR(INDEX(Features_Buildings!$F:$F,MATCH($A84,Features_Buildings!$A:$A,0)),"n/a")</f>
        <v>Include</v>
      </c>
      <c r="G84" s="15" t="str">
        <f aca="false">IFERROR(INDEX(Features_Contents!$F:$F,MATCH($A84,Features_Contents!$A:$A,0)),"n/a")</f>
        <v>Include</v>
      </c>
      <c r="H84" s="1"/>
    </row>
    <row r="85" ht="15" customHeight="1">
      <c r="A85" s="1" t="s">
        <v>417</v>
      </c>
      <c r="B85" s="1" t="s">
        <v>402</v>
      </c>
      <c r="C85" s="1" t="s">
        <v>418</v>
      </c>
      <c r="D85" s="1" t="s">
        <v>412</v>
      </c>
      <c r="E85" s="15" t="str">
        <f aca="false">IFERROR(INDEX(Features_Motor!$F:$F,MATCH($A85,Features_Motor!$A:$A,0)),"n/a")</f>
        <v>Exclude</v>
      </c>
      <c r="F85" s="15" t="str">
        <f aca="false">IFERROR(INDEX(Features_Buildings!$F:$F,MATCH($A85,Features_Buildings!$A:$A,0)),"n/a")</f>
        <v>Include</v>
      </c>
      <c r="G85" s="15" t="str">
        <f aca="false">IFERROR(INDEX(Features_Contents!$F:$F,MATCH($A85,Features_Contents!$A:$A,0)),"n/a")</f>
        <v>Include</v>
      </c>
      <c r="H85" s="1"/>
    </row>
    <row r="86" ht="15" customHeight="1">
      <c r="A86" s="1" t="s">
        <v>419</v>
      </c>
      <c r="B86" s="1" t="s">
        <v>402</v>
      </c>
      <c r="C86" s="1" t="s">
        <v>420</v>
      </c>
      <c r="D86" s="1" t="s">
        <v>421</v>
      </c>
      <c r="E86" s="15" t="str">
        <f aca="false">IFERROR(INDEX(Features_Motor!$F:$F,MATCH($A86,Features_Motor!$A:$A,0)),"n/a")</f>
        <v>Exclude</v>
      </c>
      <c r="F86" s="15" t="str">
        <f aca="false">IFERROR(INDEX(Features_Buildings!$F:$F,MATCH($A86,Features_Buildings!$A:$A,0)),"n/a")</f>
        <v>Include</v>
      </c>
      <c r="G86" s="15" t="str">
        <f aca="false">IFERROR(INDEX(Features_Contents!$F:$F,MATCH($A86,Features_Contents!$A:$A,0)),"n/a")</f>
        <v>Exclude</v>
      </c>
      <c r="H86" s="1"/>
    </row>
    <row r="87" ht="15" customHeight="1">
      <c r="A87" s="1" t="s">
        <v>422</v>
      </c>
      <c r="B87" s="1" t="s">
        <v>402</v>
      </c>
      <c r="C87" s="1" t="s">
        <v>423</v>
      </c>
      <c r="D87" s="1" t="s">
        <v>424</v>
      </c>
      <c r="E87" s="15" t="str">
        <f aca="false">IFERROR(INDEX(Features_Motor!$F:$F,MATCH($A87,Features_Motor!$A:$A,0)),"n/a")</f>
        <v>Exclude</v>
      </c>
      <c r="F87" s="15" t="str">
        <f aca="false">IFERROR(INDEX(Features_Buildings!$F:$F,MATCH($A87,Features_Buildings!$A:$A,0)),"n/a")</f>
        <v>Include</v>
      </c>
      <c r="G87" s="15" t="str">
        <f aca="false">IFERROR(INDEX(Features_Contents!$F:$F,MATCH($A87,Features_Contents!$A:$A,0)),"n/a")</f>
        <v>Include</v>
      </c>
      <c r="H87" s="1"/>
    </row>
    <row r="88" ht="15" customHeight="1">
      <c r="A88" s="1" t="s">
        <v>426</v>
      </c>
      <c r="B88" s="1" t="s">
        <v>402</v>
      </c>
      <c r="C88" s="1" t="s">
        <v>427</v>
      </c>
      <c r="D88" s="1" t="s">
        <v>428</v>
      </c>
      <c r="E88" s="15" t="str">
        <f aca="false">IFERROR(INDEX(Features_Motor!$F:$F,MATCH($A88,Features_Motor!$A:$A,0)),"n/a")</f>
        <v>Exclude</v>
      </c>
      <c r="F88" s="15" t="str">
        <f aca="false">IFERROR(INDEX(Features_Buildings!$F:$F,MATCH($A88,Features_Buildings!$A:$A,0)),"n/a")</f>
        <v>Include</v>
      </c>
      <c r="G88" s="15" t="str">
        <f aca="false">IFERROR(INDEX(Features_Contents!$F:$F,MATCH($A88,Features_Contents!$A:$A,0)),"n/a")</f>
        <v>Include</v>
      </c>
      <c r="H88" s="1"/>
    </row>
    <row r="89" ht="15" customHeight="1">
      <c r="A89" s="1" t="s">
        <v>429</v>
      </c>
      <c r="B89" s="1" t="s">
        <v>402</v>
      </c>
      <c r="C89" s="1" t="s">
        <v>430</v>
      </c>
      <c r="D89" s="1" t="s">
        <v>431</v>
      </c>
      <c r="E89" s="15" t="str">
        <f aca="false">IFERROR(INDEX(Features_Motor!$F:$F,MATCH($A89,Features_Motor!$A:$A,0)),"n/a")</f>
        <v>Exclude</v>
      </c>
      <c r="F89" s="15" t="str">
        <f aca="false">IFERROR(INDEX(Features_Buildings!$F:$F,MATCH($A89,Features_Buildings!$A:$A,0)),"n/a")</f>
        <v>Include</v>
      </c>
      <c r="G89" s="15" t="str">
        <f aca="false">IFERROR(INDEX(Features_Contents!$F:$F,MATCH($A89,Features_Contents!$A:$A,0)),"n/a")</f>
        <v>Test</v>
      </c>
      <c r="H89" s="1"/>
    </row>
    <row r="90" ht="15" customHeight="1">
      <c r="A90" s="1" t="s">
        <v>432</v>
      </c>
      <c r="B90" s="1" t="s">
        <v>402</v>
      </c>
      <c r="C90" s="1" t="s">
        <v>433</v>
      </c>
      <c r="D90" s="1" t="s">
        <v>434</v>
      </c>
      <c r="E90" s="15" t="str">
        <f aca="false">IFERROR(INDEX(Features_Motor!$F:$F,MATCH($A90,Features_Motor!$A:$A,0)),"n/a")</f>
        <v>Exclude</v>
      </c>
      <c r="F90" s="15" t="str">
        <f aca="false">IFERROR(INDEX(Features_Buildings!$F:$F,MATCH($A90,Features_Buildings!$A:$A,0)),"n/a")</f>
        <v>Include</v>
      </c>
      <c r="G90" s="15" t="str">
        <f aca="false">IFERROR(INDEX(Features_Contents!$F:$F,MATCH($A90,Features_Contents!$A:$A,0)),"n/a")</f>
        <v>Include</v>
      </c>
      <c r="H90" s="1"/>
    </row>
    <row r="91" ht="23.85" customHeight="1">
      <c r="A91" s="1" t="s">
        <v>435</v>
      </c>
      <c r="B91" s="1" t="s">
        <v>402</v>
      </c>
      <c r="C91" s="1" t="s">
        <v>436</v>
      </c>
      <c r="D91" s="1" t="s">
        <v>437</v>
      </c>
      <c r="E91" s="15" t="str">
        <f aca="false">IFERROR(INDEX(Features_Motor!$F:$F,MATCH($A91,Features_Motor!$A:$A,0)),"n/a")</f>
        <v>Exclude</v>
      </c>
      <c r="F91" s="15" t="str">
        <f aca="false">IFERROR(INDEX(Features_Buildings!$F:$F,MATCH($A91,Features_Buildings!$A:$A,0)),"n/a")</f>
        <v>Include</v>
      </c>
      <c r="G91" s="15" t="str">
        <f aca="false">IFERROR(INDEX(Features_Contents!$F:$F,MATCH($A91,Features_Contents!$A:$A,0)),"n/a")</f>
        <v>Exclude</v>
      </c>
      <c r="H91" s="1"/>
    </row>
    <row r="92" ht="15" customHeight="1">
      <c r="A92" s="1" t="s">
        <v>438</v>
      </c>
      <c r="B92" s="1" t="s">
        <v>402</v>
      </c>
      <c r="C92" s="1" t="s">
        <v>439</v>
      </c>
      <c r="D92" s="1" t="s">
        <v>440</v>
      </c>
      <c r="E92" s="15" t="str">
        <f aca="false">IFERROR(INDEX(Features_Motor!$F:$F,MATCH($A92,Features_Motor!$A:$A,0)),"n/a")</f>
        <v>Exclude</v>
      </c>
      <c r="F92" s="15" t="str">
        <f aca="false">IFERROR(INDEX(Features_Buildings!$F:$F,MATCH($A92,Features_Buildings!$A:$A,0)),"n/a")</f>
        <v>Include</v>
      </c>
      <c r="G92" s="15" t="str">
        <f aca="false">IFERROR(INDEX(Features_Contents!$F:$F,MATCH($A92,Features_Contents!$A:$A,0)),"n/a")</f>
        <v>Exclude</v>
      </c>
      <c r="H92" s="1"/>
    </row>
    <row r="93" ht="15" customHeight="1">
      <c r="A93" s="1" t="s">
        <v>441</v>
      </c>
      <c r="B93" s="1" t="s">
        <v>402</v>
      </c>
      <c r="C93" s="1" t="s">
        <v>442</v>
      </c>
      <c r="D93" s="1" t="s">
        <v>443</v>
      </c>
      <c r="E93" s="15" t="str">
        <f aca="false">IFERROR(INDEX(Features_Motor!$F:$F,MATCH($A93,Features_Motor!$A:$A,0)),"n/a")</f>
        <v>Exclude</v>
      </c>
      <c r="F93" s="15" t="str">
        <f aca="false">IFERROR(INDEX(Features_Buildings!$F:$F,MATCH($A93,Features_Buildings!$A:$A,0)),"n/a")</f>
        <v>Include</v>
      </c>
      <c r="G93" s="15" t="str">
        <f aca="false">IFERROR(INDEX(Features_Contents!$F:$F,MATCH($A93,Features_Contents!$A:$A,0)),"n/a")</f>
        <v>Test</v>
      </c>
      <c r="H93" s="1"/>
    </row>
    <row r="94" ht="15" customHeight="1">
      <c r="A94" s="1" t="s">
        <v>444</v>
      </c>
      <c r="B94" s="1" t="s">
        <v>402</v>
      </c>
      <c r="C94" s="1" t="s">
        <v>445</v>
      </c>
      <c r="D94" s="1" t="s">
        <v>446</v>
      </c>
      <c r="E94" s="15" t="str">
        <f aca="false">IFERROR(INDEX(Features_Motor!$F:$F,MATCH($A94,Features_Motor!$A:$A,0)),"n/a")</f>
        <v>Exclude</v>
      </c>
      <c r="F94" s="15" t="str">
        <f aca="false">IFERROR(INDEX(Features_Buildings!$F:$F,MATCH($A94,Features_Buildings!$A:$A,0)),"n/a")</f>
        <v>Test</v>
      </c>
      <c r="G94" s="15" t="str">
        <f aca="false">IFERROR(INDEX(Features_Contents!$F:$F,MATCH($A94,Features_Contents!$A:$A,0)),"n/a")</f>
        <v>Exclude</v>
      </c>
      <c r="H94" s="1" t="s">
        <v>447</v>
      </c>
    </row>
    <row r="95" ht="15" customHeight="1">
      <c r="A95" s="1" t="s">
        <v>448</v>
      </c>
      <c r="B95" s="1" t="s">
        <v>402</v>
      </c>
      <c r="C95" s="1" t="s">
        <v>449</v>
      </c>
      <c r="D95" s="1" t="s">
        <v>450</v>
      </c>
      <c r="E95" s="15" t="str">
        <f aca="false">IFERROR(INDEX(Features_Motor!$F:$F,MATCH($A95,Features_Motor!$A:$A,0)),"n/a")</f>
        <v>Exclude</v>
      </c>
      <c r="F95" s="15" t="str">
        <f aca="false">IFERROR(INDEX(Features_Buildings!$F:$F,MATCH($A95,Features_Buildings!$A:$A,0)),"n/a")</f>
        <v>Test</v>
      </c>
      <c r="G95" s="15" t="str">
        <f aca="false">IFERROR(INDEX(Features_Contents!$F:$F,MATCH($A95,Features_Contents!$A:$A,0)),"n/a")</f>
        <v>Exclude</v>
      </c>
      <c r="H95" s="1"/>
    </row>
    <row r="96" ht="23.85" customHeight="1">
      <c r="A96" s="1" t="s">
        <v>451</v>
      </c>
      <c r="B96" s="1" t="s">
        <v>452</v>
      </c>
      <c r="C96" s="1" t="s">
        <v>453</v>
      </c>
      <c r="D96" s="1" t="s">
        <v>454</v>
      </c>
      <c r="E96" s="15" t="str">
        <f aca="false">IFERROR(INDEX(Features_Motor!$F:$F,MATCH($A96,Features_Motor!$A:$A,0)),"n/a")</f>
        <v>Include</v>
      </c>
      <c r="F96" s="15" t="str">
        <f aca="false">IFERROR(INDEX(Features_Buildings!$F:$F,MATCH($A96,Features_Buildings!$A:$A,0)),"n/a")</f>
        <v>Test</v>
      </c>
      <c r="G96" s="15" t="str">
        <f aca="false">IFERROR(INDEX(Features_Contents!$F:$F,MATCH($A96,Features_Contents!$A:$A,0)),"n/a")</f>
        <v>Exclude</v>
      </c>
      <c r="H96" s="1" t="s">
        <v>456</v>
      </c>
    </row>
    <row r="97" ht="15" customHeight="1">
      <c r="A97" s="1" t="s">
        <v>457</v>
      </c>
      <c r="B97" s="1" t="s">
        <v>452</v>
      </c>
      <c r="C97" s="1" t="s">
        <v>458</v>
      </c>
      <c r="D97" s="1" t="s">
        <v>459</v>
      </c>
      <c r="E97" s="15" t="str">
        <f aca="false">IFERROR(INDEX(Features_Motor!$F:$F,MATCH($A97,Features_Motor!$A:$A,0)),"n/a")</f>
        <v>Test</v>
      </c>
      <c r="F97" s="15" t="str">
        <f aca="false">IFERROR(INDEX(Features_Buildings!$F:$F,MATCH($A97,Features_Buildings!$A:$A,0)),"n/a")</f>
        <v>Include</v>
      </c>
      <c r="G97" s="15" t="str">
        <f aca="false">IFERROR(INDEX(Features_Contents!$F:$F,MATCH($A97,Features_Contents!$A:$A,0)),"n/a")</f>
        <v>Exclude</v>
      </c>
      <c r="H97" s="1" t="s">
        <v>461</v>
      </c>
    </row>
    <row r="98" ht="15" customHeight="1">
      <c r="A98" s="1" t="s">
        <v>462</v>
      </c>
      <c r="B98" s="1" t="s">
        <v>452</v>
      </c>
      <c r="C98" s="1" t="s">
        <v>463</v>
      </c>
      <c r="D98" s="1" t="s">
        <v>464</v>
      </c>
      <c r="E98" s="15" t="str">
        <f aca="false">IFERROR(INDEX(Features_Motor!$F:$F,MATCH($A98,Features_Motor!$A:$A,0)),"n/a")</f>
        <v>Test</v>
      </c>
      <c r="F98" s="15" t="str">
        <f aca="false">IFERROR(INDEX(Features_Buildings!$F:$F,MATCH($A98,Features_Buildings!$A:$A,0)),"n/a")</f>
        <v>Include</v>
      </c>
      <c r="G98" s="15" t="str">
        <f aca="false">IFERROR(INDEX(Features_Contents!$F:$F,MATCH($A98,Features_Contents!$A:$A,0)),"n/a")</f>
        <v>Include</v>
      </c>
      <c r="H98" s="1" t="s">
        <v>461</v>
      </c>
    </row>
    <row r="99" ht="15" customHeight="1">
      <c r="A99" s="1" t="s">
        <v>466</v>
      </c>
      <c r="B99" s="1" t="s">
        <v>452</v>
      </c>
      <c r="C99" s="1" t="s">
        <v>467</v>
      </c>
      <c r="D99" s="1" t="s">
        <v>468</v>
      </c>
      <c r="E99" s="15" t="str">
        <f aca="false">IFERROR(INDEX(Features_Motor!$F:$F,MATCH($A99,Features_Motor!$A:$A,0)),"n/a")</f>
        <v>Exclude</v>
      </c>
      <c r="F99" s="15" t="str">
        <f aca="false">IFERROR(INDEX(Features_Buildings!$F:$F,MATCH($A99,Features_Buildings!$A:$A,0)),"n/a")</f>
        <v>Include</v>
      </c>
      <c r="G99" s="15" t="str">
        <f aca="false">IFERROR(INDEX(Features_Contents!$F:$F,MATCH($A99,Features_Contents!$A:$A,0)),"n/a")</f>
        <v>Exclude</v>
      </c>
      <c r="H99" s="1" t="s">
        <v>461</v>
      </c>
    </row>
    <row r="100" ht="15" customHeight="1">
      <c r="A100" s="1" t="s">
        <v>470</v>
      </c>
      <c r="B100" s="1" t="s">
        <v>452</v>
      </c>
      <c r="C100" s="1" t="s">
        <v>471</v>
      </c>
      <c r="D100" s="1" t="s">
        <v>472</v>
      </c>
      <c r="E100" s="15" t="str">
        <f aca="false">IFERROR(INDEX(Features_Motor!$F:$F,MATCH($A100,Features_Motor!$A:$A,0)),"n/a")</f>
        <v>Exclude</v>
      </c>
      <c r="F100" s="15" t="str">
        <f aca="false">IFERROR(INDEX(Features_Buildings!$F:$F,MATCH($A100,Features_Buildings!$A:$A,0)),"n/a")</f>
        <v>Include</v>
      </c>
      <c r="G100" s="15" t="str">
        <f aca="false">IFERROR(INDEX(Features_Contents!$F:$F,MATCH($A100,Features_Contents!$A:$A,0)),"n/a")</f>
        <v>Exclude</v>
      </c>
      <c r="H100" s="1" t="s">
        <v>461</v>
      </c>
    </row>
    <row r="101" ht="15" customHeight="1">
      <c r="A101" s="1" t="s">
        <v>474</v>
      </c>
      <c r="B101" s="1" t="s">
        <v>452</v>
      </c>
      <c r="C101" s="1" t="s">
        <v>475</v>
      </c>
      <c r="D101" s="1" t="s">
        <v>476</v>
      </c>
      <c r="E101" s="15" t="str">
        <f aca="false">IFERROR(INDEX(Features_Motor!$F:$F,MATCH($A101,Features_Motor!$A:$A,0)),"n/a")</f>
        <v>Test</v>
      </c>
      <c r="F101" s="15" t="str">
        <f aca="false">IFERROR(INDEX(Features_Buildings!$F:$F,MATCH($A101,Features_Buildings!$A:$A,0)),"n/a")</f>
        <v>Include</v>
      </c>
      <c r="G101" s="15" t="str">
        <f aca="false">IFERROR(INDEX(Features_Contents!$F:$F,MATCH($A101,Features_Contents!$A:$A,0)),"n/a")</f>
        <v>Include</v>
      </c>
      <c r="H101" s="1" t="s">
        <v>461</v>
      </c>
    </row>
    <row r="102" ht="15" customHeight="1">
      <c r="A102" s="1" t="s">
        <v>478</v>
      </c>
      <c r="B102" s="1" t="s">
        <v>452</v>
      </c>
      <c r="C102" s="1" t="s">
        <v>479</v>
      </c>
      <c r="D102" s="1" t="s">
        <v>480</v>
      </c>
      <c r="E102" s="15" t="str">
        <f aca="false">IFERROR(INDEX(Features_Motor!$F:$F,MATCH($A102,Features_Motor!$A:$A,0)),"n/a")</f>
        <v>Exclude</v>
      </c>
      <c r="F102" s="15" t="str">
        <f aca="false">IFERROR(INDEX(Features_Buildings!$F:$F,MATCH($A102,Features_Buildings!$A:$A,0)),"n/a")</f>
        <v>Test</v>
      </c>
      <c r="G102" s="15" t="str">
        <f aca="false">IFERROR(INDEX(Features_Contents!$F:$F,MATCH($A102,Features_Contents!$A:$A,0)),"n/a")</f>
        <v>Test</v>
      </c>
      <c r="H102" s="1" t="s">
        <v>461</v>
      </c>
    </row>
    <row r="103" ht="15" customHeight="1">
      <c r="A103" s="1" t="s">
        <v>481</v>
      </c>
      <c r="B103" s="1" t="s">
        <v>482</v>
      </c>
      <c r="C103" s="1" t="s">
        <v>483</v>
      </c>
      <c r="D103" s="1" t="s">
        <v>484</v>
      </c>
      <c r="E103" s="15" t="str">
        <f aca="false">IFERROR(INDEX(Features_Motor!$F:$F,MATCH($A103,Features_Motor!$A:$A,0)),"n/a")</f>
        <v>Exclude</v>
      </c>
      <c r="F103" s="15" t="str">
        <f aca="false">IFERROR(INDEX(Features_Buildings!$F:$F,MATCH($A103,Features_Buildings!$A:$A,0)),"n/a")</f>
        <v>Exclude</v>
      </c>
      <c r="G103" s="15" t="str">
        <f aca="false">IFERROR(INDEX(Features_Contents!$F:$F,MATCH($A103,Features_Contents!$A:$A,0)),"n/a")</f>
        <v>Exclude</v>
      </c>
      <c r="H103" s="1"/>
    </row>
    <row r="104" ht="15" customHeight="1">
      <c r="A104" s="1" t="s">
        <v>486</v>
      </c>
      <c r="B104" s="1" t="s">
        <v>482</v>
      </c>
      <c r="C104" s="1" t="s">
        <v>487</v>
      </c>
      <c r="D104" s="1" t="s">
        <v>488</v>
      </c>
      <c r="E104" s="15" t="str">
        <f aca="false">IFERROR(INDEX(Features_Motor!$F:$F,MATCH($A104,Features_Motor!$A:$A,0)),"n/a")</f>
        <v>Test</v>
      </c>
      <c r="F104" s="15" t="str">
        <f aca="false">IFERROR(INDEX(Features_Buildings!$F:$F,MATCH($A104,Features_Buildings!$A:$A,0)),"n/a")</f>
        <v>Test</v>
      </c>
      <c r="G104" s="15" t="str">
        <f aca="false">IFERROR(INDEX(Features_Contents!$F:$F,MATCH($A104,Features_Contents!$A:$A,0)),"n/a")</f>
        <v>Test</v>
      </c>
      <c r="H104" s="1"/>
    </row>
    <row r="105" ht="15" customHeight="1">
      <c r="A105" s="1" t="s">
        <v>489</v>
      </c>
      <c r="B105" s="1" t="s">
        <v>482</v>
      </c>
      <c r="C105" s="1" t="s">
        <v>490</v>
      </c>
      <c r="D105" s="1" t="s">
        <v>491</v>
      </c>
      <c r="E105" s="15" t="str">
        <f aca="false">IFERROR(INDEX(Features_Motor!$F:$F,MATCH($A105,Features_Motor!$A:$A,0)),"n/a")</f>
        <v>Exclude</v>
      </c>
      <c r="F105" s="15" t="str">
        <f aca="false">IFERROR(INDEX(Features_Buildings!$F:$F,MATCH($A105,Features_Buildings!$A:$A,0)),"n/a")</f>
        <v>Exclude</v>
      </c>
      <c r="G105" s="15" t="str">
        <f aca="false">IFERROR(INDEX(Features_Contents!$F:$F,MATCH($A105,Features_Contents!$A:$A,0)),"n/a")</f>
        <v>Exclude</v>
      </c>
      <c r="H105" s="1"/>
    </row>
    <row r="106" ht="35.05" customHeight="1">
      <c r="A106" s="1" t="s">
        <v>492</v>
      </c>
      <c r="B106" s="1" t="s">
        <v>493</v>
      </c>
      <c r="C106" s="1" t="s">
        <v>494</v>
      </c>
      <c r="D106" s="1" t="s">
        <v>495</v>
      </c>
      <c r="E106" s="15" t="str">
        <f aca="false">IFERROR(INDEX(Features_Motor!$F:$F,MATCH($A106,Features_Motor!$A:$A,0)),"n/a")</f>
        <v>Include</v>
      </c>
      <c r="F106" s="15" t="str">
        <f aca="false">IFERROR(INDEX(Features_Buildings!$F:$F,MATCH($A106,Features_Buildings!$A:$A,0)),"n/a")</f>
        <v>Include</v>
      </c>
      <c r="G106" s="15" t="str">
        <f aca="false">IFERROR(INDEX(Features_Contents!$F:$F,MATCH($A106,Features_Contents!$A:$A,0)),"n/a")</f>
        <v>Include</v>
      </c>
      <c r="H106" s="1" t="s">
        <v>497</v>
      </c>
    </row>
    <row r="107" ht="23.85" customHeight="1">
      <c r="A107" s="1" t="s">
        <v>498</v>
      </c>
      <c r="B107" s="1" t="s">
        <v>493</v>
      </c>
      <c r="C107" s="1" t="s">
        <v>499</v>
      </c>
      <c r="D107" s="1" t="s">
        <v>500</v>
      </c>
      <c r="E107" s="15" t="str">
        <f aca="false">IFERROR(INDEX(Features_Motor!$F:$F,MATCH($A107,Features_Motor!$A:$A,0)),"n/a")</f>
        <v>Test</v>
      </c>
      <c r="F107" s="15" t="str">
        <f aca="false">IFERROR(INDEX(Features_Buildings!$F:$F,MATCH($A107,Features_Buildings!$A:$A,0)),"n/a")</f>
        <v>Test</v>
      </c>
      <c r="G107" s="15" t="str">
        <f aca="false">IFERROR(INDEX(Features_Contents!$F:$F,MATCH($A107,Features_Contents!$A:$A,0)),"n/a")</f>
        <v>Test</v>
      </c>
      <c r="H107" s="1" t="s">
        <v>502</v>
      </c>
    </row>
  </sheetData>
  <autoFilter ref="A1:H107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805</v>
      </c>
      <c r="D1" t="s">
        <v>806</v>
      </c>
      <c r="E1" t="s">
        <v>199</v>
      </c>
    </row>
    <row r="2">
      <c r="A2" t="s">
        <v>36</v>
      </c>
      <c r="B2" t="s">
        <v>42</v>
      </c>
      <c r="C2" t="s">
        <v>807</v>
      </c>
      <c r="D2" t="s">
        <v>807</v>
      </c>
      <c r="E2" t="s">
        <v>808</v>
      </c>
    </row>
    <row r="3">
      <c r="A3" t="s">
        <v>36</v>
      </c>
      <c r="B3" t="s">
        <v>39</v>
      </c>
      <c r="C3" t="s">
        <v>807</v>
      </c>
      <c r="D3" t="s">
        <v>807</v>
      </c>
      <c r="E3" t="s">
        <v>808</v>
      </c>
    </row>
    <row r="4">
      <c r="A4" t="s">
        <v>36</v>
      </c>
      <c r="B4" t="s">
        <v>41</v>
      </c>
      <c r="C4" t="s">
        <v>807</v>
      </c>
      <c r="D4" t="s">
        <v>807</v>
      </c>
      <c r="E4" t="s">
        <v>808</v>
      </c>
    </row>
    <row r="5">
      <c r="A5" t="s">
        <v>36</v>
      </c>
      <c r="B5" t="s">
        <v>38</v>
      </c>
      <c r="C5" t="s">
        <v>807</v>
      </c>
      <c r="D5" t="s">
        <v>807</v>
      </c>
      <c r="E5" t="s">
        <v>808</v>
      </c>
    </row>
    <row r="6">
      <c r="A6" t="s">
        <v>36</v>
      </c>
      <c r="B6" t="s">
        <v>37</v>
      </c>
      <c r="C6" t="s">
        <v>807</v>
      </c>
      <c r="D6" t="s">
        <v>807</v>
      </c>
      <c r="E6" t="s">
        <v>808</v>
      </c>
    </row>
    <row r="7">
      <c r="A7" t="s">
        <v>36</v>
      </c>
      <c r="B7" t="s">
        <v>40</v>
      </c>
      <c r="C7" t="s">
        <v>807</v>
      </c>
      <c r="D7" t="s">
        <v>807</v>
      </c>
      <c r="E7" t="s">
        <v>808</v>
      </c>
    </row>
    <row r="8">
      <c r="A8" t="s">
        <v>43</v>
      </c>
      <c r="B8" t="s">
        <v>42</v>
      </c>
      <c r="C8" t="s">
        <v>807</v>
      </c>
      <c r="D8" t="s">
        <v>807</v>
      </c>
      <c r="E8" t="s">
        <v>808</v>
      </c>
    </row>
    <row r="9">
      <c r="A9" t="s">
        <v>43</v>
      </c>
      <c r="B9" t="s">
        <v>39</v>
      </c>
      <c r="C9" t="s">
        <v>809</v>
      </c>
      <c r="D9" t="s">
        <v>809</v>
      </c>
      <c r="E9" t="s">
        <v>808</v>
      </c>
    </row>
    <row r="10">
      <c r="A10" t="s">
        <v>43</v>
      </c>
      <c r="B10" t="s">
        <v>38</v>
      </c>
      <c r="C10" t="s">
        <v>807</v>
      </c>
      <c r="D10" t="s">
        <v>807</v>
      </c>
      <c r="E10" t="s">
        <v>808</v>
      </c>
    </row>
    <row r="11">
      <c r="A11" t="s">
        <v>43</v>
      </c>
      <c r="B11" t="s">
        <v>34</v>
      </c>
      <c r="C11" t="s">
        <v>807</v>
      </c>
      <c r="D11" t="s">
        <v>807</v>
      </c>
      <c r="E11" t="s">
        <v>808</v>
      </c>
    </row>
    <row r="12">
      <c r="A12" t="s">
        <v>30</v>
      </c>
      <c r="B12" t="s">
        <v>33</v>
      </c>
      <c r="C12" t="s">
        <v>809</v>
      </c>
      <c r="D12" t="s">
        <v>809</v>
      </c>
      <c r="E12" t="s">
        <v>808</v>
      </c>
    </row>
    <row r="13">
      <c r="A13" t="s">
        <v>30</v>
      </c>
      <c r="B13" t="s">
        <v>35</v>
      </c>
      <c r="C13" t="s">
        <v>807</v>
      </c>
      <c r="D13" t="s">
        <v>807</v>
      </c>
      <c r="E13" t="s">
        <v>808</v>
      </c>
    </row>
    <row r="14">
      <c r="A14" t="s">
        <v>30</v>
      </c>
      <c r="B14" t="s">
        <v>31</v>
      </c>
      <c r="C14" t="s">
        <v>807</v>
      </c>
      <c r="D14" t="s">
        <v>809</v>
      </c>
      <c r="E14" t="s">
        <v>810</v>
      </c>
    </row>
    <row r="15">
      <c r="A15" t="s">
        <v>30</v>
      </c>
      <c r="B15" t="s">
        <v>34</v>
      </c>
      <c r="C15" t="s">
        <v>807</v>
      </c>
      <c r="D15" t="s">
        <v>807</v>
      </c>
      <c r="E15" t="s">
        <v>808</v>
      </c>
    </row>
    <row r="16">
      <c r="A16" t="s">
        <v>30</v>
      </c>
      <c r="B16" t="s">
        <v>32</v>
      </c>
      <c r="C16" t="s">
        <v>807</v>
      </c>
      <c r="D16" t="s">
        <v>807</v>
      </c>
      <c r="E16" t="s">
        <v>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9.71" hidden="0" customWidth="1"/>
    <col min="3" max="3" width="16.71" hidden="0" customWidth="1"/>
    <col min="4" max="4" width="23.71" hidden="0" customWidth="1"/>
    <col min="5" max="5" width="13.71" hidden="0" customWidth="1"/>
    <col min="6" max="6" width="38.71" hidden="0" customWidth="1"/>
    <col min="7" max="7" width="212.71" hidden="0" customWidth="1"/>
  </cols>
  <sheetData>
    <row r="1">
      <c r="A1" s="16" t="s">
        <v>825</v>
      </c>
      <c r="B1" s="16" t="s">
        <v>23</v>
      </c>
      <c r="C1" s="16" t="s">
        <v>24</v>
      </c>
      <c r="D1" s="16" t="s">
        <v>826</v>
      </c>
      <c r="E1" s="16" t="s">
        <v>827</v>
      </c>
      <c r="F1" s="16" t="s">
        <v>828</v>
      </c>
      <c r="G1" s="16" t="s">
        <v>829</v>
      </c>
    </row>
    <row r="2">
      <c r="A2" t="s">
        <v>830</v>
      </c>
      <c r="B2" t="s">
        <v>30</v>
      </c>
      <c r="C2" t="s">
        <v>32</v>
      </c>
      <c r="D2" t="s">
        <v>296</v>
      </c>
      <c r="E2" t="s">
        <v>209</v>
      </c>
      <c r="F2" t="s">
        <v>208</v>
      </c>
      <c r="G2" t="s">
        <v>831</v>
      </c>
    </row>
    <row r="3">
      <c r="A3" t="s">
        <v>830</v>
      </c>
      <c r="B3" t="s">
        <v>30</v>
      </c>
      <c r="C3" t="s">
        <v>33</v>
      </c>
      <c r="D3" t="s">
        <v>296</v>
      </c>
      <c r="E3" t="s">
        <v>84</v>
      </c>
      <c r="F3" t="s">
        <v>208</v>
      </c>
      <c r="G3" t="s">
        <v>831</v>
      </c>
    </row>
    <row r="4">
      <c r="A4" t="s">
        <v>830</v>
      </c>
      <c r="B4" t="s">
        <v>36</v>
      </c>
      <c r="C4" t="s">
        <v>37</v>
      </c>
      <c r="D4" t="s">
        <v>296</v>
      </c>
      <c r="E4" t="s">
        <v>209</v>
      </c>
      <c r="F4" t="s">
        <v>208</v>
      </c>
      <c r="G4" t="s">
        <v>831</v>
      </c>
    </row>
    <row r="5">
      <c r="A5" t="s">
        <v>830</v>
      </c>
      <c r="B5" t="s">
        <v>36</v>
      </c>
      <c r="C5" t="s">
        <v>38</v>
      </c>
      <c r="D5" t="s">
        <v>296</v>
      </c>
      <c r="E5" t="s">
        <v>209</v>
      </c>
      <c r="F5" t="s">
        <v>208</v>
      </c>
      <c r="G5" t="s">
        <v>831</v>
      </c>
    </row>
    <row r="6">
      <c r="A6" t="s">
        <v>830</v>
      </c>
      <c r="B6" t="s">
        <v>36</v>
      </c>
      <c r="C6" t="s">
        <v>40</v>
      </c>
      <c r="D6" t="s">
        <v>296</v>
      </c>
      <c r="E6" t="s">
        <v>209</v>
      </c>
      <c r="F6" t="s">
        <v>208</v>
      </c>
      <c r="G6" t="s">
        <v>831</v>
      </c>
    </row>
    <row r="7">
      <c r="A7" t="s">
        <v>830</v>
      </c>
      <c r="B7" t="s">
        <v>36</v>
      </c>
      <c r="C7" t="s">
        <v>41</v>
      </c>
      <c r="D7" t="s">
        <v>296</v>
      </c>
      <c r="E7" t="s">
        <v>226</v>
      </c>
      <c r="F7" t="s">
        <v>208</v>
      </c>
      <c r="G7" t="s">
        <v>831</v>
      </c>
    </row>
    <row r="8">
      <c r="A8" t="s">
        <v>830</v>
      </c>
      <c r="B8" t="s">
        <v>43</v>
      </c>
      <c r="C8" t="s">
        <v>38</v>
      </c>
      <c r="D8" t="s">
        <v>296</v>
      </c>
      <c r="E8" t="s">
        <v>209</v>
      </c>
      <c r="F8" t="s">
        <v>208</v>
      </c>
      <c r="G8" t="s">
        <v>831</v>
      </c>
    </row>
    <row r="9">
      <c r="A9" t="s">
        <v>830</v>
      </c>
      <c r="B9" t="s">
        <v>36</v>
      </c>
      <c r="C9" t="s">
        <v>38</v>
      </c>
      <c r="D9" t="s">
        <v>325</v>
      </c>
      <c r="E9" t="s">
        <v>209</v>
      </c>
      <c r="F9" t="s">
        <v>84</v>
      </c>
      <c r="G9" t="s">
        <v>832</v>
      </c>
    </row>
    <row r="10">
      <c r="A10" t="s">
        <v>830</v>
      </c>
      <c r="B10" t="s">
        <v>36</v>
      </c>
      <c r="C10" t="s">
        <v>38</v>
      </c>
      <c r="D10" t="s">
        <v>486</v>
      </c>
      <c r="E10" t="s">
        <v>209</v>
      </c>
      <c r="F10" t="s">
        <v>84</v>
      </c>
      <c r="G10" t="s">
        <v>833</v>
      </c>
    </row>
    <row r="11">
      <c r="A11" t="s">
        <v>830</v>
      </c>
      <c r="B11" t="s">
        <v>30</v>
      </c>
      <c r="C11" t="s">
        <v>32</v>
      </c>
      <c r="D11" t="s">
        <v>462</v>
      </c>
      <c r="E11" t="s">
        <v>209</v>
      </c>
      <c r="F11" t="s">
        <v>84</v>
      </c>
      <c r="G11" t="s">
        <v>834</v>
      </c>
    </row>
    <row r="12">
      <c r="A12" t="s">
        <v>830</v>
      </c>
      <c r="B12" t="s">
        <v>30</v>
      </c>
      <c r="C12" t="s">
        <v>32</v>
      </c>
      <c r="D12" t="s">
        <v>474</v>
      </c>
      <c r="E12" t="s">
        <v>209</v>
      </c>
      <c r="F12" t="s">
        <v>84</v>
      </c>
      <c r="G12" t="s">
        <v>835</v>
      </c>
    </row>
    <row r="13">
      <c r="A13" t="s">
        <v>836</v>
      </c>
      <c r="B13" t="s">
        <v>30</v>
      </c>
      <c r="C13" t="s">
        <v>33</v>
      </c>
      <c r="D13" t="s">
        <v>623</v>
      </c>
      <c r="E13" t="s">
        <v>634</v>
      </c>
      <c r="F13" t="s">
        <v>639</v>
      </c>
      <c r="G13" t="s">
        <v>837</v>
      </c>
    </row>
    <row r="14">
      <c r="A14" t="s">
        <v>836</v>
      </c>
      <c r="B14" t="s">
        <v>30</v>
      </c>
      <c r="C14" t="s">
        <v>33</v>
      </c>
      <c r="D14" t="s">
        <v>622</v>
      </c>
      <c r="E14" t="s">
        <v>634</v>
      </c>
      <c r="F14" t="s">
        <v>639</v>
      </c>
      <c r="G14" t="s">
        <v>837</v>
      </c>
    </row>
    <row r="15">
      <c r="A15" t="s">
        <v>836</v>
      </c>
      <c r="B15" t="s">
        <v>36</v>
      </c>
      <c r="C15" t="s">
        <v>39</v>
      </c>
      <c r="D15" t="s">
        <v>27</v>
      </c>
      <c r="E15" t="s">
        <v>633</v>
      </c>
      <c r="F15" t="s">
        <v>637</v>
      </c>
      <c r="G15" t="s">
        <v>838</v>
      </c>
    </row>
    <row r="16">
      <c r="A16" t="s">
        <v>836</v>
      </c>
      <c r="B16" t="s">
        <v>36</v>
      </c>
      <c r="C16" t="s">
        <v>41</v>
      </c>
      <c r="D16" t="s">
        <v>627</v>
      </c>
      <c r="E16" t="s">
        <v>716</v>
      </c>
      <c r="F16" t="s">
        <v>839</v>
      </c>
      <c r="G16" t="s">
        <v>840</v>
      </c>
    </row>
    <row r="17">
      <c r="A17" t="s">
        <v>836</v>
      </c>
      <c r="B17" t="s">
        <v>43</v>
      </c>
      <c r="C17" t="s">
        <v>34</v>
      </c>
      <c r="D17" t="s">
        <v>27</v>
      </c>
      <c r="E17" t="s">
        <v>633</v>
      </c>
      <c r="F17" t="s">
        <v>637</v>
      </c>
      <c r="G17" t="s">
        <v>841</v>
      </c>
    </row>
    <row r="18">
      <c r="A18" t="s">
        <v>836</v>
      </c>
      <c r="B18" t="s">
        <v>30</v>
      </c>
      <c r="C18" t="s">
        <v>34</v>
      </c>
      <c r="D18" t="s">
        <v>27</v>
      </c>
      <c r="E18" t="s">
        <v>633</v>
      </c>
      <c r="F18" t="s">
        <v>637</v>
      </c>
      <c r="G18" t="s">
        <v>842</v>
      </c>
    </row>
    <row r="19">
      <c r="A19" t="s">
        <v>843</v>
      </c>
      <c r="B19" t="s">
        <v>844</v>
      </c>
      <c r="C19" t="s">
        <v>844</v>
      </c>
      <c r="D19" t="s">
        <v>792</v>
      </c>
      <c r="E19" t="s">
        <v>793</v>
      </c>
      <c r="F19" t="s">
        <v>795</v>
      </c>
      <c r="G19" t="s">
        <v>845</v>
      </c>
    </row>
    <row r="20">
      <c r="A20" t="s">
        <v>843</v>
      </c>
      <c r="B20" t="s">
        <v>844</v>
      </c>
      <c r="C20" t="s">
        <v>844</v>
      </c>
      <c r="D20" t="s">
        <v>797</v>
      </c>
      <c r="E20" t="s">
        <v>846</v>
      </c>
      <c r="F20" t="s">
        <v>798</v>
      </c>
      <c r="G20" t="s">
        <v>847</v>
      </c>
    </row>
    <row r="21">
      <c r="A21" t="s">
        <v>843</v>
      </c>
      <c r="B21" t="s">
        <v>844</v>
      </c>
      <c r="C21" t="s">
        <v>844</v>
      </c>
      <c r="D21" t="s">
        <v>800</v>
      </c>
      <c r="E21" t="s">
        <v>846</v>
      </c>
      <c r="F21" t="s">
        <v>713</v>
      </c>
      <c r="G21" t="s">
        <v>848</v>
      </c>
    </row>
    <row r="22">
      <c r="A22" t="s">
        <v>843</v>
      </c>
      <c r="B22" t="s">
        <v>844</v>
      </c>
      <c r="C22" t="s">
        <v>844</v>
      </c>
      <c r="D22" t="s">
        <v>802</v>
      </c>
      <c r="E22" t="s">
        <v>846</v>
      </c>
      <c r="F22" t="s">
        <v>803</v>
      </c>
      <c r="G22" t="s">
        <v>849</v>
      </c>
    </row>
    <row r="23">
      <c r="A23" t="s">
        <v>850</v>
      </c>
      <c r="B23" t="s">
        <v>30</v>
      </c>
      <c r="C23" t="s">
        <v>31</v>
      </c>
      <c r="D23" t="s">
        <v>805</v>
      </c>
      <c r="E23" t="s">
        <v>809</v>
      </c>
      <c r="F23" t="s">
        <v>807</v>
      </c>
      <c r="G23" t="s">
        <v>810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8.71" hidden="0" customWidth="1"/>
    <col min="4" max="4" width="37.71" hidden="0" customWidth="1"/>
    <col min="5" max="5" width="4.71" hidden="0" customWidth="1"/>
    <col min="6" max="6" width="20.71" hidden="0" customWidth="1"/>
    <col min="7" max="7" width="9.71" hidden="0" customWidth="1"/>
    <col min="8" max="8" width="8.71" hidden="0" customWidth="1"/>
    <col min="9" max="9" width="51.71" hidden="0" customWidth="1"/>
  </cols>
  <sheetData>
    <row r="1">
      <c r="A1" s="16" t="s">
        <v>23</v>
      </c>
      <c r="B1" s="16" t="s">
        <v>24</v>
      </c>
      <c r="C1" s="16" t="s">
        <v>805</v>
      </c>
      <c r="D1" s="16" t="s">
        <v>851</v>
      </c>
      <c r="E1" s="16" t="s">
        <v>852</v>
      </c>
      <c r="F1" s="16" t="s">
        <v>853</v>
      </c>
      <c r="G1" s="16" t="s">
        <v>197</v>
      </c>
      <c r="H1" s="16" t="s">
        <v>198</v>
      </c>
      <c r="I1" s="16" t="s">
        <v>854</v>
      </c>
    </row>
    <row r="2">
      <c r="A2" t="s">
        <v>36</v>
      </c>
      <c r="B2" t="s">
        <v>42</v>
      </c>
      <c r="C2" t="s">
        <v>807</v>
      </c>
      <c r="D2" t="s">
        <v>302</v>
      </c>
      <c r="E2" t="s">
        <v>226</v>
      </c>
      <c r="F2" t="s">
        <v>855</v>
      </c>
      <c r="G2" t="n">
        <v>0</v>
      </c>
      <c r="H2" t="n">
        <v>0</v>
      </c>
      <c r="I2" t="s">
        <v>856</v>
      </c>
    </row>
    <row r="3">
      <c r="A3" t="s">
        <v>36</v>
      </c>
      <c r="B3" t="s">
        <v>42</v>
      </c>
      <c r="C3" t="s">
        <v>807</v>
      </c>
      <c r="D3" t="s">
        <v>508</v>
      </c>
      <c r="E3" t="s">
        <v>226</v>
      </c>
      <c r="F3" t="s">
        <v>855</v>
      </c>
      <c r="G3" t="n">
        <v>0</v>
      </c>
      <c r="H3" t="n">
        <v>1</v>
      </c>
      <c r="I3" t="s">
        <v>856</v>
      </c>
    </row>
    <row r="4">
      <c r="A4" t="s">
        <v>36</v>
      </c>
      <c r="B4" t="s">
        <v>42</v>
      </c>
      <c r="C4" t="s">
        <v>807</v>
      </c>
      <c r="D4" t="s">
        <v>441</v>
      </c>
      <c r="E4" t="s">
        <v>209</v>
      </c>
      <c r="F4" t="s">
        <v>857</v>
      </c>
      <c r="G4" t="n">
        <v>0</v>
      </c>
      <c r="H4" t="n">
        <v>0</v>
      </c>
      <c r="I4" t="s">
        <v>856</v>
      </c>
    </row>
    <row r="5">
      <c r="A5" t="s">
        <v>36</v>
      </c>
      <c r="B5" t="s">
        <v>42</v>
      </c>
      <c r="C5" t="s">
        <v>807</v>
      </c>
      <c r="D5" t="s">
        <v>306</v>
      </c>
      <c r="E5" t="s">
        <v>209</v>
      </c>
      <c r="F5" t="s">
        <v>857</v>
      </c>
      <c r="G5" t="n">
        <v>0</v>
      </c>
      <c r="H5" t="n">
        <v>0</v>
      </c>
      <c r="I5" t="s">
        <v>856</v>
      </c>
    </row>
    <row r="6">
      <c r="A6" t="s">
        <v>36</v>
      </c>
      <c r="B6" t="s">
        <v>42</v>
      </c>
      <c r="C6" t="s">
        <v>807</v>
      </c>
      <c r="D6" t="s">
        <v>353</v>
      </c>
      <c r="E6" t="s">
        <v>209</v>
      </c>
      <c r="F6" t="s">
        <v>857</v>
      </c>
      <c r="G6" t="n">
        <v>0</v>
      </c>
      <c r="H6" t="n">
        <v>0</v>
      </c>
      <c r="I6" t="s">
        <v>856</v>
      </c>
    </row>
    <row r="7">
      <c r="A7" t="s">
        <v>36</v>
      </c>
      <c r="B7" t="s">
        <v>42</v>
      </c>
      <c r="C7" t="s">
        <v>807</v>
      </c>
      <c r="D7" t="s">
        <v>325</v>
      </c>
      <c r="E7" t="s">
        <v>209</v>
      </c>
      <c r="F7" t="s">
        <v>857</v>
      </c>
      <c r="G7" t="n">
        <v>0</v>
      </c>
      <c r="H7" t="n">
        <v>0</v>
      </c>
      <c r="I7" t="s">
        <v>856</v>
      </c>
    </row>
    <row r="8">
      <c r="A8" t="s">
        <v>36</v>
      </c>
      <c r="B8" t="s">
        <v>42</v>
      </c>
      <c r="C8" t="s">
        <v>807</v>
      </c>
      <c r="D8" t="s">
        <v>498</v>
      </c>
      <c r="E8" t="s">
        <v>209</v>
      </c>
      <c r="F8" t="s">
        <v>857</v>
      </c>
      <c r="G8" t="n">
        <v>1</v>
      </c>
      <c r="H8" t="n">
        <v>0</v>
      </c>
      <c r="I8" t="s">
        <v>856</v>
      </c>
    </row>
    <row r="9">
      <c r="A9" t="s">
        <v>36</v>
      </c>
      <c r="B9" t="s">
        <v>42</v>
      </c>
      <c r="C9" t="s">
        <v>807</v>
      </c>
      <c r="D9" t="s">
        <v>492</v>
      </c>
      <c r="E9" t="s">
        <v>209</v>
      </c>
      <c r="F9" t="s">
        <v>857</v>
      </c>
      <c r="G9" t="n">
        <v>1</v>
      </c>
      <c r="H9" t="n">
        <v>0</v>
      </c>
      <c r="I9" t="s">
        <v>856</v>
      </c>
    </row>
    <row r="10">
      <c r="A10" t="s">
        <v>36</v>
      </c>
      <c r="B10" t="s">
        <v>42</v>
      </c>
      <c r="C10" t="s">
        <v>807</v>
      </c>
      <c r="D10" t="s">
        <v>349</v>
      </c>
      <c r="E10" t="s">
        <v>209</v>
      </c>
      <c r="F10" t="s">
        <v>857</v>
      </c>
      <c r="G10" t="n">
        <v>0</v>
      </c>
      <c r="H10" t="n">
        <v>0</v>
      </c>
      <c r="I10" t="s">
        <v>856</v>
      </c>
    </row>
    <row r="11">
      <c r="A11" t="s">
        <v>36</v>
      </c>
      <c r="B11" t="s">
        <v>42</v>
      </c>
      <c r="C11" t="s">
        <v>807</v>
      </c>
      <c r="D11" t="s">
        <v>314</v>
      </c>
      <c r="E11" t="s">
        <v>209</v>
      </c>
      <c r="F11" t="s">
        <v>857</v>
      </c>
      <c r="G11" t="n">
        <v>1</v>
      </c>
      <c r="H11" t="n">
        <v>0</v>
      </c>
      <c r="I11" t="s">
        <v>856</v>
      </c>
    </row>
    <row r="12">
      <c r="A12" t="s">
        <v>36</v>
      </c>
      <c r="B12" t="s">
        <v>42</v>
      </c>
      <c r="C12" t="s">
        <v>807</v>
      </c>
      <c r="D12" t="s">
        <v>316</v>
      </c>
      <c r="E12" t="s">
        <v>209</v>
      </c>
      <c r="F12" t="s">
        <v>857</v>
      </c>
      <c r="G12" t="n">
        <v>0</v>
      </c>
      <c r="H12" t="n">
        <v>0</v>
      </c>
      <c r="I12" t="s">
        <v>856</v>
      </c>
    </row>
    <row r="13">
      <c r="A13" t="s">
        <v>36</v>
      </c>
      <c r="B13" t="s">
        <v>42</v>
      </c>
      <c r="C13" t="s">
        <v>807</v>
      </c>
      <c r="D13" t="s">
        <v>517</v>
      </c>
      <c r="E13" t="s">
        <v>209</v>
      </c>
      <c r="F13" t="s">
        <v>857</v>
      </c>
      <c r="G13" t="n">
        <v>0</v>
      </c>
      <c r="H13" t="n">
        <v>0</v>
      </c>
      <c r="I13" t="s">
        <v>856</v>
      </c>
    </row>
    <row r="14">
      <c r="A14" t="s">
        <v>36</v>
      </c>
      <c r="B14" t="s">
        <v>42</v>
      </c>
      <c r="C14" t="s">
        <v>807</v>
      </c>
      <c r="D14" t="s">
        <v>310</v>
      </c>
      <c r="E14" t="s">
        <v>209</v>
      </c>
      <c r="F14" t="s">
        <v>857</v>
      </c>
      <c r="G14" t="n">
        <v>0</v>
      </c>
      <c r="H14" t="n">
        <v>0</v>
      </c>
      <c r="I14" t="s">
        <v>856</v>
      </c>
    </row>
    <row r="15">
      <c r="A15" t="s">
        <v>36</v>
      </c>
      <c r="B15" t="s">
        <v>42</v>
      </c>
      <c r="C15" t="s">
        <v>807</v>
      </c>
      <c r="D15" t="s">
        <v>503</v>
      </c>
      <c r="E15" t="s">
        <v>209</v>
      </c>
      <c r="F15" t="s">
        <v>857</v>
      </c>
      <c r="G15" t="n">
        <v>0</v>
      </c>
      <c r="H15" t="n">
        <v>0</v>
      </c>
      <c r="I15" t="s">
        <v>856</v>
      </c>
    </row>
    <row r="16">
      <c r="A16" t="s">
        <v>36</v>
      </c>
      <c r="B16" t="s">
        <v>42</v>
      </c>
      <c r="C16" t="s">
        <v>807</v>
      </c>
      <c r="D16" t="s">
        <v>358</v>
      </c>
      <c r="E16" t="s">
        <v>209</v>
      </c>
      <c r="F16" t="s">
        <v>857</v>
      </c>
      <c r="G16" t="n">
        <v>1</v>
      </c>
      <c r="H16" t="n">
        <v>0</v>
      </c>
      <c r="I16" t="s">
        <v>856</v>
      </c>
    </row>
    <row r="17">
      <c r="A17" t="s">
        <v>36</v>
      </c>
      <c r="B17" t="s">
        <v>42</v>
      </c>
      <c r="C17" t="s">
        <v>807</v>
      </c>
      <c r="D17" t="s">
        <v>426</v>
      </c>
      <c r="E17" t="s">
        <v>209</v>
      </c>
      <c r="F17" t="s">
        <v>857</v>
      </c>
      <c r="G17" t="n">
        <v>0</v>
      </c>
      <c r="H17" t="n">
        <v>0</v>
      </c>
      <c r="I17" t="s">
        <v>856</v>
      </c>
    </row>
    <row r="18">
      <c r="A18" t="s">
        <v>36</v>
      </c>
      <c r="B18" t="s">
        <v>42</v>
      </c>
      <c r="C18" t="s">
        <v>807</v>
      </c>
      <c r="D18" t="s">
        <v>320</v>
      </c>
      <c r="E18" t="s">
        <v>209</v>
      </c>
      <c r="F18" t="s">
        <v>857</v>
      </c>
      <c r="G18" t="n">
        <v>0</v>
      </c>
      <c r="H18" t="n">
        <v>0</v>
      </c>
      <c r="I18" t="s">
        <v>856</v>
      </c>
    </row>
    <row r="19">
      <c r="A19" t="s">
        <v>36</v>
      </c>
      <c r="B19" t="s">
        <v>42</v>
      </c>
      <c r="C19" t="s">
        <v>807</v>
      </c>
      <c r="D19" t="s">
        <v>406</v>
      </c>
      <c r="E19" t="s">
        <v>209</v>
      </c>
      <c r="F19" t="s">
        <v>857</v>
      </c>
      <c r="G19" t="n">
        <v>0</v>
      </c>
      <c r="H19" t="n">
        <v>0</v>
      </c>
      <c r="I19" t="s">
        <v>856</v>
      </c>
    </row>
    <row r="20">
      <c r="A20" t="s">
        <v>36</v>
      </c>
      <c r="B20" t="s">
        <v>42</v>
      </c>
      <c r="C20" t="s">
        <v>807</v>
      </c>
      <c r="D20" t="s">
        <v>422</v>
      </c>
      <c r="E20" t="s">
        <v>209</v>
      </c>
      <c r="F20" t="s">
        <v>857</v>
      </c>
      <c r="G20" t="n">
        <v>0</v>
      </c>
      <c r="H20" t="n">
        <v>0</v>
      </c>
      <c r="I20" t="s">
        <v>856</v>
      </c>
    </row>
    <row r="21">
      <c r="A21" t="s">
        <v>36</v>
      </c>
      <c r="B21" t="s">
        <v>42</v>
      </c>
      <c r="C21" t="s">
        <v>807</v>
      </c>
      <c r="D21" t="s">
        <v>364</v>
      </c>
      <c r="E21" t="s">
        <v>209</v>
      </c>
      <c r="F21" t="s">
        <v>857</v>
      </c>
      <c r="G21" t="n">
        <v>0</v>
      </c>
      <c r="H21" t="n">
        <v>0</v>
      </c>
      <c r="I21" t="s">
        <v>856</v>
      </c>
    </row>
    <row r="22">
      <c r="A22" t="s">
        <v>36</v>
      </c>
      <c r="B22" t="s">
        <v>42</v>
      </c>
      <c r="C22" t="s">
        <v>807</v>
      </c>
      <c r="D22" t="s">
        <v>529</v>
      </c>
      <c r="E22" t="s">
        <v>208</v>
      </c>
      <c r="F22" t="s">
        <v>858</v>
      </c>
      <c r="G22" t="n">
        <v>0</v>
      </c>
      <c r="H22" t="n">
        <v>0</v>
      </c>
      <c r="I22" t="s">
        <v>856</v>
      </c>
    </row>
    <row r="23">
      <c r="A23" t="s">
        <v>36</v>
      </c>
      <c r="B23" t="s">
        <v>42</v>
      </c>
      <c r="C23" t="s">
        <v>807</v>
      </c>
      <c r="D23" t="s">
        <v>401</v>
      </c>
      <c r="E23" t="s">
        <v>208</v>
      </c>
      <c r="F23" t="s">
        <v>858</v>
      </c>
      <c r="G23" t="n">
        <v>0</v>
      </c>
      <c r="H23" t="n">
        <v>0</v>
      </c>
      <c r="I23" t="s">
        <v>856</v>
      </c>
    </row>
    <row r="24">
      <c r="A24" t="s">
        <v>36</v>
      </c>
      <c r="B24" t="s">
        <v>42</v>
      </c>
      <c r="C24" t="s">
        <v>807</v>
      </c>
      <c r="D24" t="s">
        <v>296</v>
      </c>
      <c r="E24" t="s">
        <v>208</v>
      </c>
      <c r="F24" t="s">
        <v>858</v>
      </c>
      <c r="G24" t="n">
        <v>-1</v>
      </c>
      <c r="H24" t="n">
        <v>0</v>
      </c>
      <c r="I24" t="s">
        <v>856</v>
      </c>
    </row>
    <row r="25">
      <c r="A25" t="s">
        <v>36</v>
      </c>
      <c r="B25" t="s">
        <v>39</v>
      </c>
      <c r="C25" t="s">
        <v>807</v>
      </c>
      <c r="D25" t="s">
        <v>441</v>
      </c>
      <c r="E25" t="s">
        <v>226</v>
      </c>
      <c r="F25" t="s">
        <v>855</v>
      </c>
      <c r="G25" t="n">
        <v>0</v>
      </c>
      <c r="H25" t="n">
        <v>0</v>
      </c>
      <c r="I25" t="s">
        <v>856</v>
      </c>
    </row>
    <row r="26">
      <c r="A26" t="s">
        <v>36</v>
      </c>
      <c r="B26" t="s">
        <v>39</v>
      </c>
      <c r="C26" t="s">
        <v>807</v>
      </c>
      <c r="D26" t="s">
        <v>302</v>
      </c>
      <c r="E26" t="s">
        <v>226</v>
      </c>
      <c r="F26" t="s">
        <v>855</v>
      </c>
      <c r="G26" t="n">
        <v>0</v>
      </c>
      <c r="H26" t="n">
        <v>0</v>
      </c>
      <c r="I26" t="s">
        <v>856</v>
      </c>
    </row>
    <row r="27">
      <c r="A27" t="s">
        <v>36</v>
      </c>
      <c r="B27" t="s">
        <v>39</v>
      </c>
      <c r="C27" t="s">
        <v>807</v>
      </c>
      <c r="D27" t="s">
        <v>438</v>
      </c>
      <c r="E27" t="s">
        <v>226</v>
      </c>
      <c r="F27" t="s">
        <v>855</v>
      </c>
      <c r="G27" t="n">
        <v>0</v>
      </c>
      <c r="H27" t="n">
        <v>0</v>
      </c>
      <c r="I27" t="s">
        <v>856</v>
      </c>
    </row>
    <row r="28">
      <c r="A28" t="s">
        <v>36</v>
      </c>
      <c r="B28" t="s">
        <v>39</v>
      </c>
      <c r="C28" t="s">
        <v>807</v>
      </c>
      <c r="D28" t="s">
        <v>432</v>
      </c>
      <c r="E28" t="s">
        <v>209</v>
      </c>
      <c r="F28" t="s">
        <v>857</v>
      </c>
      <c r="G28" t="n">
        <v>0</v>
      </c>
      <c r="H28" t="n">
        <v>0</v>
      </c>
      <c r="I28" t="s">
        <v>856</v>
      </c>
    </row>
    <row r="29">
      <c r="A29" t="s">
        <v>36</v>
      </c>
      <c r="B29" t="s">
        <v>39</v>
      </c>
      <c r="C29" t="s">
        <v>807</v>
      </c>
      <c r="D29" t="s">
        <v>306</v>
      </c>
      <c r="E29" t="s">
        <v>209</v>
      </c>
      <c r="F29" t="s">
        <v>857</v>
      </c>
      <c r="G29" t="n">
        <v>0</v>
      </c>
      <c r="H29" t="n">
        <v>0</v>
      </c>
      <c r="I29" t="s">
        <v>856</v>
      </c>
    </row>
    <row r="30">
      <c r="A30" t="s">
        <v>36</v>
      </c>
      <c r="B30" t="s">
        <v>39</v>
      </c>
      <c r="C30" t="s">
        <v>807</v>
      </c>
      <c r="D30" t="s">
        <v>140</v>
      </c>
      <c r="E30" t="s">
        <v>209</v>
      </c>
      <c r="F30" t="s">
        <v>857</v>
      </c>
      <c r="G30" t="n">
        <v>0</v>
      </c>
      <c r="H30" t="n">
        <v>0</v>
      </c>
      <c r="I30" t="s">
        <v>856</v>
      </c>
    </row>
    <row r="31">
      <c r="A31" t="s">
        <v>36</v>
      </c>
      <c r="B31" t="s">
        <v>39</v>
      </c>
      <c r="C31" t="s">
        <v>807</v>
      </c>
      <c r="D31" t="s">
        <v>353</v>
      </c>
      <c r="E31" t="s">
        <v>209</v>
      </c>
      <c r="F31" t="s">
        <v>857</v>
      </c>
      <c r="G31" t="n">
        <v>0</v>
      </c>
      <c r="H31" t="n">
        <v>0</v>
      </c>
      <c r="I31" t="s">
        <v>856</v>
      </c>
    </row>
    <row r="32">
      <c r="A32" t="s">
        <v>36</v>
      </c>
      <c r="B32" t="s">
        <v>39</v>
      </c>
      <c r="C32" t="s">
        <v>807</v>
      </c>
      <c r="D32" t="s">
        <v>325</v>
      </c>
      <c r="E32" t="s">
        <v>209</v>
      </c>
      <c r="F32" t="s">
        <v>857</v>
      </c>
      <c r="G32" t="n">
        <v>0</v>
      </c>
      <c r="H32" t="n">
        <v>0</v>
      </c>
      <c r="I32" t="s">
        <v>856</v>
      </c>
    </row>
    <row r="33">
      <c r="A33" t="s">
        <v>36</v>
      </c>
      <c r="B33" t="s">
        <v>39</v>
      </c>
      <c r="C33" t="s">
        <v>807</v>
      </c>
      <c r="D33" t="s">
        <v>444</v>
      </c>
      <c r="E33" t="s">
        <v>209</v>
      </c>
      <c r="F33" t="s">
        <v>857</v>
      </c>
      <c r="G33" t="n">
        <v>0</v>
      </c>
      <c r="H33" t="n">
        <v>0</v>
      </c>
      <c r="I33" t="s">
        <v>856</v>
      </c>
    </row>
    <row r="34">
      <c r="A34" t="s">
        <v>36</v>
      </c>
      <c r="B34" t="s">
        <v>39</v>
      </c>
      <c r="C34" t="s">
        <v>807</v>
      </c>
      <c r="D34" t="s">
        <v>498</v>
      </c>
      <c r="E34" t="s">
        <v>209</v>
      </c>
      <c r="F34" t="s">
        <v>857</v>
      </c>
      <c r="G34" t="n">
        <v>1</v>
      </c>
      <c r="H34" t="n">
        <v>0</v>
      </c>
      <c r="I34" t="s">
        <v>856</v>
      </c>
    </row>
    <row r="35">
      <c r="A35" t="s">
        <v>36</v>
      </c>
      <c r="B35" t="s">
        <v>39</v>
      </c>
      <c r="C35" t="s">
        <v>807</v>
      </c>
      <c r="D35" t="s">
        <v>492</v>
      </c>
      <c r="E35" t="s">
        <v>209</v>
      </c>
      <c r="F35" t="s">
        <v>857</v>
      </c>
      <c r="G35" t="n">
        <v>1</v>
      </c>
      <c r="H35" t="n">
        <v>0</v>
      </c>
      <c r="I35" t="s">
        <v>856</v>
      </c>
    </row>
    <row r="36">
      <c r="A36" t="s">
        <v>36</v>
      </c>
      <c r="B36" t="s">
        <v>39</v>
      </c>
      <c r="C36" t="s">
        <v>807</v>
      </c>
      <c r="D36" t="s">
        <v>349</v>
      </c>
      <c r="E36" t="s">
        <v>209</v>
      </c>
      <c r="F36" t="s">
        <v>857</v>
      </c>
      <c r="G36" t="n">
        <v>0</v>
      </c>
      <c r="H36" t="n">
        <v>0</v>
      </c>
      <c r="I36" t="s">
        <v>856</v>
      </c>
    </row>
    <row r="37">
      <c r="A37" t="s">
        <v>36</v>
      </c>
      <c r="B37" t="s">
        <v>39</v>
      </c>
      <c r="C37" t="s">
        <v>807</v>
      </c>
      <c r="D37" t="s">
        <v>478</v>
      </c>
      <c r="E37" t="s">
        <v>209</v>
      </c>
      <c r="F37" t="s">
        <v>857</v>
      </c>
      <c r="G37" t="n">
        <v>0</v>
      </c>
      <c r="H37" t="n">
        <v>0</v>
      </c>
      <c r="I37" t="s">
        <v>856</v>
      </c>
    </row>
    <row r="38">
      <c r="A38" t="s">
        <v>36</v>
      </c>
      <c r="B38" t="s">
        <v>39</v>
      </c>
      <c r="C38" t="s">
        <v>807</v>
      </c>
      <c r="D38" t="s">
        <v>314</v>
      </c>
      <c r="E38" t="s">
        <v>209</v>
      </c>
      <c r="F38" t="s">
        <v>857</v>
      </c>
      <c r="G38" t="n">
        <v>1</v>
      </c>
      <c r="H38" t="n">
        <v>0</v>
      </c>
      <c r="I38" t="s">
        <v>856</v>
      </c>
    </row>
    <row r="39">
      <c r="A39" t="s">
        <v>36</v>
      </c>
      <c r="B39" t="s">
        <v>39</v>
      </c>
      <c r="C39" t="s">
        <v>807</v>
      </c>
      <c r="D39" t="s">
        <v>316</v>
      </c>
      <c r="E39" t="s">
        <v>209</v>
      </c>
      <c r="F39" t="s">
        <v>857</v>
      </c>
      <c r="G39" t="n">
        <v>0</v>
      </c>
      <c r="H39" t="n">
        <v>0</v>
      </c>
      <c r="I39" t="s">
        <v>856</v>
      </c>
    </row>
    <row r="40">
      <c r="A40" t="s">
        <v>36</v>
      </c>
      <c r="B40" t="s">
        <v>39</v>
      </c>
      <c r="C40" t="s">
        <v>807</v>
      </c>
      <c r="D40" t="s">
        <v>517</v>
      </c>
      <c r="E40" t="s">
        <v>209</v>
      </c>
      <c r="F40" t="s">
        <v>857</v>
      </c>
      <c r="G40" t="n">
        <v>0</v>
      </c>
      <c r="H40" t="n">
        <v>0</v>
      </c>
      <c r="I40" t="s">
        <v>856</v>
      </c>
    </row>
    <row r="41">
      <c r="A41" t="s">
        <v>36</v>
      </c>
      <c r="B41" t="s">
        <v>39</v>
      </c>
      <c r="C41" t="s">
        <v>807</v>
      </c>
      <c r="D41" t="s">
        <v>310</v>
      </c>
      <c r="E41" t="s">
        <v>209</v>
      </c>
      <c r="F41" t="s">
        <v>857</v>
      </c>
      <c r="G41" t="n">
        <v>0</v>
      </c>
      <c r="H41" t="n">
        <v>0</v>
      </c>
      <c r="I41" t="s">
        <v>856</v>
      </c>
    </row>
    <row r="42">
      <c r="A42" t="s">
        <v>36</v>
      </c>
      <c r="B42" t="s">
        <v>39</v>
      </c>
      <c r="C42" t="s">
        <v>807</v>
      </c>
      <c r="D42" t="s">
        <v>503</v>
      </c>
      <c r="E42" t="s">
        <v>209</v>
      </c>
      <c r="F42" t="s">
        <v>857</v>
      </c>
      <c r="G42" t="n">
        <v>0</v>
      </c>
      <c r="H42" t="n">
        <v>0</v>
      </c>
      <c r="I42" t="s">
        <v>856</v>
      </c>
    </row>
    <row r="43">
      <c r="A43" t="s">
        <v>36</v>
      </c>
      <c r="B43" t="s">
        <v>39</v>
      </c>
      <c r="C43" t="s">
        <v>807</v>
      </c>
      <c r="D43" t="s">
        <v>358</v>
      </c>
      <c r="E43" t="s">
        <v>209</v>
      </c>
      <c r="F43" t="s">
        <v>857</v>
      </c>
      <c r="G43" t="n">
        <v>1</v>
      </c>
      <c r="H43" t="n">
        <v>0</v>
      </c>
      <c r="I43" t="s">
        <v>856</v>
      </c>
    </row>
    <row r="44">
      <c r="A44" t="s">
        <v>36</v>
      </c>
      <c r="B44" t="s">
        <v>39</v>
      </c>
      <c r="C44" t="s">
        <v>807</v>
      </c>
      <c r="D44" t="s">
        <v>320</v>
      </c>
      <c r="E44" t="s">
        <v>209</v>
      </c>
      <c r="F44" t="s">
        <v>857</v>
      </c>
      <c r="G44" t="n">
        <v>0</v>
      </c>
      <c r="H44" t="n">
        <v>0</v>
      </c>
      <c r="I44" t="s">
        <v>856</v>
      </c>
    </row>
    <row r="45">
      <c r="A45" t="s">
        <v>36</v>
      </c>
      <c r="B45" t="s">
        <v>39</v>
      </c>
      <c r="C45" t="s">
        <v>807</v>
      </c>
      <c r="D45" t="s">
        <v>429</v>
      </c>
      <c r="E45" t="s">
        <v>209</v>
      </c>
      <c r="F45" t="s">
        <v>857</v>
      </c>
      <c r="G45" t="n">
        <v>0</v>
      </c>
      <c r="H45" t="n">
        <v>0</v>
      </c>
      <c r="I45" t="s">
        <v>856</v>
      </c>
    </row>
    <row r="46">
      <c r="A46" t="s">
        <v>36</v>
      </c>
      <c r="B46" t="s">
        <v>39</v>
      </c>
      <c r="C46" t="s">
        <v>807</v>
      </c>
      <c r="D46" t="s">
        <v>486</v>
      </c>
      <c r="E46" t="s">
        <v>209</v>
      </c>
      <c r="F46" t="s">
        <v>857</v>
      </c>
      <c r="G46" t="n">
        <v>0</v>
      </c>
      <c r="H46" t="n">
        <v>0</v>
      </c>
      <c r="I46" t="s">
        <v>856</v>
      </c>
    </row>
    <row r="47">
      <c r="A47" t="s">
        <v>36</v>
      </c>
      <c r="B47" t="s">
        <v>39</v>
      </c>
      <c r="C47" t="s">
        <v>807</v>
      </c>
      <c r="D47" t="s">
        <v>406</v>
      </c>
      <c r="E47" t="s">
        <v>209</v>
      </c>
      <c r="F47" t="s">
        <v>857</v>
      </c>
      <c r="G47" t="n">
        <v>0</v>
      </c>
      <c r="H47" t="n">
        <v>0</v>
      </c>
      <c r="I47" t="s">
        <v>856</v>
      </c>
    </row>
    <row r="48">
      <c r="A48" t="s">
        <v>36</v>
      </c>
      <c r="B48" t="s">
        <v>39</v>
      </c>
      <c r="C48" t="s">
        <v>807</v>
      </c>
      <c r="D48" t="s">
        <v>364</v>
      </c>
      <c r="E48" t="s">
        <v>209</v>
      </c>
      <c r="F48" t="s">
        <v>857</v>
      </c>
      <c r="G48" t="n">
        <v>0</v>
      </c>
      <c r="H48" t="n">
        <v>0</v>
      </c>
      <c r="I48" t="s">
        <v>856</v>
      </c>
    </row>
    <row r="49">
      <c r="A49" t="s">
        <v>36</v>
      </c>
      <c r="B49" t="s">
        <v>39</v>
      </c>
      <c r="C49" t="s">
        <v>807</v>
      </c>
      <c r="D49" t="s">
        <v>521</v>
      </c>
      <c r="E49" t="s">
        <v>208</v>
      </c>
      <c r="F49" t="s">
        <v>858</v>
      </c>
      <c r="G49" t="n">
        <v>1</v>
      </c>
      <c r="H49" t="n">
        <v>0</v>
      </c>
      <c r="I49" t="s">
        <v>856</v>
      </c>
    </row>
    <row r="50">
      <c r="A50" t="s">
        <v>36</v>
      </c>
      <c r="B50" t="s">
        <v>39</v>
      </c>
      <c r="C50" t="s">
        <v>807</v>
      </c>
      <c r="D50" t="s">
        <v>462</v>
      </c>
      <c r="E50" t="s">
        <v>208</v>
      </c>
      <c r="F50" t="s">
        <v>858</v>
      </c>
      <c r="G50" t="n">
        <v>1</v>
      </c>
      <c r="H50" t="n">
        <v>0</v>
      </c>
      <c r="I50" t="s">
        <v>856</v>
      </c>
    </row>
    <row r="51">
      <c r="A51" t="s">
        <v>36</v>
      </c>
      <c r="B51" t="s">
        <v>39</v>
      </c>
      <c r="C51" t="s">
        <v>807</v>
      </c>
      <c r="D51" t="s">
        <v>426</v>
      </c>
      <c r="E51" t="s">
        <v>208</v>
      </c>
      <c r="F51" t="s">
        <v>858</v>
      </c>
      <c r="G51" t="n">
        <v>0</v>
      </c>
      <c r="H51" t="n">
        <v>0</v>
      </c>
      <c r="I51" t="s">
        <v>856</v>
      </c>
    </row>
    <row r="52">
      <c r="A52" t="s">
        <v>36</v>
      </c>
      <c r="B52" t="s">
        <v>39</v>
      </c>
      <c r="C52" t="s">
        <v>807</v>
      </c>
      <c r="D52" t="s">
        <v>401</v>
      </c>
      <c r="E52" t="s">
        <v>208</v>
      </c>
      <c r="F52" t="s">
        <v>858</v>
      </c>
      <c r="G52" t="n">
        <v>0</v>
      </c>
      <c r="H52" t="n">
        <v>0</v>
      </c>
      <c r="I52" t="s">
        <v>856</v>
      </c>
    </row>
    <row r="53">
      <c r="A53" t="s">
        <v>36</v>
      </c>
      <c r="B53" t="s">
        <v>39</v>
      </c>
      <c r="C53" t="s">
        <v>807</v>
      </c>
      <c r="D53" t="s">
        <v>508</v>
      </c>
      <c r="E53" t="s">
        <v>208</v>
      </c>
      <c r="F53" t="s">
        <v>858</v>
      </c>
      <c r="G53" t="n">
        <v>0</v>
      </c>
      <c r="H53" t="n">
        <v>1</v>
      </c>
      <c r="I53" t="s">
        <v>856</v>
      </c>
    </row>
    <row r="54">
      <c r="A54" t="s">
        <v>36</v>
      </c>
      <c r="B54" t="s">
        <v>39</v>
      </c>
      <c r="C54" t="s">
        <v>807</v>
      </c>
      <c r="D54" t="s">
        <v>296</v>
      </c>
      <c r="E54" t="s">
        <v>208</v>
      </c>
      <c r="F54" t="s">
        <v>858</v>
      </c>
      <c r="G54" t="n">
        <v>-1</v>
      </c>
      <c r="H54" t="n">
        <v>0</v>
      </c>
      <c r="I54" t="s">
        <v>856</v>
      </c>
    </row>
    <row r="55">
      <c r="A55" t="s">
        <v>36</v>
      </c>
      <c r="B55" t="s">
        <v>39</v>
      </c>
      <c r="C55" t="s">
        <v>807</v>
      </c>
      <c r="D55" t="s">
        <v>422</v>
      </c>
      <c r="E55" t="s">
        <v>208</v>
      </c>
      <c r="F55" t="s">
        <v>858</v>
      </c>
      <c r="G55" t="n">
        <v>0</v>
      </c>
      <c r="H55" t="n">
        <v>0</v>
      </c>
      <c r="I55" t="s">
        <v>856</v>
      </c>
    </row>
    <row r="56">
      <c r="A56" t="s">
        <v>36</v>
      </c>
      <c r="B56" t="s">
        <v>41</v>
      </c>
      <c r="C56" t="s">
        <v>807</v>
      </c>
      <c r="D56" t="s">
        <v>441</v>
      </c>
      <c r="E56" t="s">
        <v>226</v>
      </c>
      <c r="F56" t="s">
        <v>855</v>
      </c>
      <c r="G56" t="n">
        <v>0</v>
      </c>
      <c r="H56" t="n">
        <v>0</v>
      </c>
      <c r="I56" t="s">
        <v>856</v>
      </c>
    </row>
    <row r="57">
      <c r="A57" t="s">
        <v>36</v>
      </c>
      <c r="B57" t="s">
        <v>41</v>
      </c>
      <c r="C57" t="s">
        <v>807</v>
      </c>
      <c r="D57" t="s">
        <v>302</v>
      </c>
      <c r="E57" t="s">
        <v>226</v>
      </c>
      <c r="F57" t="s">
        <v>855</v>
      </c>
      <c r="G57" t="n">
        <v>0</v>
      </c>
      <c r="H57" t="n">
        <v>0</v>
      </c>
      <c r="I57" t="s">
        <v>856</v>
      </c>
    </row>
    <row r="58">
      <c r="A58" t="s">
        <v>36</v>
      </c>
      <c r="B58" t="s">
        <v>41</v>
      </c>
      <c r="C58" t="s">
        <v>807</v>
      </c>
      <c r="D58" t="s">
        <v>438</v>
      </c>
      <c r="E58" t="s">
        <v>226</v>
      </c>
      <c r="F58" t="s">
        <v>855</v>
      </c>
      <c r="G58" t="n">
        <v>0</v>
      </c>
      <c r="H58" t="n">
        <v>0</v>
      </c>
      <c r="I58" t="s">
        <v>856</v>
      </c>
    </row>
    <row r="59">
      <c r="A59" t="s">
        <v>36</v>
      </c>
      <c r="B59" t="s">
        <v>41</v>
      </c>
      <c r="C59" t="s">
        <v>807</v>
      </c>
      <c r="D59" t="s">
        <v>508</v>
      </c>
      <c r="E59" t="s">
        <v>226</v>
      </c>
      <c r="F59" t="s">
        <v>855</v>
      </c>
      <c r="G59" t="n">
        <v>0</v>
      </c>
      <c r="H59" t="n">
        <v>1</v>
      </c>
      <c r="I59" t="s">
        <v>856</v>
      </c>
    </row>
    <row r="60">
      <c r="A60" t="s">
        <v>36</v>
      </c>
      <c r="B60" t="s">
        <v>41</v>
      </c>
      <c r="C60" t="s">
        <v>807</v>
      </c>
      <c r="D60" t="s">
        <v>353</v>
      </c>
      <c r="E60" t="s">
        <v>209</v>
      </c>
      <c r="F60" t="s">
        <v>857</v>
      </c>
      <c r="G60" t="n">
        <v>0</v>
      </c>
      <c r="H60" t="n">
        <v>0</v>
      </c>
      <c r="I60" t="s">
        <v>856</v>
      </c>
    </row>
    <row r="61">
      <c r="A61" t="s">
        <v>36</v>
      </c>
      <c r="B61" t="s">
        <v>41</v>
      </c>
      <c r="C61" t="s">
        <v>807</v>
      </c>
      <c r="D61" t="s">
        <v>521</v>
      </c>
      <c r="E61" t="s">
        <v>209</v>
      </c>
      <c r="F61" t="s">
        <v>857</v>
      </c>
      <c r="G61" t="n">
        <v>1</v>
      </c>
      <c r="H61" t="n">
        <v>0</v>
      </c>
      <c r="I61" t="s">
        <v>856</v>
      </c>
    </row>
    <row r="62">
      <c r="A62" t="s">
        <v>36</v>
      </c>
      <c r="B62" t="s">
        <v>41</v>
      </c>
      <c r="C62" t="s">
        <v>807</v>
      </c>
      <c r="D62" t="s">
        <v>466</v>
      </c>
      <c r="E62" t="s">
        <v>209</v>
      </c>
      <c r="F62" t="s">
        <v>857</v>
      </c>
      <c r="G62" t="n">
        <v>1</v>
      </c>
      <c r="H62" t="n">
        <v>0</v>
      </c>
      <c r="I62" t="s">
        <v>856</v>
      </c>
    </row>
    <row r="63">
      <c r="A63" t="s">
        <v>36</v>
      </c>
      <c r="B63" t="s">
        <v>41</v>
      </c>
      <c r="C63" t="s">
        <v>807</v>
      </c>
      <c r="D63" t="s">
        <v>444</v>
      </c>
      <c r="E63" t="s">
        <v>209</v>
      </c>
      <c r="F63" t="s">
        <v>857</v>
      </c>
      <c r="G63" t="n">
        <v>0</v>
      </c>
      <c r="H63" t="n">
        <v>0</v>
      </c>
      <c r="I63" t="s">
        <v>856</v>
      </c>
    </row>
    <row r="64">
      <c r="A64" t="s">
        <v>36</v>
      </c>
      <c r="B64" t="s">
        <v>41</v>
      </c>
      <c r="C64" t="s">
        <v>807</v>
      </c>
      <c r="D64" t="s">
        <v>492</v>
      </c>
      <c r="E64" t="s">
        <v>209</v>
      </c>
      <c r="F64" t="s">
        <v>857</v>
      </c>
      <c r="G64" t="n">
        <v>1</v>
      </c>
      <c r="H64" t="n">
        <v>0</v>
      </c>
      <c r="I64" t="s">
        <v>856</v>
      </c>
    </row>
    <row r="65">
      <c r="A65" t="s">
        <v>36</v>
      </c>
      <c r="B65" t="s">
        <v>41</v>
      </c>
      <c r="C65" t="s">
        <v>807</v>
      </c>
      <c r="D65" t="s">
        <v>349</v>
      </c>
      <c r="E65" t="s">
        <v>209</v>
      </c>
      <c r="F65" t="s">
        <v>857</v>
      </c>
      <c r="G65" t="n">
        <v>0</v>
      </c>
      <c r="H65" t="n">
        <v>0</v>
      </c>
      <c r="I65" t="s">
        <v>856</v>
      </c>
    </row>
    <row r="66">
      <c r="A66" t="s">
        <v>36</v>
      </c>
      <c r="B66" t="s">
        <v>41</v>
      </c>
      <c r="C66" t="s">
        <v>807</v>
      </c>
      <c r="D66" t="s">
        <v>314</v>
      </c>
      <c r="E66" t="s">
        <v>209</v>
      </c>
      <c r="F66" t="s">
        <v>857</v>
      </c>
      <c r="G66" t="n">
        <v>1</v>
      </c>
      <c r="H66" t="n">
        <v>0</v>
      </c>
      <c r="I66" t="s">
        <v>856</v>
      </c>
    </row>
    <row r="67">
      <c r="A67" t="s">
        <v>36</v>
      </c>
      <c r="B67" t="s">
        <v>41</v>
      </c>
      <c r="C67" t="s">
        <v>807</v>
      </c>
      <c r="D67" t="s">
        <v>517</v>
      </c>
      <c r="E67" t="s">
        <v>209</v>
      </c>
      <c r="F67" t="s">
        <v>857</v>
      </c>
      <c r="G67" t="n">
        <v>0</v>
      </c>
      <c r="H67" t="n">
        <v>0</v>
      </c>
      <c r="I67" t="s">
        <v>856</v>
      </c>
    </row>
    <row r="68">
      <c r="A68" t="s">
        <v>36</v>
      </c>
      <c r="B68" t="s">
        <v>41</v>
      </c>
      <c r="C68" t="s">
        <v>807</v>
      </c>
      <c r="D68" t="s">
        <v>503</v>
      </c>
      <c r="E68" t="s">
        <v>209</v>
      </c>
      <c r="F68" t="s">
        <v>857</v>
      </c>
      <c r="G68" t="n">
        <v>0</v>
      </c>
      <c r="H68" t="n">
        <v>0</v>
      </c>
      <c r="I68" t="s">
        <v>856</v>
      </c>
    </row>
    <row r="69">
      <c r="A69" t="s">
        <v>36</v>
      </c>
      <c r="B69" t="s">
        <v>41</v>
      </c>
      <c r="C69" t="s">
        <v>807</v>
      </c>
      <c r="D69" t="s">
        <v>358</v>
      </c>
      <c r="E69" t="s">
        <v>209</v>
      </c>
      <c r="F69" t="s">
        <v>857</v>
      </c>
      <c r="G69" t="n">
        <v>1</v>
      </c>
      <c r="H69" t="n">
        <v>0</v>
      </c>
      <c r="I69" t="s">
        <v>856</v>
      </c>
    </row>
    <row r="70">
      <c r="A70" t="s">
        <v>36</v>
      </c>
      <c r="B70" t="s">
        <v>41</v>
      </c>
      <c r="C70" t="s">
        <v>807</v>
      </c>
      <c r="D70" t="s">
        <v>448</v>
      </c>
      <c r="E70" t="s">
        <v>209</v>
      </c>
      <c r="F70" t="s">
        <v>857</v>
      </c>
      <c r="G70" t="n">
        <v>0</v>
      </c>
      <c r="H70" t="n">
        <v>0</v>
      </c>
      <c r="I70" t="s">
        <v>856</v>
      </c>
    </row>
    <row r="71">
      <c r="A71" t="s">
        <v>36</v>
      </c>
      <c r="B71" t="s">
        <v>41</v>
      </c>
      <c r="C71" t="s">
        <v>807</v>
      </c>
      <c r="D71" t="s">
        <v>486</v>
      </c>
      <c r="E71" t="s">
        <v>209</v>
      </c>
      <c r="F71" t="s">
        <v>857</v>
      </c>
      <c r="G71" t="n">
        <v>0</v>
      </c>
      <c r="H71" t="n">
        <v>0</v>
      </c>
      <c r="I71" t="s">
        <v>856</v>
      </c>
    </row>
    <row r="72">
      <c r="A72" t="s">
        <v>36</v>
      </c>
      <c r="B72" t="s">
        <v>41</v>
      </c>
      <c r="C72" t="s">
        <v>807</v>
      </c>
      <c r="D72" t="s">
        <v>406</v>
      </c>
      <c r="E72" t="s">
        <v>209</v>
      </c>
      <c r="F72" t="s">
        <v>857</v>
      </c>
      <c r="G72" t="n">
        <v>0</v>
      </c>
      <c r="H72" t="n">
        <v>0</v>
      </c>
      <c r="I72" t="s">
        <v>856</v>
      </c>
    </row>
    <row r="73">
      <c r="A73" t="s">
        <v>36</v>
      </c>
      <c r="B73" t="s">
        <v>41</v>
      </c>
      <c r="C73" t="s">
        <v>807</v>
      </c>
      <c r="D73" t="s">
        <v>470</v>
      </c>
      <c r="E73" t="s">
        <v>209</v>
      </c>
      <c r="F73" t="s">
        <v>857</v>
      </c>
      <c r="G73" t="n">
        <v>1</v>
      </c>
      <c r="H73" t="n">
        <v>0</v>
      </c>
      <c r="I73" t="s">
        <v>856</v>
      </c>
    </row>
    <row r="74">
      <c r="A74" t="s">
        <v>36</v>
      </c>
      <c r="B74" t="s">
        <v>41</v>
      </c>
      <c r="C74" t="s">
        <v>807</v>
      </c>
      <c r="D74" t="s">
        <v>422</v>
      </c>
      <c r="E74" t="s">
        <v>209</v>
      </c>
      <c r="F74" t="s">
        <v>857</v>
      </c>
      <c r="G74" t="n">
        <v>0</v>
      </c>
      <c r="H74" t="n">
        <v>0</v>
      </c>
      <c r="I74" t="s">
        <v>856</v>
      </c>
    </row>
    <row r="75">
      <c r="A75" t="s">
        <v>36</v>
      </c>
      <c r="B75" t="s">
        <v>41</v>
      </c>
      <c r="C75" t="s">
        <v>807</v>
      </c>
      <c r="D75" t="s">
        <v>140</v>
      </c>
      <c r="E75" t="s">
        <v>208</v>
      </c>
      <c r="F75" t="s">
        <v>858</v>
      </c>
      <c r="G75" t="n">
        <v>0</v>
      </c>
      <c r="H75" t="n">
        <v>0</v>
      </c>
      <c r="I75" t="s">
        <v>856</v>
      </c>
    </row>
    <row r="76">
      <c r="A76" t="s">
        <v>36</v>
      </c>
      <c r="B76" t="s">
        <v>41</v>
      </c>
      <c r="C76" t="s">
        <v>807</v>
      </c>
      <c r="D76" t="s">
        <v>426</v>
      </c>
      <c r="E76" t="s">
        <v>208</v>
      </c>
      <c r="F76" t="s">
        <v>858</v>
      </c>
      <c r="G76" t="n">
        <v>0</v>
      </c>
      <c r="H76" t="n">
        <v>0</v>
      </c>
      <c r="I76" t="s">
        <v>856</v>
      </c>
    </row>
    <row r="77">
      <c r="A77" t="s">
        <v>36</v>
      </c>
      <c r="B77" t="s">
        <v>41</v>
      </c>
      <c r="C77" t="s">
        <v>807</v>
      </c>
      <c r="D77" t="s">
        <v>401</v>
      </c>
      <c r="E77" t="s">
        <v>208</v>
      </c>
      <c r="F77" t="s">
        <v>858</v>
      </c>
      <c r="G77" t="n">
        <v>0</v>
      </c>
      <c r="H77" t="n">
        <v>0</v>
      </c>
      <c r="I77" t="s">
        <v>856</v>
      </c>
    </row>
    <row r="78">
      <c r="A78" t="s">
        <v>36</v>
      </c>
      <c r="B78" t="s">
        <v>41</v>
      </c>
      <c r="C78" t="s">
        <v>807</v>
      </c>
      <c r="D78" t="s">
        <v>525</v>
      </c>
      <c r="E78" t="s">
        <v>208</v>
      </c>
      <c r="F78" t="s">
        <v>858</v>
      </c>
      <c r="G78" t="n">
        <v>0</v>
      </c>
      <c r="H78" t="n">
        <v>0</v>
      </c>
      <c r="I78" t="s">
        <v>856</v>
      </c>
    </row>
    <row r="79">
      <c r="A79" t="s">
        <v>36</v>
      </c>
      <c r="B79" t="s">
        <v>41</v>
      </c>
      <c r="C79" t="s">
        <v>807</v>
      </c>
      <c r="D79" t="s">
        <v>296</v>
      </c>
      <c r="E79" t="s">
        <v>208</v>
      </c>
      <c r="F79" t="s">
        <v>858</v>
      </c>
      <c r="G79" t="n">
        <v>-1</v>
      </c>
      <c r="H79" t="n">
        <v>0</v>
      </c>
      <c r="I79" t="s">
        <v>856</v>
      </c>
    </row>
    <row r="80">
      <c r="A80" t="s">
        <v>36</v>
      </c>
      <c r="B80" t="s">
        <v>38</v>
      </c>
      <c r="C80" t="s">
        <v>807</v>
      </c>
      <c r="D80" t="s">
        <v>441</v>
      </c>
      <c r="E80" t="s">
        <v>226</v>
      </c>
      <c r="F80" t="s">
        <v>855</v>
      </c>
      <c r="G80" t="n">
        <v>0</v>
      </c>
      <c r="H80" t="n">
        <v>0</v>
      </c>
      <c r="I80" t="s">
        <v>856</v>
      </c>
    </row>
    <row r="81">
      <c r="A81" t="s">
        <v>36</v>
      </c>
      <c r="B81" t="s">
        <v>38</v>
      </c>
      <c r="C81" t="s">
        <v>807</v>
      </c>
      <c r="D81" t="s">
        <v>302</v>
      </c>
      <c r="E81" t="s">
        <v>226</v>
      </c>
      <c r="F81" t="s">
        <v>855</v>
      </c>
      <c r="G81" t="n">
        <v>0</v>
      </c>
      <c r="H81" t="n">
        <v>0</v>
      </c>
      <c r="I81" t="s">
        <v>856</v>
      </c>
    </row>
    <row r="82">
      <c r="A82" t="s">
        <v>36</v>
      </c>
      <c r="B82" t="s">
        <v>38</v>
      </c>
      <c r="C82" t="s">
        <v>807</v>
      </c>
      <c r="D82" t="s">
        <v>508</v>
      </c>
      <c r="E82" t="s">
        <v>226</v>
      </c>
      <c r="F82" t="s">
        <v>855</v>
      </c>
      <c r="G82" t="n">
        <v>0</v>
      </c>
      <c r="H82" t="n">
        <v>1</v>
      </c>
      <c r="I82" t="s">
        <v>856</v>
      </c>
    </row>
    <row r="83">
      <c r="A83" t="s">
        <v>36</v>
      </c>
      <c r="B83" t="s">
        <v>38</v>
      </c>
      <c r="C83" t="s">
        <v>807</v>
      </c>
      <c r="D83" t="s">
        <v>492</v>
      </c>
      <c r="E83" t="s">
        <v>209</v>
      </c>
      <c r="F83" t="s">
        <v>857</v>
      </c>
      <c r="G83" t="n">
        <v>1</v>
      </c>
      <c r="H83" t="n">
        <v>0</v>
      </c>
      <c r="I83" t="s">
        <v>856</v>
      </c>
    </row>
    <row r="84">
      <c r="A84" t="s">
        <v>36</v>
      </c>
      <c r="B84" t="s">
        <v>38</v>
      </c>
      <c r="C84" t="s">
        <v>807</v>
      </c>
      <c r="D84" t="s">
        <v>358</v>
      </c>
      <c r="E84" t="s">
        <v>209</v>
      </c>
      <c r="F84" t="s">
        <v>857</v>
      </c>
      <c r="G84" t="n">
        <v>1</v>
      </c>
      <c r="H84" t="n">
        <v>0</v>
      </c>
      <c r="I84" t="s">
        <v>856</v>
      </c>
    </row>
    <row r="85">
      <c r="A85" t="s">
        <v>36</v>
      </c>
      <c r="B85" t="s">
        <v>38</v>
      </c>
      <c r="C85" t="s">
        <v>807</v>
      </c>
      <c r="D85" t="s">
        <v>432</v>
      </c>
      <c r="E85" t="s">
        <v>208</v>
      </c>
      <c r="F85" t="s">
        <v>858</v>
      </c>
      <c r="G85" t="n">
        <v>0</v>
      </c>
      <c r="H85" t="n">
        <v>0</v>
      </c>
      <c r="I85" t="s">
        <v>856</v>
      </c>
    </row>
    <row r="86">
      <c r="A86" t="s">
        <v>36</v>
      </c>
      <c r="B86" t="s">
        <v>38</v>
      </c>
      <c r="C86" t="s">
        <v>807</v>
      </c>
      <c r="D86" t="s">
        <v>414</v>
      </c>
      <c r="E86" t="s">
        <v>208</v>
      </c>
      <c r="F86" t="s">
        <v>858</v>
      </c>
      <c r="G86" t="n">
        <v>-1</v>
      </c>
      <c r="H86" t="n">
        <v>0</v>
      </c>
      <c r="I86" t="s">
        <v>856</v>
      </c>
    </row>
    <row r="87">
      <c r="A87" t="s">
        <v>36</v>
      </c>
      <c r="B87" t="s">
        <v>38</v>
      </c>
      <c r="C87" t="s">
        <v>807</v>
      </c>
      <c r="D87" t="s">
        <v>417</v>
      </c>
      <c r="E87" t="s">
        <v>208</v>
      </c>
      <c r="F87" t="s">
        <v>858</v>
      </c>
      <c r="G87" t="n">
        <v>-1</v>
      </c>
      <c r="H87" t="n">
        <v>0</v>
      </c>
      <c r="I87" t="s">
        <v>856</v>
      </c>
    </row>
    <row r="88">
      <c r="A88" t="s">
        <v>36</v>
      </c>
      <c r="B88" t="s">
        <v>38</v>
      </c>
      <c r="C88" t="s">
        <v>807</v>
      </c>
      <c r="D88" t="s">
        <v>410</v>
      </c>
      <c r="E88" t="s">
        <v>208</v>
      </c>
      <c r="F88" t="s">
        <v>858</v>
      </c>
      <c r="G88" t="n">
        <v>1</v>
      </c>
      <c r="H88" t="n">
        <v>0</v>
      </c>
      <c r="I88" t="s">
        <v>856</v>
      </c>
    </row>
    <row r="89">
      <c r="A89" t="s">
        <v>36</v>
      </c>
      <c r="B89" t="s">
        <v>38</v>
      </c>
      <c r="C89" t="s">
        <v>807</v>
      </c>
      <c r="D89" t="s">
        <v>426</v>
      </c>
      <c r="E89" t="s">
        <v>208</v>
      </c>
      <c r="F89" t="s">
        <v>858</v>
      </c>
      <c r="G89" t="n">
        <v>0</v>
      </c>
      <c r="H89" t="n">
        <v>0</v>
      </c>
      <c r="I89" t="s">
        <v>856</v>
      </c>
    </row>
    <row r="90">
      <c r="A90" t="s">
        <v>36</v>
      </c>
      <c r="B90" t="s">
        <v>38</v>
      </c>
      <c r="C90" t="s">
        <v>807</v>
      </c>
      <c r="D90" t="s">
        <v>474</v>
      </c>
      <c r="E90" t="s">
        <v>208</v>
      </c>
      <c r="F90" t="s">
        <v>858</v>
      </c>
      <c r="G90" t="n">
        <v>0</v>
      </c>
      <c r="H90" t="n">
        <v>0</v>
      </c>
      <c r="I90" t="s">
        <v>856</v>
      </c>
    </row>
    <row r="91">
      <c r="A91" t="s">
        <v>36</v>
      </c>
      <c r="B91" t="s">
        <v>38</v>
      </c>
      <c r="C91" t="s">
        <v>807</v>
      </c>
      <c r="D91" t="s">
        <v>401</v>
      </c>
      <c r="E91" t="s">
        <v>208</v>
      </c>
      <c r="F91" t="s">
        <v>858</v>
      </c>
      <c r="G91" t="n">
        <v>0</v>
      </c>
      <c r="H91" t="n">
        <v>0</v>
      </c>
      <c r="I91" t="s">
        <v>856</v>
      </c>
    </row>
    <row r="92">
      <c r="A92" t="s">
        <v>36</v>
      </c>
      <c r="B92" t="s">
        <v>38</v>
      </c>
      <c r="C92" t="s">
        <v>807</v>
      </c>
      <c r="D92" t="s">
        <v>296</v>
      </c>
      <c r="E92" t="s">
        <v>208</v>
      </c>
      <c r="F92" t="s">
        <v>858</v>
      </c>
      <c r="G92" t="n">
        <v>-1</v>
      </c>
      <c r="H92" t="n">
        <v>0</v>
      </c>
      <c r="I92" t="s">
        <v>856</v>
      </c>
    </row>
    <row r="93">
      <c r="A93" t="s">
        <v>36</v>
      </c>
      <c r="B93" t="s">
        <v>37</v>
      </c>
      <c r="C93" t="s">
        <v>807</v>
      </c>
      <c r="D93" t="s">
        <v>441</v>
      </c>
      <c r="E93" t="s">
        <v>226</v>
      </c>
      <c r="F93" t="s">
        <v>855</v>
      </c>
      <c r="G93" t="n">
        <v>0</v>
      </c>
      <c r="H93" t="n">
        <v>0</v>
      </c>
      <c r="I93" t="s">
        <v>856</v>
      </c>
    </row>
    <row r="94">
      <c r="A94" t="s">
        <v>36</v>
      </c>
      <c r="B94" t="s">
        <v>37</v>
      </c>
      <c r="C94" t="s">
        <v>807</v>
      </c>
      <c r="D94" t="s">
        <v>302</v>
      </c>
      <c r="E94" t="s">
        <v>226</v>
      </c>
      <c r="F94" t="s">
        <v>855</v>
      </c>
      <c r="G94" t="n">
        <v>0</v>
      </c>
      <c r="H94" t="n">
        <v>0</v>
      </c>
      <c r="I94" t="s">
        <v>856</v>
      </c>
    </row>
    <row r="95">
      <c r="A95" t="s">
        <v>36</v>
      </c>
      <c r="B95" t="s">
        <v>37</v>
      </c>
      <c r="C95" t="s">
        <v>807</v>
      </c>
      <c r="D95" t="s">
        <v>438</v>
      </c>
      <c r="E95" t="s">
        <v>226</v>
      </c>
      <c r="F95" t="s">
        <v>855</v>
      </c>
      <c r="G95" t="n">
        <v>0</v>
      </c>
      <c r="H95" t="n">
        <v>0</v>
      </c>
      <c r="I95" t="s">
        <v>856</v>
      </c>
    </row>
    <row r="96">
      <c r="A96" t="s">
        <v>36</v>
      </c>
      <c r="B96" t="s">
        <v>37</v>
      </c>
      <c r="C96" t="s">
        <v>807</v>
      </c>
      <c r="D96" t="s">
        <v>448</v>
      </c>
      <c r="E96" t="s">
        <v>226</v>
      </c>
      <c r="F96" t="s">
        <v>855</v>
      </c>
      <c r="G96" t="n">
        <v>0</v>
      </c>
      <c r="H96" t="n">
        <v>0</v>
      </c>
      <c r="I96" t="s">
        <v>856</v>
      </c>
    </row>
    <row r="97">
      <c r="A97" t="s">
        <v>36</v>
      </c>
      <c r="B97" t="s">
        <v>37</v>
      </c>
      <c r="C97" t="s">
        <v>807</v>
      </c>
      <c r="D97" t="s">
        <v>508</v>
      </c>
      <c r="E97" t="s">
        <v>226</v>
      </c>
      <c r="F97" t="s">
        <v>855</v>
      </c>
      <c r="G97" t="n">
        <v>0</v>
      </c>
      <c r="H97" t="n">
        <v>1</v>
      </c>
      <c r="I97" t="s">
        <v>856</v>
      </c>
    </row>
    <row r="98">
      <c r="A98" t="s">
        <v>36</v>
      </c>
      <c r="B98" t="s">
        <v>37</v>
      </c>
      <c r="C98" t="s">
        <v>807</v>
      </c>
      <c r="D98" t="s">
        <v>306</v>
      </c>
      <c r="E98" t="s">
        <v>209</v>
      </c>
      <c r="F98" t="s">
        <v>857</v>
      </c>
      <c r="G98" t="n">
        <v>0</v>
      </c>
      <c r="H98" t="n">
        <v>0</v>
      </c>
      <c r="I98" t="s">
        <v>856</v>
      </c>
    </row>
    <row r="99">
      <c r="A99" t="s">
        <v>36</v>
      </c>
      <c r="B99" t="s">
        <v>37</v>
      </c>
      <c r="C99" t="s">
        <v>807</v>
      </c>
      <c r="D99" t="s">
        <v>325</v>
      </c>
      <c r="E99" t="s">
        <v>209</v>
      </c>
      <c r="F99" t="s">
        <v>857</v>
      </c>
      <c r="G99" t="n">
        <v>0</v>
      </c>
      <c r="H99" t="n">
        <v>0</v>
      </c>
      <c r="I99" t="s">
        <v>856</v>
      </c>
    </row>
    <row r="100">
      <c r="A100" t="s">
        <v>36</v>
      </c>
      <c r="B100" t="s">
        <v>37</v>
      </c>
      <c r="C100" t="s">
        <v>807</v>
      </c>
      <c r="D100" t="s">
        <v>451</v>
      </c>
      <c r="E100" t="s">
        <v>209</v>
      </c>
      <c r="F100" t="s">
        <v>857</v>
      </c>
      <c r="G100" t="n">
        <v>0</v>
      </c>
      <c r="H100" t="n">
        <v>0</v>
      </c>
      <c r="I100" t="s">
        <v>856</v>
      </c>
    </row>
    <row r="101">
      <c r="A101" t="s">
        <v>36</v>
      </c>
      <c r="B101" t="s">
        <v>37</v>
      </c>
      <c r="C101" t="s">
        <v>807</v>
      </c>
      <c r="D101" t="s">
        <v>498</v>
      </c>
      <c r="E101" t="s">
        <v>209</v>
      </c>
      <c r="F101" t="s">
        <v>857</v>
      </c>
      <c r="G101" t="n">
        <v>1</v>
      </c>
      <c r="H101" t="n">
        <v>0</v>
      </c>
      <c r="I101" t="s">
        <v>856</v>
      </c>
    </row>
    <row r="102">
      <c r="A102" t="s">
        <v>36</v>
      </c>
      <c r="B102" t="s">
        <v>37</v>
      </c>
      <c r="C102" t="s">
        <v>807</v>
      </c>
      <c r="D102" t="s">
        <v>492</v>
      </c>
      <c r="E102" t="s">
        <v>209</v>
      </c>
      <c r="F102" t="s">
        <v>857</v>
      </c>
      <c r="G102" t="n">
        <v>1</v>
      </c>
      <c r="H102" t="n">
        <v>0</v>
      </c>
      <c r="I102" t="s">
        <v>856</v>
      </c>
    </row>
    <row r="103">
      <c r="A103" t="s">
        <v>36</v>
      </c>
      <c r="B103" t="s">
        <v>37</v>
      </c>
      <c r="C103" t="s">
        <v>807</v>
      </c>
      <c r="D103" t="s">
        <v>358</v>
      </c>
      <c r="E103" t="s">
        <v>209</v>
      </c>
      <c r="F103" t="s">
        <v>857</v>
      </c>
      <c r="G103" t="n">
        <v>1</v>
      </c>
      <c r="H103" t="n">
        <v>0</v>
      </c>
      <c r="I103" t="s">
        <v>856</v>
      </c>
    </row>
    <row r="104">
      <c r="A104" t="s">
        <v>36</v>
      </c>
      <c r="B104" t="s">
        <v>37</v>
      </c>
      <c r="C104" t="s">
        <v>807</v>
      </c>
      <c r="D104" t="s">
        <v>474</v>
      </c>
      <c r="E104" t="s">
        <v>209</v>
      </c>
      <c r="F104" t="s">
        <v>857</v>
      </c>
      <c r="G104" t="n">
        <v>0</v>
      </c>
      <c r="H104" t="n">
        <v>0</v>
      </c>
      <c r="I104" t="s">
        <v>856</v>
      </c>
    </row>
    <row r="105">
      <c r="A105" t="s">
        <v>36</v>
      </c>
      <c r="B105" t="s">
        <v>37</v>
      </c>
      <c r="C105" t="s">
        <v>807</v>
      </c>
      <c r="D105" t="s">
        <v>486</v>
      </c>
      <c r="E105" t="s">
        <v>209</v>
      </c>
      <c r="F105" t="s">
        <v>857</v>
      </c>
      <c r="G105" t="n">
        <v>0</v>
      </c>
      <c r="H105" t="n">
        <v>0</v>
      </c>
      <c r="I105" t="s">
        <v>856</v>
      </c>
    </row>
    <row r="106">
      <c r="A106" t="s">
        <v>36</v>
      </c>
      <c r="B106" t="s">
        <v>37</v>
      </c>
      <c r="C106" t="s">
        <v>807</v>
      </c>
      <c r="D106" t="s">
        <v>435</v>
      </c>
      <c r="E106" t="s">
        <v>209</v>
      </c>
      <c r="F106" t="s">
        <v>857</v>
      </c>
      <c r="G106" t="n">
        <v>1</v>
      </c>
      <c r="H106" t="n">
        <v>0</v>
      </c>
      <c r="I106" t="s">
        <v>856</v>
      </c>
    </row>
    <row r="107">
      <c r="A107" t="s">
        <v>36</v>
      </c>
      <c r="B107" t="s">
        <v>37</v>
      </c>
      <c r="C107" t="s">
        <v>807</v>
      </c>
      <c r="D107" t="s">
        <v>406</v>
      </c>
      <c r="E107" t="s">
        <v>209</v>
      </c>
      <c r="F107" t="s">
        <v>857</v>
      </c>
      <c r="G107" t="n">
        <v>0</v>
      </c>
      <c r="H107" t="n">
        <v>0</v>
      </c>
      <c r="I107" t="s">
        <v>856</v>
      </c>
    </row>
    <row r="108">
      <c r="A108" t="s">
        <v>36</v>
      </c>
      <c r="B108" t="s">
        <v>37</v>
      </c>
      <c r="C108" t="s">
        <v>807</v>
      </c>
      <c r="D108" t="s">
        <v>140</v>
      </c>
      <c r="E108" t="s">
        <v>208</v>
      </c>
      <c r="F108" t="s">
        <v>858</v>
      </c>
      <c r="G108" t="n">
        <v>0</v>
      </c>
      <c r="H108" t="n">
        <v>0</v>
      </c>
      <c r="I108" t="s">
        <v>856</v>
      </c>
    </row>
    <row r="109">
      <c r="A109" t="s">
        <v>36</v>
      </c>
      <c r="B109" t="s">
        <v>37</v>
      </c>
      <c r="C109" t="s">
        <v>807</v>
      </c>
      <c r="D109" t="s">
        <v>426</v>
      </c>
      <c r="E109" t="s">
        <v>208</v>
      </c>
      <c r="F109" t="s">
        <v>858</v>
      </c>
      <c r="G109" t="n">
        <v>0</v>
      </c>
      <c r="H109" t="n">
        <v>0</v>
      </c>
      <c r="I109" t="s">
        <v>856</v>
      </c>
    </row>
    <row r="110">
      <c r="A110" t="s">
        <v>36</v>
      </c>
      <c r="B110" t="s">
        <v>37</v>
      </c>
      <c r="C110" t="s">
        <v>807</v>
      </c>
      <c r="D110" t="s">
        <v>401</v>
      </c>
      <c r="E110" t="s">
        <v>208</v>
      </c>
      <c r="F110" t="s">
        <v>858</v>
      </c>
      <c r="G110" t="n">
        <v>0</v>
      </c>
      <c r="H110" t="n">
        <v>0</v>
      </c>
      <c r="I110" t="s">
        <v>856</v>
      </c>
    </row>
    <row r="111">
      <c r="A111" t="s">
        <v>36</v>
      </c>
      <c r="B111" t="s">
        <v>37</v>
      </c>
      <c r="C111" t="s">
        <v>807</v>
      </c>
      <c r="D111" t="s">
        <v>429</v>
      </c>
      <c r="E111" t="s">
        <v>208</v>
      </c>
      <c r="F111" t="s">
        <v>858</v>
      </c>
      <c r="G111" t="n">
        <v>0</v>
      </c>
      <c r="H111" t="n">
        <v>0</v>
      </c>
      <c r="I111" t="s">
        <v>856</v>
      </c>
    </row>
    <row r="112">
      <c r="A112" t="s">
        <v>36</v>
      </c>
      <c r="B112" t="s">
        <v>37</v>
      </c>
      <c r="C112" t="s">
        <v>807</v>
      </c>
      <c r="D112" t="s">
        <v>296</v>
      </c>
      <c r="E112" t="s">
        <v>208</v>
      </c>
      <c r="F112" t="s">
        <v>858</v>
      </c>
      <c r="G112" t="n">
        <v>-1</v>
      </c>
      <c r="H112" t="n">
        <v>0</v>
      </c>
      <c r="I112" t="s">
        <v>856</v>
      </c>
    </row>
    <row r="113">
      <c r="A113" t="s">
        <v>36</v>
      </c>
      <c r="B113" t="s">
        <v>37</v>
      </c>
      <c r="C113" t="s">
        <v>807</v>
      </c>
      <c r="D113" t="s">
        <v>457</v>
      </c>
      <c r="E113" t="s">
        <v>208</v>
      </c>
      <c r="F113" t="s">
        <v>858</v>
      </c>
      <c r="G113" t="n">
        <v>1</v>
      </c>
      <c r="H113" t="n">
        <v>0</v>
      </c>
      <c r="I113" t="s">
        <v>856</v>
      </c>
    </row>
    <row r="114">
      <c r="A114" t="s">
        <v>36</v>
      </c>
      <c r="B114" t="s">
        <v>37</v>
      </c>
      <c r="C114" t="s">
        <v>807</v>
      </c>
      <c r="D114" t="s">
        <v>422</v>
      </c>
      <c r="E114" t="s">
        <v>208</v>
      </c>
      <c r="F114" t="s">
        <v>858</v>
      </c>
      <c r="G114" t="n">
        <v>0</v>
      </c>
      <c r="H114" t="n">
        <v>0</v>
      </c>
      <c r="I114" t="s">
        <v>856</v>
      </c>
    </row>
    <row r="115">
      <c r="A115" t="s">
        <v>36</v>
      </c>
      <c r="B115" t="s">
        <v>40</v>
      </c>
      <c r="C115" t="s">
        <v>807</v>
      </c>
      <c r="D115" t="s">
        <v>441</v>
      </c>
      <c r="E115" t="s">
        <v>226</v>
      </c>
      <c r="F115" t="s">
        <v>855</v>
      </c>
      <c r="G115" t="n">
        <v>0</v>
      </c>
      <c r="H115" t="n">
        <v>0</v>
      </c>
      <c r="I115" t="s">
        <v>856</v>
      </c>
    </row>
    <row r="116">
      <c r="A116" t="s">
        <v>36</v>
      </c>
      <c r="B116" t="s">
        <v>40</v>
      </c>
      <c r="C116" t="s">
        <v>807</v>
      </c>
      <c r="D116" t="s">
        <v>302</v>
      </c>
      <c r="E116" t="s">
        <v>226</v>
      </c>
      <c r="F116" t="s">
        <v>855</v>
      </c>
      <c r="G116" t="n">
        <v>0</v>
      </c>
      <c r="H116" t="n">
        <v>0</v>
      </c>
      <c r="I116" t="s">
        <v>856</v>
      </c>
    </row>
    <row r="117">
      <c r="A117" t="s">
        <v>36</v>
      </c>
      <c r="B117" t="s">
        <v>40</v>
      </c>
      <c r="C117" t="s">
        <v>807</v>
      </c>
      <c r="D117" t="s">
        <v>438</v>
      </c>
      <c r="E117" t="s">
        <v>226</v>
      </c>
      <c r="F117" t="s">
        <v>855</v>
      </c>
      <c r="G117" t="n">
        <v>0</v>
      </c>
      <c r="H117" t="n">
        <v>0</v>
      </c>
      <c r="I117" t="s">
        <v>856</v>
      </c>
    </row>
    <row r="118">
      <c r="A118" t="s">
        <v>36</v>
      </c>
      <c r="B118" t="s">
        <v>40</v>
      </c>
      <c r="C118" t="s">
        <v>807</v>
      </c>
      <c r="D118" t="s">
        <v>508</v>
      </c>
      <c r="E118" t="s">
        <v>226</v>
      </c>
      <c r="F118" t="s">
        <v>855</v>
      </c>
      <c r="G118" t="n">
        <v>0</v>
      </c>
      <c r="H118" t="n">
        <v>1</v>
      </c>
      <c r="I118" t="s">
        <v>856</v>
      </c>
    </row>
    <row r="119">
      <c r="A119" t="s">
        <v>36</v>
      </c>
      <c r="B119" t="s">
        <v>40</v>
      </c>
      <c r="C119" t="s">
        <v>807</v>
      </c>
      <c r="D119" t="s">
        <v>432</v>
      </c>
      <c r="E119" t="s">
        <v>209</v>
      </c>
      <c r="F119" t="s">
        <v>857</v>
      </c>
      <c r="G119" t="n">
        <v>0</v>
      </c>
      <c r="H119" t="n">
        <v>0</v>
      </c>
      <c r="I119" t="s">
        <v>856</v>
      </c>
    </row>
    <row r="120">
      <c r="A120" t="s">
        <v>36</v>
      </c>
      <c r="B120" t="s">
        <v>40</v>
      </c>
      <c r="C120" t="s">
        <v>807</v>
      </c>
      <c r="D120" t="s">
        <v>492</v>
      </c>
      <c r="E120" t="s">
        <v>209</v>
      </c>
      <c r="F120" t="s">
        <v>857</v>
      </c>
      <c r="G120" t="n">
        <v>1</v>
      </c>
      <c r="H120" t="n">
        <v>0</v>
      </c>
      <c r="I120" t="s">
        <v>856</v>
      </c>
    </row>
    <row r="121">
      <c r="A121" t="s">
        <v>36</v>
      </c>
      <c r="B121" t="s">
        <v>40</v>
      </c>
      <c r="C121" t="s">
        <v>807</v>
      </c>
      <c r="D121" t="s">
        <v>478</v>
      </c>
      <c r="E121" t="s">
        <v>209</v>
      </c>
      <c r="F121" t="s">
        <v>857</v>
      </c>
      <c r="G121" t="n">
        <v>0</v>
      </c>
      <c r="H121" t="n">
        <v>0</v>
      </c>
      <c r="I121" t="s">
        <v>856</v>
      </c>
    </row>
    <row r="122">
      <c r="A122" t="s">
        <v>36</v>
      </c>
      <c r="B122" t="s">
        <v>40</v>
      </c>
      <c r="C122" t="s">
        <v>807</v>
      </c>
      <c r="D122" t="s">
        <v>358</v>
      </c>
      <c r="E122" t="s">
        <v>209</v>
      </c>
      <c r="F122" t="s">
        <v>857</v>
      </c>
      <c r="G122" t="n">
        <v>1</v>
      </c>
      <c r="H122" t="n">
        <v>0</v>
      </c>
      <c r="I122" t="s">
        <v>856</v>
      </c>
    </row>
    <row r="123">
      <c r="A123" t="s">
        <v>36</v>
      </c>
      <c r="B123" t="s">
        <v>40</v>
      </c>
      <c r="C123" t="s">
        <v>807</v>
      </c>
      <c r="D123" t="s">
        <v>474</v>
      </c>
      <c r="E123" t="s">
        <v>209</v>
      </c>
      <c r="F123" t="s">
        <v>857</v>
      </c>
      <c r="G123" t="n">
        <v>0</v>
      </c>
      <c r="H123" t="n">
        <v>0</v>
      </c>
      <c r="I123" t="s">
        <v>856</v>
      </c>
    </row>
    <row r="124">
      <c r="A124" t="s">
        <v>36</v>
      </c>
      <c r="B124" t="s">
        <v>40</v>
      </c>
      <c r="C124" t="s">
        <v>807</v>
      </c>
      <c r="D124" t="s">
        <v>486</v>
      </c>
      <c r="E124" t="s">
        <v>209</v>
      </c>
      <c r="F124" t="s">
        <v>857</v>
      </c>
      <c r="G124" t="n">
        <v>0</v>
      </c>
      <c r="H124" t="n">
        <v>0</v>
      </c>
      <c r="I124" t="s">
        <v>856</v>
      </c>
    </row>
    <row r="125">
      <c r="A125" t="s">
        <v>36</v>
      </c>
      <c r="B125" t="s">
        <v>40</v>
      </c>
      <c r="C125" t="s">
        <v>807</v>
      </c>
      <c r="D125" t="s">
        <v>140</v>
      </c>
      <c r="E125" t="s">
        <v>208</v>
      </c>
      <c r="F125" t="s">
        <v>858</v>
      </c>
      <c r="G125" t="n">
        <v>0</v>
      </c>
      <c r="H125" t="n">
        <v>0</v>
      </c>
      <c r="I125" t="s">
        <v>856</v>
      </c>
    </row>
    <row r="126">
      <c r="A126" t="s">
        <v>36</v>
      </c>
      <c r="B126" t="s">
        <v>40</v>
      </c>
      <c r="C126" t="s">
        <v>807</v>
      </c>
      <c r="D126" t="s">
        <v>466</v>
      </c>
      <c r="E126" t="s">
        <v>208</v>
      </c>
      <c r="F126" t="s">
        <v>858</v>
      </c>
      <c r="G126" t="n">
        <v>1</v>
      </c>
      <c r="H126" t="n">
        <v>0</v>
      </c>
      <c r="I126" t="s">
        <v>856</v>
      </c>
    </row>
    <row r="127">
      <c r="A127" t="s">
        <v>36</v>
      </c>
      <c r="B127" t="s">
        <v>40</v>
      </c>
      <c r="C127" t="s">
        <v>807</v>
      </c>
      <c r="D127" t="s">
        <v>426</v>
      </c>
      <c r="E127" t="s">
        <v>208</v>
      </c>
      <c r="F127" t="s">
        <v>858</v>
      </c>
      <c r="G127" t="n">
        <v>0</v>
      </c>
      <c r="H127" t="n">
        <v>0</v>
      </c>
      <c r="I127" t="s">
        <v>856</v>
      </c>
    </row>
    <row r="128">
      <c r="A128" t="s">
        <v>36</v>
      </c>
      <c r="B128" t="s">
        <v>40</v>
      </c>
      <c r="C128" t="s">
        <v>807</v>
      </c>
      <c r="D128" t="s">
        <v>401</v>
      </c>
      <c r="E128" t="s">
        <v>208</v>
      </c>
      <c r="F128" t="s">
        <v>858</v>
      </c>
      <c r="G128" t="n">
        <v>0</v>
      </c>
      <c r="H128" t="n">
        <v>0</v>
      </c>
      <c r="I128" t="s">
        <v>856</v>
      </c>
    </row>
    <row r="129">
      <c r="A129" t="s">
        <v>36</v>
      </c>
      <c r="B129" t="s">
        <v>40</v>
      </c>
      <c r="C129" t="s">
        <v>807</v>
      </c>
      <c r="D129" t="s">
        <v>419</v>
      </c>
      <c r="E129" t="s">
        <v>208</v>
      </c>
      <c r="F129" t="s">
        <v>858</v>
      </c>
      <c r="G129" t="n">
        <v>0</v>
      </c>
      <c r="H129" t="n">
        <v>0</v>
      </c>
      <c r="I129" t="s">
        <v>856</v>
      </c>
    </row>
    <row r="130">
      <c r="A130" t="s">
        <v>36</v>
      </c>
      <c r="B130" t="s">
        <v>40</v>
      </c>
      <c r="C130" t="s">
        <v>807</v>
      </c>
      <c r="D130" t="s">
        <v>435</v>
      </c>
      <c r="E130" t="s">
        <v>208</v>
      </c>
      <c r="F130" t="s">
        <v>858</v>
      </c>
      <c r="G130" t="n">
        <v>1</v>
      </c>
      <c r="H130" t="n">
        <v>0</v>
      </c>
      <c r="I130" t="s">
        <v>856</v>
      </c>
    </row>
    <row r="131">
      <c r="A131" t="s">
        <v>36</v>
      </c>
      <c r="B131" t="s">
        <v>40</v>
      </c>
      <c r="C131" t="s">
        <v>807</v>
      </c>
      <c r="D131" t="s">
        <v>296</v>
      </c>
      <c r="E131" t="s">
        <v>208</v>
      </c>
      <c r="F131" t="s">
        <v>858</v>
      </c>
      <c r="G131" t="n">
        <v>-1</v>
      </c>
      <c r="H131" t="n">
        <v>0</v>
      </c>
      <c r="I131" t="s">
        <v>856</v>
      </c>
    </row>
    <row r="132">
      <c r="A132" t="s">
        <v>36</v>
      </c>
      <c r="B132" t="s">
        <v>40</v>
      </c>
      <c r="C132" t="s">
        <v>807</v>
      </c>
      <c r="D132" t="s">
        <v>422</v>
      </c>
      <c r="E132" t="s">
        <v>208</v>
      </c>
      <c r="F132" t="s">
        <v>858</v>
      </c>
      <c r="G132" t="n">
        <v>0</v>
      </c>
      <c r="H132" t="n">
        <v>0</v>
      </c>
      <c r="I132" t="s">
        <v>856</v>
      </c>
    </row>
    <row r="133">
      <c r="A133" t="s">
        <v>43</v>
      </c>
      <c r="B133" t="s">
        <v>42</v>
      </c>
      <c r="C133" t="s">
        <v>807</v>
      </c>
      <c r="D133" t="s">
        <v>441</v>
      </c>
      <c r="E133" t="s">
        <v>226</v>
      </c>
      <c r="F133" t="s">
        <v>855</v>
      </c>
      <c r="G133" t="n">
        <v>0</v>
      </c>
      <c r="H133" t="n">
        <v>0</v>
      </c>
      <c r="I133" t="s">
        <v>856</v>
      </c>
    </row>
    <row r="134">
      <c r="A134" t="s">
        <v>43</v>
      </c>
      <c r="B134" t="s">
        <v>42</v>
      </c>
      <c r="C134" t="s">
        <v>807</v>
      </c>
      <c r="D134" t="s">
        <v>302</v>
      </c>
      <c r="E134" t="s">
        <v>226</v>
      </c>
      <c r="F134" t="s">
        <v>855</v>
      </c>
      <c r="G134" t="n">
        <v>0</v>
      </c>
      <c r="H134" t="n">
        <v>0</v>
      </c>
      <c r="I134" t="s">
        <v>856</v>
      </c>
    </row>
    <row r="135">
      <c r="A135" t="s">
        <v>43</v>
      </c>
      <c r="B135" t="s">
        <v>42</v>
      </c>
      <c r="C135" t="s">
        <v>807</v>
      </c>
      <c r="D135" t="s">
        <v>583</v>
      </c>
      <c r="E135" t="s">
        <v>226</v>
      </c>
      <c r="F135" t="s">
        <v>855</v>
      </c>
      <c r="G135" t="n">
        <v>1</v>
      </c>
      <c r="H135" t="n">
        <v>0</v>
      </c>
      <c r="I135" t="s">
        <v>856</v>
      </c>
    </row>
    <row r="136">
      <c r="A136" t="s">
        <v>43</v>
      </c>
      <c r="B136" t="s">
        <v>42</v>
      </c>
      <c r="C136" t="s">
        <v>807</v>
      </c>
      <c r="D136" t="s">
        <v>306</v>
      </c>
      <c r="E136" t="s">
        <v>209</v>
      </c>
      <c r="F136" t="s">
        <v>857</v>
      </c>
      <c r="G136" t="n">
        <v>0</v>
      </c>
      <c r="H136" t="n">
        <v>0</v>
      </c>
      <c r="I136" t="s">
        <v>856</v>
      </c>
    </row>
    <row r="137">
      <c r="A137" t="s">
        <v>43</v>
      </c>
      <c r="B137" t="s">
        <v>42</v>
      </c>
      <c r="C137" t="s">
        <v>807</v>
      </c>
      <c r="D137" t="s">
        <v>353</v>
      </c>
      <c r="E137" t="s">
        <v>209</v>
      </c>
      <c r="F137" t="s">
        <v>857</v>
      </c>
      <c r="G137" t="n">
        <v>0</v>
      </c>
      <c r="H137" t="n">
        <v>0</v>
      </c>
      <c r="I137" t="s">
        <v>856</v>
      </c>
    </row>
    <row r="138">
      <c r="A138" t="s">
        <v>43</v>
      </c>
      <c r="B138" t="s">
        <v>42</v>
      </c>
      <c r="C138" t="s">
        <v>807</v>
      </c>
      <c r="D138" t="s">
        <v>325</v>
      </c>
      <c r="E138" t="s">
        <v>209</v>
      </c>
      <c r="F138" t="s">
        <v>857</v>
      </c>
      <c r="G138" t="n">
        <v>0</v>
      </c>
      <c r="H138" t="n">
        <v>0</v>
      </c>
      <c r="I138" t="s">
        <v>856</v>
      </c>
    </row>
    <row r="139">
      <c r="A139" t="s">
        <v>43</v>
      </c>
      <c r="B139" t="s">
        <v>42</v>
      </c>
      <c r="C139" t="s">
        <v>807</v>
      </c>
      <c r="D139" t="s">
        <v>498</v>
      </c>
      <c r="E139" t="s">
        <v>209</v>
      </c>
      <c r="F139" t="s">
        <v>857</v>
      </c>
      <c r="G139" t="n">
        <v>1</v>
      </c>
      <c r="H139" t="n">
        <v>0</v>
      </c>
      <c r="I139" t="s">
        <v>856</v>
      </c>
    </row>
    <row r="140">
      <c r="A140" t="s">
        <v>43</v>
      </c>
      <c r="B140" t="s">
        <v>42</v>
      </c>
      <c r="C140" t="s">
        <v>807</v>
      </c>
      <c r="D140" t="s">
        <v>492</v>
      </c>
      <c r="E140" t="s">
        <v>209</v>
      </c>
      <c r="F140" t="s">
        <v>857</v>
      </c>
      <c r="G140" t="n">
        <v>1</v>
      </c>
      <c r="H140" t="n">
        <v>0</v>
      </c>
      <c r="I140" t="s">
        <v>856</v>
      </c>
    </row>
    <row r="141">
      <c r="A141" t="s">
        <v>43</v>
      </c>
      <c r="B141" t="s">
        <v>42</v>
      </c>
      <c r="C141" t="s">
        <v>807</v>
      </c>
      <c r="D141" t="s">
        <v>349</v>
      </c>
      <c r="E141" t="s">
        <v>209</v>
      </c>
      <c r="F141" t="s">
        <v>857</v>
      </c>
      <c r="G141" t="n">
        <v>0</v>
      </c>
      <c r="H141" t="n">
        <v>0</v>
      </c>
      <c r="I141" t="s">
        <v>856</v>
      </c>
    </row>
    <row r="142">
      <c r="A142" t="s">
        <v>43</v>
      </c>
      <c r="B142" t="s">
        <v>42</v>
      </c>
      <c r="C142" t="s">
        <v>807</v>
      </c>
      <c r="D142" t="s">
        <v>591</v>
      </c>
      <c r="E142" t="s">
        <v>209</v>
      </c>
      <c r="F142" t="s">
        <v>857</v>
      </c>
      <c r="G142" t="n">
        <v>0</v>
      </c>
      <c r="H142" t="n">
        <v>0</v>
      </c>
      <c r="I142" t="s">
        <v>856</v>
      </c>
    </row>
    <row r="143">
      <c r="A143" t="s">
        <v>43</v>
      </c>
      <c r="B143" t="s">
        <v>42</v>
      </c>
      <c r="C143" t="s">
        <v>807</v>
      </c>
      <c r="D143" t="s">
        <v>314</v>
      </c>
      <c r="E143" t="s">
        <v>209</v>
      </c>
      <c r="F143" t="s">
        <v>857</v>
      </c>
      <c r="G143" t="n">
        <v>1</v>
      </c>
      <c r="H143" t="n">
        <v>0</v>
      </c>
      <c r="I143" t="s">
        <v>856</v>
      </c>
    </row>
    <row r="144">
      <c r="A144" t="s">
        <v>43</v>
      </c>
      <c r="B144" t="s">
        <v>42</v>
      </c>
      <c r="C144" t="s">
        <v>807</v>
      </c>
      <c r="D144" t="s">
        <v>316</v>
      </c>
      <c r="E144" t="s">
        <v>209</v>
      </c>
      <c r="F144" t="s">
        <v>857</v>
      </c>
      <c r="G144" t="n">
        <v>0</v>
      </c>
      <c r="H144" t="n">
        <v>0</v>
      </c>
      <c r="I144" t="s">
        <v>856</v>
      </c>
    </row>
    <row r="145">
      <c r="A145" t="s">
        <v>43</v>
      </c>
      <c r="B145" t="s">
        <v>42</v>
      </c>
      <c r="C145" t="s">
        <v>807</v>
      </c>
      <c r="D145" t="s">
        <v>310</v>
      </c>
      <c r="E145" t="s">
        <v>209</v>
      </c>
      <c r="F145" t="s">
        <v>857</v>
      </c>
      <c r="G145" t="n">
        <v>0</v>
      </c>
      <c r="H145" t="n">
        <v>0</v>
      </c>
      <c r="I145" t="s">
        <v>856</v>
      </c>
    </row>
    <row r="146">
      <c r="A146" t="s">
        <v>43</v>
      </c>
      <c r="B146" t="s">
        <v>42</v>
      </c>
      <c r="C146" t="s">
        <v>807</v>
      </c>
      <c r="D146" t="s">
        <v>503</v>
      </c>
      <c r="E146" t="s">
        <v>209</v>
      </c>
      <c r="F146" t="s">
        <v>857</v>
      </c>
      <c r="G146" t="n">
        <v>0</v>
      </c>
      <c r="H146" t="n">
        <v>0</v>
      </c>
      <c r="I146" t="s">
        <v>856</v>
      </c>
    </row>
    <row r="147">
      <c r="A147" t="s">
        <v>43</v>
      </c>
      <c r="B147" t="s">
        <v>42</v>
      </c>
      <c r="C147" t="s">
        <v>807</v>
      </c>
      <c r="D147" t="s">
        <v>358</v>
      </c>
      <c r="E147" t="s">
        <v>209</v>
      </c>
      <c r="F147" t="s">
        <v>857</v>
      </c>
      <c r="G147" t="n">
        <v>1</v>
      </c>
      <c r="H147" t="n">
        <v>0</v>
      </c>
      <c r="I147" t="s">
        <v>856</v>
      </c>
    </row>
    <row r="148">
      <c r="A148" t="s">
        <v>43</v>
      </c>
      <c r="B148" t="s">
        <v>42</v>
      </c>
      <c r="C148" t="s">
        <v>807</v>
      </c>
      <c r="D148" t="s">
        <v>426</v>
      </c>
      <c r="E148" t="s">
        <v>209</v>
      </c>
      <c r="F148" t="s">
        <v>857</v>
      </c>
      <c r="G148" t="n">
        <v>0</v>
      </c>
      <c r="H148" t="n">
        <v>0</v>
      </c>
      <c r="I148" t="s">
        <v>856</v>
      </c>
    </row>
    <row r="149">
      <c r="A149" t="s">
        <v>43</v>
      </c>
      <c r="B149" t="s">
        <v>42</v>
      </c>
      <c r="C149" t="s">
        <v>807</v>
      </c>
      <c r="D149" t="s">
        <v>320</v>
      </c>
      <c r="E149" t="s">
        <v>209</v>
      </c>
      <c r="F149" t="s">
        <v>857</v>
      </c>
      <c r="G149" t="n">
        <v>0</v>
      </c>
      <c r="H149" t="n">
        <v>0</v>
      </c>
      <c r="I149" t="s">
        <v>856</v>
      </c>
    </row>
    <row r="150">
      <c r="A150" t="s">
        <v>43</v>
      </c>
      <c r="B150" t="s">
        <v>42</v>
      </c>
      <c r="C150" t="s">
        <v>807</v>
      </c>
      <c r="D150" t="s">
        <v>575</v>
      </c>
      <c r="E150" t="s">
        <v>209</v>
      </c>
      <c r="F150" t="s">
        <v>857</v>
      </c>
      <c r="G150" t="n">
        <v>0</v>
      </c>
      <c r="H150" t="n">
        <v>0</v>
      </c>
      <c r="I150" t="s">
        <v>856</v>
      </c>
    </row>
    <row r="151">
      <c r="A151" t="s">
        <v>43</v>
      </c>
      <c r="B151" t="s">
        <v>42</v>
      </c>
      <c r="C151" t="s">
        <v>807</v>
      </c>
      <c r="D151" t="s">
        <v>406</v>
      </c>
      <c r="E151" t="s">
        <v>209</v>
      </c>
      <c r="F151" t="s">
        <v>857</v>
      </c>
      <c r="G151" t="n">
        <v>0</v>
      </c>
      <c r="H151" t="n">
        <v>0</v>
      </c>
      <c r="I151" t="s">
        <v>856</v>
      </c>
    </row>
    <row r="152">
      <c r="A152" t="s">
        <v>43</v>
      </c>
      <c r="B152" t="s">
        <v>42</v>
      </c>
      <c r="C152" t="s">
        <v>807</v>
      </c>
      <c r="D152" t="s">
        <v>587</v>
      </c>
      <c r="E152" t="s">
        <v>209</v>
      </c>
      <c r="F152" t="s">
        <v>857</v>
      </c>
      <c r="G152" t="n">
        <v>0</v>
      </c>
      <c r="H152" t="n">
        <v>0</v>
      </c>
      <c r="I152" t="s">
        <v>856</v>
      </c>
    </row>
    <row r="153">
      <c r="A153" t="s">
        <v>43</v>
      </c>
      <c r="B153" t="s">
        <v>42</v>
      </c>
      <c r="C153" t="s">
        <v>807</v>
      </c>
      <c r="D153" t="s">
        <v>529</v>
      </c>
      <c r="E153" t="s">
        <v>208</v>
      </c>
      <c r="F153" t="s">
        <v>858</v>
      </c>
      <c r="G153" t="n">
        <v>0</v>
      </c>
      <c r="H153" t="n">
        <v>0</v>
      </c>
      <c r="I153" t="s">
        <v>856</v>
      </c>
    </row>
    <row r="154">
      <c r="A154" t="s">
        <v>43</v>
      </c>
      <c r="B154" t="s">
        <v>42</v>
      </c>
      <c r="C154" t="s">
        <v>807</v>
      </c>
      <c r="D154" t="s">
        <v>401</v>
      </c>
      <c r="E154" t="s">
        <v>208</v>
      </c>
      <c r="F154" t="s">
        <v>858</v>
      </c>
      <c r="G154" t="n">
        <v>0</v>
      </c>
      <c r="H154" t="n">
        <v>0</v>
      </c>
      <c r="I154" t="s">
        <v>856</v>
      </c>
    </row>
    <row r="155">
      <c r="A155" t="s">
        <v>43</v>
      </c>
      <c r="B155" t="s">
        <v>42</v>
      </c>
      <c r="C155" t="s">
        <v>807</v>
      </c>
      <c r="D155" t="s">
        <v>508</v>
      </c>
      <c r="E155" t="s">
        <v>208</v>
      </c>
      <c r="F155" t="s">
        <v>858</v>
      </c>
      <c r="G155" t="n">
        <v>0</v>
      </c>
      <c r="H155" t="n">
        <v>1</v>
      </c>
      <c r="I155" t="s">
        <v>856</v>
      </c>
    </row>
    <row r="156">
      <c r="A156" t="s">
        <v>43</v>
      </c>
      <c r="B156" t="s">
        <v>42</v>
      </c>
      <c r="C156" t="s">
        <v>807</v>
      </c>
      <c r="D156" t="s">
        <v>296</v>
      </c>
      <c r="E156" t="s">
        <v>208</v>
      </c>
      <c r="F156" t="s">
        <v>858</v>
      </c>
      <c r="G156" t="n">
        <v>-1</v>
      </c>
      <c r="H156" t="n">
        <v>0</v>
      </c>
      <c r="I156" t="s">
        <v>856</v>
      </c>
    </row>
    <row r="157">
      <c r="A157" t="s">
        <v>43</v>
      </c>
      <c r="B157" t="s">
        <v>39</v>
      </c>
      <c r="C157" t="s">
        <v>809</v>
      </c>
      <c r="D157" t="s">
        <v>441</v>
      </c>
      <c r="E157" t="s">
        <v>226</v>
      </c>
      <c r="F157" t="s">
        <v>855</v>
      </c>
      <c r="G157" t="n">
        <v>0</v>
      </c>
      <c r="H157" t="n">
        <v>0</v>
      </c>
      <c r="I157" t="s">
        <v>859</v>
      </c>
    </row>
    <row r="158">
      <c r="A158" t="s">
        <v>43</v>
      </c>
      <c r="B158" t="s">
        <v>39</v>
      </c>
      <c r="C158" t="s">
        <v>809</v>
      </c>
      <c r="D158" t="s">
        <v>302</v>
      </c>
      <c r="E158" t="s">
        <v>226</v>
      </c>
      <c r="F158" t="s">
        <v>855</v>
      </c>
      <c r="G158" t="n">
        <v>0</v>
      </c>
      <c r="H158" t="n">
        <v>0</v>
      </c>
      <c r="I158" t="s">
        <v>859</v>
      </c>
    </row>
    <row r="159">
      <c r="A159" t="s">
        <v>43</v>
      </c>
      <c r="B159" t="s">
        <v>39</v>
      </c>
      <c r="C159" t="s">
        <v>809</v>
      </c>
      <c r="D159" t="s">
        <v>508</v>
      </c>
      <c r="E159" t="s">
        <v>226</v>
      </c>
      <c r="F159" t="s">
        <v>855</v>
      </c>
      <c r="G159" t="n">
        <v>0</v>
      </c>
      <c r="H159" t="n">
        <v>1</v>
      </c>
      <c r="I159" t="s">
        <v>859</v>
      </c>
    </row>
    <row r="160">
      <c r="A160" t="s">
        <v>43</v>
      </c>
      <c r="B160" t="s">
        <v>39</v>
      </c>
      <c r="C160" t="s">
        <v>809</v>
      </c>
      <c r="D160" t="s">
        <v>432</v>
      </c>
      <c r="E160" t="s">
        <v>209</v>
      </c>
      <c r="F160" t="s">
        <v>857</v>
      </c>
      <c r="G160" t="n">
        <v>0</v>
      </c>
      <c r="H160" t="n">
        <v>0</v>
      </c>
      <c r="I160" t="s">
        <v>859</v>
      </c>
    </row>
    <row r="161">
      <c r="A161" t="s">
        <v>43</v>
      </c>
      <c r="B161" t="s">
        <v>39</v>
      </c>
      <c r="C161" t="s">
        <v>809</v>
      </c>
      <c r="D161" t="s">
        <v>353</v>
      </c>
      <c r="E161" t="s">
        <v>209</v>
      </c>
      <c r="F161" t="s">
        <v>857</v>
      </c>
      <c r="G161" t="n">
        <v>0</v>
      </c>
      <c r="H161" t="n">
        <v>0</v>
      </c>
      <c r="I161" t="s">
        <v>859</v>
      </c>
    </row>
    <row r="162">
      <c r="A162" t="s">
        <v>43</v>
      </c>
      <c r="B162" t="s">
        <v>39</v>
      </c>
      <c r="C162" t="s">
        <v>809</v>
      </c>
      <c r="D162" t="s">
        <v>498</v>
      </c>
      <c r="E162" t="s">
        <v>209</v>
      </c>
      <c r="F162" t="s">
        <v>857</v>
      </c>
      <c r="G162" t="n">
        <v>1</v>
      </c>
      <c r="H162" t="n">
        <v>0</v>
      </c>
      <c r="I162" t="s">
        <v>859</v>
      </c>
    </row>
    <row r="163">
      <c r="A163" t="s">
        <v>43</v>
      </c>
      <c r="B163" t="s">
        <v>39</v>
      </c>
      <c r="C163" t="s">
        <v>809</v>
      </c>
      <c r="D163" t="s">
        <v>492</v>
      </c>
      <c r="E163" t="s">
        <v>209</v>
      </c>
      <c r="F163" t="s">
        <v>857</v>
      </c>
      <c r="G163" t="n">
        <v>1</v>
      </c>
      <c r="H163" t="n">
        <v>0</v>
      </c>
      <c r="I163" t="s">
        <v>859</v>
      </c>
    </row>
    <row r="164">
      <c r="A164" t="s">
        <v>43</v>
      </c>
      <c r="B164" t="s">
        <v>39</v>
      </c>
      <c r="C164" t="s">
        <v>809</v>
      </c>
      <c r="D164" t="s">
        <v>349</v>
      </c>
      <c r="E164" t="s">
        <v>209</v>
      </c>
      <c r="F164" t="s">
        <v>857</v>
      </c>
      <c r="G164" t="n">
        <v>0</v>
      </c>
      <c r="H164" t="n">
        <v>0</v>
      </c>
      <c r="I164" t="s">
        <v>859</v>
      </c>
    </row>
    <row r="165">
      <c r="A165" t="s">
        <v>43</v>
      </c>
      <c r="B165" t="s">
        <v>39</v>
      </c>
      <c r="C165" t="s">
        <v>809</v>
      </c>
      <c r="D165" t="s">
        <v>478</v>
      </c>
      <c r="E165" t="s">
        <v>209</v>
      </c>
      <c r="F165" t="s">
        <v>857</v>
      </c>
      <c r="G165" t="n">
        <v>0</v>
      </c>
      <c r="H165" t="n">
        <v>0</v>
      </c>
      <c r="I165" t="s">
        <v>859</v>
      </c>
    </row>
    <row r="166">
      <c r="A166" t="s">
        <v>43</v>
      </c>
      <c r="B166" t="s">
        <v>39</v>
      </c>
      <c r="C166" t="s">
        <v>809</v>
      </c>
      <c r="D166" t="s">
        <v>316</v>
      </c>
      <c r="E166" t="s">
        <v>209</v>
      </c>
      <c r="F166" t="s">
        <v>857</v>
      </c>
      <c r="G166" t="n">
        <v>0</v>
      </c>
      <c r="H166" t="n">
        <v>0</v>
      </c>
      <c r="I166" t="s">
        <v>859</v>
      </c>
    </row>
    <row r="167">
      <c r="A167" t="s">
        <v>43</v>
      </c>
      <c r="B167" t="s">
        <v>39</v>
      </c>
      <c r="C167" t="s">
        <v>809</v>
      </c>
      <c r="D167" t="s">
        <v>358</v>
      </c>
      <c r="E167" t="s">
        <v>209</v>
      </c>
      <c r="F167" t="s">
        <v>857</v>
      </c>
      <c r="G167" t="n">
        <v>1</v>
      </c>
      <c r="H167" t="n">
        <v>0</v>
      </c>
      <c r="I167" t="s">
        <v>859</v>
      </c>
    </row>
    <row r="168">
      <c r="A168" t="s">
        <v>43</v>
      </c>
      <c r="B168" t="s">
        <v>39</v>
      </c>
      <c r="C168" t="s">
        <v>809</v>
      </c>
      <c r="D168" t="s">
        <v>320</v>
      </c>
      <c r="E168" t="s">
        <v>209</v>
      </c>
      <c r="F168" t="s">
        <v>857</v>
      </c>
      <c r="G168" t="n">
        <v>0</v>
      </c>
      <c r="H168" t="n">
        <v>0</v>
      </c>
      <c r="I168" t="s">
        <v>859</v>
      </c>
    </row>
    <row r="169">
      <c r="A169" t="s">
        <v>43</v>
      </c>
      <c r="B169" t="s">
        <v>39</v>
      </c>
      <c r="C169" t="s">
        <v>809</v>
      </c>
      <c r="D169" t="s">
        <v>429</v>
      </c>
      <c r="E169" t="s">
        <v>209</v>
      </c>
      <c r="F169" t="s">
        <v>857</v>
      </c>
      <c r="G169" t="n">
        <v>0</v>
      </c>
      <c r="H169" t="n">
        <v>0</v>
      </c>
      <c r="I169" t="s">
        <v>859</v>
      </c>
    </row>
    <row r="170">
      <c r="A170" t="s">
        <v>43</v>
      </c>
      <c r="B170" t="s">
        <v>39</v>
      </c>
      <c r="C170" t="s">
        <v>809</v>
      </c>
      <c r="D170" t="s">
        <v>486</v>
      </c>
      <c r="E170" t="s">
        <v>209</v>
      </c>
      <c r="F170" t="s">
        <v>857</v>
      </c>
      <c r="G170" t="n">
        <v>0</v>
      </c>
      <c r="H170" t="n">
        <v>0</v>
      </c>
      <c r="I170" t="s">
        <v>859</v>
      </c>
    </row>
    <row r="171">
      <c r="A171" t="s">
        <v>43</v>
      </c>
      <c r="B171" t="s">
        <v>39</v>
      </c>
      <c r="C171" t="s">
        <v>809</v>
      </c>
      <c r="D171" t="s">
        <v>575</v>
      </c>
      <c r="E171" t="s">
        <v>209</v>
      </c>
      <c r="F171" t="s">
        <v>857</v>
      </c>
      <c r="G171" t="n">
        <v>0</v>
      </c>
      <c r="H171" t="n">
        <v>0</v>
      </c>
      <c r="I171" t="s">
        <v>859</v>
      </c>
    </row>
    <row r="172">
      <c r="A172" t="s">
        <v>43</v>
      </c>
      <c r="B172" t="s">
        <v>39</v>
      </c>
      <c r="C172" t="s">
        <v>809</v>
      </c>
      <c r="D172" t="s">
        <v>587</v>
      </c>
      <c r="E172" t="s">
        <v>209</v>
      </c>
      <c r="F172" t="s">
        <v>857</v>
      </c>
      <c r="G172" t="n">
        <v>0</v>
      </c>
      <c r="H172" t="n">
        <v>0</v>
      </c>
      <c r="I172" t="s">
        <v>859</v>
      </c>
    </row>
    <row r="173">
      <c r="A173" t="s">
        <v>43</v>
      </c>
      <c r="B173" t="s">
        <v>39</v>
      </c>
      <c r="C173" t="s">
        <v>809</v>
      </c>
      <c r="D173" t="s">
        <v>364</v>
      </c>
      <c r="E173" t="s">
        <v>209</v>
      </c>
      <c r="F173" t="s">
        <v>857</v>
      </c>
      <c r="G173" t="n">
        <v>0</v>
      </c>
      <c r="H173" t="n">
        <v>0</v>
      </c>
      <c r="I173" t="s">
        <v>859</v>
      </c>
    </row>
    <row r="174">
      <c r="A174" t="s">
        <v>43</v>
      </c>
      <c r="B174" t="s">
        <v>39</v>
      </c>
      <c r="C174" t="s">
        <v>809</v>
      </c>
      <c r="D174" t="s">
        <v>462</v>
      </c>
      <c r="E174" t="s">
        <v>208</v>
      </c>
      <c r="F174" t="s">
        <v>858</v>
      </c>
      <c r="G174" t="n">
        <v>1</v>
      </c>
      <c r="H174" t="n">
        <v>0</v>
      </c>
      <c r="I174" t="s">
        <v>859</v>
      </c>
    </row>
    <row r="175">
      <c r="A175" t="s">
        <v>43</v>
      </c>
      <c r="B175" t="s">
        <v>39</v>
      </c>
      <c r="C175" t="s">
        <v>809</v>
      </c>
      <c r="D175" t="s">
        <v>426</v>
      </c>
      <c r="E175" t="s">
        <v>208</v>
      </c>
      <c r="F175" t="s">
        <v>858</v>
      </c>
      <c r="G175" t="n">
        <v>0</v>
      </c>
      <c r="H175" t="n">
        <v>0</v>
      </c>
      <c r="I175" t="s">
        <v>859</v>
      </c>
    </row>
    <row r="176">
      <c r="A176" t="s">
        <v>43</v>
      </c>
      <c r="B176" t="s">
        <v>39</v>
      </c>
      <c r="C176" t="s">
        <v>809</v>
      </c>
      <c r="D176" t="s">
        <v>401</v>
      </c>
      <c r="E176" t="s">
        <v>208</v>
      </c>
      <c r="F176" t="s">
        <v>858</v>
      </c>
      <c r="G176" t="n">
        <v>0</v>
      </c>
      <c r="H176" t="n">
        <v>0</v>
      </c>
      <c r="I176" t="s">
        <v>859</v>
      </c>
    </row>
    <row r="177">
      <c r="A177" t="s">
        <v>43</v>
      </c>
      <c r="B177" t="s">
        <v>39</v>
      </c>
      <c r="C177" t="s">
        <v>809</v>
      </c>
      <c r="D177" t="s">
        <v>296</v>
      </c>
      <c r="E177" t="s">
        <v>208</v>
      </c>
      <c r="F177" t="s">
        <v>858</v>
      </c>
      <c r="G177" t="n">
        <v>-1</v>
      </c>
      <c r="H177" t="n">
        <v>0</v>
      </c>
      <c r="I177" t="s">
        <v>859</v>
      </c>
    </row>
    <row r="178">
      <c r="A178" t="s">
        <v>43</v>
      </c>
      <c r="B178" t="s">
        <v>39</v>
      </c>
      <c r="C178" t="s">
        <v>809</v>
      </c>
      <c r="D178" t="s">
        <v>422</v>
      </c>
      <c r="E178" t="s">
        <v>208</v>
      </c>
      <c r="F178" t="s">
        <v>858</v>
      </c>
      <c r="G178" t="n">
        <v>0</v>
      </c>
      <c r="H178" t="n">
        <v>0</v>
      </c>
      <c r="I178" t="s">
        <v>859</v>
      </c>
    </row>
    <row r="179">
      <c r="A179" t="s">
        <v>43</v>
      </c>
      <c r="B179" t="s">
        <v>38</v>
      </c>
      <c r="C179" t="s">
        <v>807</v>
      </c>
      <c r="D179" t="s">
        <v>441</v>
      </c>
      <c r="E179" t="s">
        <v>226</v>
      </c>
      <c r="F179" t="s">
        <v>855</v>
      </c>
      <c r="G179" t="n">
        <v>0</v>
      </c>
      <c r="H179" t="n">
        <v>0</v>
      </c>
      <c r="I179" t="s">
        <v>856</v>
      </c>
    </row>
    <row r="180">
      <c r="A180" t="s">
        <v>43</v>
      </c>
      <c r="B180" t="s">
        <v>38</v>
      </c>
      <c r="C180" t="s">
        <v>807</v>
      </c>
      <c r="D180" t="s">
        <v>302</v>
      </c>
      <c r="E180" t="s">
        <v>226</v>
      </c>
      <c r="F180" t="s">
        <v>855</v>
      </c>
      <c r="G180" t="n">
        <v>0</v>
      </c>
      <c r="H180" t="n">
        <v>0</v>
      </c>
      <c r="I180" t="s">
        <v>856</v>
      </c>
    </row>
    <row r="181">
      <c r="A181" t="s">
        <v>43</v>
      </c>
      <c r="B181" t="s">
        <v>38</v>
      </c>
      <c r="C181" t="s">
        <v>807</v>
      </c>
      <c r="D181" t="s">
        <v>508</v>
      </c>
      <c r="E181" t="s">
        <v>226</v>
      </c>
      <c r="F181" t="s">
        <v>855</v>
      </c>
      <c r="G181" t="n">
        <v>0</v>
      </c>
      <c r="H181" t="n">
        <v>1</v>
      </c>
      <c r="I181" t="s">
        <v>856</v>
      </c>
    </row>
    <row r="182">
      <c r="A182" t="s">
        <v>43</v>
      </c>
      <c r="B182" t="s">
        <v>38</v>
      </c>
      <c r="C182" t="s">
        <v>807</v>
      </c>
      <c r="D182" t="s">
        <v>325</v>
      </c>
      <c r="E182" t="s">
        <v>209</v>
      </c>
      <c r="F182" t="s">
        <v>857</v>
      </c>
      <c r="G182" t="n">
        <v>0</v>
      </c>
      <c r="H182" t="n">
        <v>0</v>
      </c>
      <c r="I182" t="s">
        <v>856</v>
      </c>
    </row>
    <row r="183">
      <c r="A183" t="s">
        <v>43</v>
      </c>
      <c r="B183" t="s">
        <v>38</v>
      </c>
      <c r="C183" t="s">
        <v>807</v>
      </c>
      <c r="D183" t="s">
        <v>492</v>
      </c>
      <c r="E183" t="s">
        <v>209</v>
      </c>
      <c r="F183" t="s">
        <v>857</v>
      </c>
      <c r="G183" t="n">
        <v>1</v>
      </c>
      <c r="H183" t="n">
        <v>0</v>
      </c>
      <c r="I183" t="s">
        <v>856</v>
      </c>
    </row>
    <row r="184">
      <c r="A184" t="s">
        <v>43</v>
      </c>
      <c r="B184" t="s">
        <v>38</v>
      </c>
      <c r="C184" t="s">
        <v>807</v>
      </c>
      <c r="D184" t="s">
        <v>358</v>
      </c>
      <c r="E184" t="s">
        <v>209</v>
      </c>
      <c r="F184" t="s">
        <v>857</v>
      </c>
      <c r="G184" t="n">
        <v>1</v>
      </c>
      <c r="H184" t="n">
        <v>0</v>
      </c>
      <c r="I184" t="s">
        <v>856</v>
      </c>
    </row>
    <row r="185">
      <c r="A185" t="s">
        <v>43</v>
      </c>
      <c r="B185" t="s">
        <v>38</v>
      </c>
      <c r="C185" t="s">
        <v>807</v>
      </c>
      <c r="D185" t="s">
        <v>486</v>
      </c>
      <c r="E185" t="s">
        <v>209</v>
      </c>
      <c r="F185" t="s">
        <v>857</v>
      </c>
      <c r="G185" t="n">
        <v>0</v>
      </c>
      <c r="H185" t="n">
        <v>0</v>
      </c>
      <c r="I185" t="s">
        <v>856</v>
      </c>
    </row>
    <row r="186">
      <c r="A186" t="s">
        <v>43</v>
      </c>
      <c r="B186" t="s">
        <v>38</v>
      </c>
      <c r="C186" t="s">
        <v>807</v>
      </c>
      <c r="D186" t="s">
        <v>575</v>
      </c>
      <c r="E186" t="s">
        <v>209</v>
      </c>
      <c r="F186" t="s">
        <v>857</v>
      </c>
      <c r="G186" t="n">
        <v>0</v>
      </c>
      <c r="H186" t="n">
        <v>0</v>
      </c>
      <c r="I186" t="s">
        <v>856</v>
      </c>
    </row>
    <row r="187">
      <c r="A187" t="s">
        <v>43</v>
      </c>
      <c r="B187" t="s">
        <v>38</v>
      </c>
      <c r="C187" t="s">
        <v>807</v>
      </c>
      <c r="D187" t="s">
        <v>432</v>
      </c>
      <c r="E187" t="s">
        <v>208</v>
      </c>
      <c r="F187" t="s">
        <v>858</v>
      </c>
      <c r="G187" t="n">
        <v>0</v>
      </c>
      <c r="H187" t="n">
        <v>0</v>
      </c>
      <c r="I187" t="s">
        <v>856</v>
      </c>
    </row>
    <row r="188">
      <c r="A188" t="s">
        <v>43</v>
      </c>
      <c r="B188" t="s">
        <v>38</v>
      </c>
      <c r="C188" t="s">
        <v>807</v>
      </c>
      <c r="D188" t="s">
        <v>414</v>
      </c>
      <c r="E188" t="s">
        <v>208</v>
      </c>
      <c r="F188" t="s">
        <v>858</v>
      </c>
      <c r="G188" t="n">
        <v>-1</v>
      </c>
      <c r="H188" t="n">
        <v>0</v>
      </c>
      <c r="I188" t="s">
        <v>856</v>
      </c>
    </row>
    <row r="189">
      <c r="A189" t="s">
        <v>43</v>
      </c>
      <c r="B189" t="s">
        <v>38</v>
      </c>
      <c r="C189" t="s">
        <v>807</v>
      </c>
      <c r="D189" t="s">
        <v>417</v>
      </c>
      <c r="E189" t="s">
        <v>208</v>
      </c>
      <c r="F189" t="s">
        <v>858</v>
      </c>
      <c r="G189" t="n">
        <v>-1</v>
      </c>
      <c r="H189" t="n">
        <v>0</v>
      </c>
      <c r="I189" t="s">
        <v>856</v>
      </c>
    </row>
    <row r="190">
      <c r="A190" t="s">
        <v>43</v>
      </c>
      <c r="B190" t="s">
        <v>38</v>
      </c>
      <c r="C190" t="s">
        <v>807</v>
      </c>
      <c r="D190" t="s">
        <v>410</v>
      </c>
      <c r="E190" t="s">
        <v>208</v>
      </c>
      <c r="F190" t="s">
        <v>858</v>
      </c>
      <c r="G190" t="n">
        <v>1</v>
      </c>
      <c r="H190" t="n">
        <v>0</v>
      </c>
      <c r="I190" t="s">
        <v>856</v>
      </c>
    </row>
    <row r="191">
      <c r="A191" t="s">
        <v>43</v>
      </c>
      <c r="B191" t="s">
        <v>38</v>
      </c>
      <c r="C191" t="s">
        <v>807</v>
      </c>
      <c r="D191" t="s">
        <v>426</v>
      </c>
      <c r="E191" t="s">
        <v>208</v>
      </c>
      <c r="F191" t="s">
        <v>858</v>
      </c>
      <c r="G191" t="n">
        <v>0</v>
      </c>
      <c r="H191" t="n">
        <v>0</v>
      </c>
      <c r="I191" t="s">
        <v>856</v>
      </c>
    </row>
    <row r="192">
      <c r="A192" t="s">
        <v>43</v>
      </c>
      <c r="B192" t="s">
        <v>38</v>
      </c>
      <c r="C192" t="s">
        <v>807</v>
      </c>
      <c r="D192" t="s">
        <v>474</v>
      </c>
      <c r="E192" t="s">
        <v>208</v>
      </c>
      <c r="F192" t="s">
        <v>858</v>
      </c>
      <c r="G192" t="n">
        <v>0</v>
      </c>
      <c r="H192" t="n">
        <v>0</v>
      </c>
      <c r="I192" t="s">
        <v>856</v>
      </c>
    </row>
    <row r="193">
      <c r="A193" t="s">
        <v>43</v>
      </c>
      <c r="B193" t="s">
        <v>38</v>
      </c>
      <c r="C193" t="s">
        <v>807</v>
      </c>
      <c r="D193" t="s">
        <v>401</v>
      </c>
      <c r="E193" t="s">
        <v>208</v>
      </c>
      <c r="F193" t="s">
        <v>858</v>
      </c>
      <c r="G193" t="n">
        <v>0</v>
      </c>
      <c r="H193" t="n">
        <v>0</v>
      </c>
      <c r="I193" t="s">
        <v>856</v>
      </c>
    </row>
    <row r="194">
      <c r="A194" t="s">
        <v>43</v>
      </c>
      <c r="B194" t="s">
        <v>38</v>
      </c>
      <c r="C194" t="s">
        <v>807</v>
      </c>
      <c r="D194" t="s">
        <v>296</v>
      </c>
      <c r="E194" t="s">
        <v>208</v>
      </c>
      <c r="F194" t="s">
        <v>858</v>
      </c>
      <c r="G194" t="n">
        <v>-1</v>
      </c>
      <c r="H194" t="n">
        <v>0</v>
      </c>
      <c r="I194" t="s">
        <v>856</v>
      </c>
    </row>
    <row r="195">
      <c r="A195" t="s">
        <v>43</v>
      </c>
      <c r="B195" t="s">
        <v>34</v>
      </c>
      <c r="C195" t="s">
        <v>807</v>
      </c>
      <c r="D195" t="s">
        <v>441</v>
      </c>
      <c r="E195" t="s">
        <v>226</v>
      </c>
      <c r="F195" t="s">
        <v>855</v>
      </c>
      <c r="G195" t="n">
        <v>0</v>
      </c>
      <c r="H195" t="n">
        <v>0</v>
      </c>
      <c r="I195" t="s">
        <v>856</v>
      </c>
    </row>
    <row r="196">
      <c r="A196" t="s">
        <v>43</v>
      </c>
      <c r="B196" t="s">
        <v>34</v>
      </c>
      <c r="C196" t="s">
        <v>807</v>
      </c>
      <c r="D196" t="s">
        <v>302</v>
      </c>
      <c r="E196" t="s">
        <v>226</v>
      </c>
      <c r="F196" t="s">
        <v>855</v>
      </c>
      <c r="G196" t="n">
        <v>0</v>
      </c>
      <c r="H196" t="n">
        <v>0</v>
      </c>
      <c r="I196" t="s">
        <v>856</v>
      </c>
    </row>
    <row r="197">
      <c r="A197" t="s">
        <v>43</v>
      </c>
      <c r="B197" t="s">
        <v>34</v>
      </c>
      <c r="C197" t="s">
        <v>807</v>
      </c>
      <c r="D197" t="s">
        <v>306</v>
      </c>
      <c r="E197" t="s">
        <v>209</v>
      </c>
      <c r="F197" t="s">
        <v>857</v>
      </c>
      <c r="G197" t="n">
        <v>0</v>
      </c>
      <c r="H197" t="n">
        <v>0</v>
      </c>
      <c r="I197" t="s">
        <v>856</v>
      </c>
    </row>
    <row r="198">
      <c r="A198" t="s">
        <v>43</v>
      </c>
      <c r="B198" t="s">
        <v>34</v>
      </c>
      <c r="C198" t="s">
        <v>807</v>
      </c>
      <c r="D198" t="s">
        <v>353</v>
      </c>
      <c r="E198" t="s">
        <v>209</v>
      </c>
      <c r="F198" t="s">
        <v>857</v>
      </c>
      <c r="G198" t="n">
        <v>0</v>
      </c>
      <c r="H198" t="n">
        <v>0</v>
      </c>
      <c r="I198" t="s">
        <v>856</v>
      </c>
    </row>
    <row r="199">
      <c r="A199" t="s">
        <v>43</v>
      </c>
      <c r="B199" t="s">
        <v>34</v>
      </c>
      <c r="C199" t="s">
        <v>807</v>
      </c>
      <c r="D199" t="s">
        <v>325</v>
      </c>
      <c r="E199" t="s">
        <v>209</v>
      </c>
      <c r="F199" t="s">
        <v>857</v>
      </c>
      <c r="G199" t="n">
        <v>0</v>
      </c>
      <c r="H199" t="n">
        <v>0</v>
      </c>
      <c r="I199" t="s">
        <v>856</v>
      </c>
    </row>
    <row r="200">
      <c r="A200" t="s">
        <v>43</v>
      </c>
      <c r="B200" t="s">
        <v>34</v>
      </c>
      <c r="C200" t="s">
        <v>807</v>
      </c>
      <c r="D200" t="s">
        <v>498</v>
      </c>
      <c r="E200" t="s">
        <v>209</v>
      </c>
      <c r="F200" t="s">
        <v>857</v>
      </c>
      <c r="G200" t="n">
        <v>1</v>
      </c>
      <c r="H200" t="n">
        <v>0</v>
      </c>
      <c r="I200" t="s">
        <v>856</v>
      </c>
    </row>
    <row r="201">
      <c r="A201" t="s">
        <v>43</v>
      </c>
      <c r="B201" t="s">
        <v>34</v>
      </c>
      <c r="C201" t="s">
        <v>807</v>
      </c>
      <c r="D201" t="s">
        <v>492</v>
      </c>
      <c r="E201" t="s">
        <v>209</v>
      </c>
      <c r="F201" t="s">
        <v>857</v>
      </c>
      <c r="G201" t="n">
        <v>1</v>
      </c>
      <c r="H201" t="n">
        <v>0</v>
      </c>
      <c r="I201" t="s">
        <v>856</v>
      </c>
    </row>
    <row r="202">
      <c r="A202" t="s">
        <v>43</v>
      </c>
      <c r="B202" t="s">
        <v>34</v>
      </c>
      <c r="C202" t="s">
        <v>807</v>
      </c>
      <c r="D202" t="s">
        <v>349</v>
      </c>
      <c r="E202" t="s">
        <v>209</v>
      </c>
      <c r="F202" t="s">
        <v>857</v>
      </c>
      <c r="G202" t="n">
        <v>0</v>
      </c>
      <c r="H202" t="n">
        <v>0</v>
      </c>
      <c r="I202" t="s">
        <v>856</v>
      </c>
    </row>
    <row r="203">
      <c r="A203" t="s">
        <v>43</v>
      </c>
      <c r="B203" t="s">
        <v>34</v>
      </c>
      <c r="C203" t="s">
        <v>807</v>
      </c>
      <c r="D203" t="s">
        <v>591</v>
      </c>
      <c r="E203" t="s">
        <v>209</v>
      </c>
      <c r="F203" t="s">
        <v>857</v>
      </c>
      <c r="G203" t="n">
        <v>0</v>
      </c>
      <c r="H203" t="n">
        <v>0</v>
      </c>
      <c r="I203" t="s">
        <v>856</v>
      </c>
    </row>
    <row r="204">
      <c r="A204" t="s">
        <v>43</v>
      </c>
      <c r="B204" t="s">
        <v>34</v>
      </c>
      <c r="C204" t="s">
        <v>807</v>
      </c>
      <c r="D204" t="s">
        <v>314</v>
      </c>
      <c r="E204" t="s">
        <v>209</v>
      </c>
      <c r="F204" t="s">
        <v>857</v>
      </c>
      <c r="G204" t="n">
        <v>1</v>
      </c>
      <c r="H204" t="n">
        <v>0</v>
      </c>
      <c r="I204" t="s">
        <v>856</v>
      </c>
    </row>
    <row r="205">
      <c r="A205" t="s">
        <v>43</v>
      </c>
      <c r="B205" t="s">
        <v>34</v>
      </c>
      <c r="C205" t="s">
        <v>807</v>
      </c>
      <c r="D205" t="s">
        <v>316</v>
      </c>
      <c r="E205" t="s">
        <v>209</v>
      </c>
      <c r="F205" t="s">
        <v>857</v>
      </c>
      <c r="G205" t="n">
        <v>0</v>
      </c>
      <c r="H205" t="n">
        <v>0</v>
      </c>
      <c r="I205" t="s">
        <v>856</v>
      </c>
    </row>
    <row r="206">
      <c r="A206" t="s">
        <v>43</v>
      </c>
      <c r="B206" t="s">
        <v>34</v>
      </c>
      <c r="C206" t="s">
        <v>807</v>
      </c>
      <c r="D206" t="s">
        <v>310</v>
      </c>
      <c r="E206" t="s">
        <v>209</v>
      </c>
      <c r="F206" t="s">
        <v>857</v>
      </c>
      <c r="G206" t="n">
        <v>0</v>
      </c>
      <c r="H206" t="n">
        <v>0</v>
      </c>
      <c r="I206" t="s">
        <v>856</v>
      </c>
    </row>
    <row r="207">
      <c r="A207" t="s">
        <v>43</v>
      </c>
      <c r="B207" t="s">
        <v>34</v>
      </c>
      <c r="C207" t="s">
        <v>807</v>
      </c>
      <c r="D207" t="s">
        <v>503</v>
      </c>
      <c r="E207" t="s">
        <v>209</v>
      </c>
      <c r="F207" t="s">
        <v>857</v>
      </c>
      <c r="G207" t="n">
        <v>0</v>
      </c>
      <c r="H207" t="n">
        <v>0</v>
      </c>
      <c r="I207" t="s">
        <v>856</v>
      </c>
    </row>
    <row r="208">
      <c r="A208" t="s">
        <v>43</v>
      </c>
      <c r="B208" t="s">
        <v>34</v>
      </c>
      <c r="C208" t="s">
        <v>807</v>
      </c>
      <c r="D208" t="s">
        <v>358</v>
      </c>
      <c r="E208" t="s">
        <v>209</v>
      </c>
      <c r="F208" t="s">
        <v>857</v>
      </c>
      <c r="G208" t="n">
        <v>1</v>
      </c>
      <c r="H208" t="n">
        <v>0</v>
      </c>
      <c r="I208" t="s">
        <v>856</v>
      </c>
    </row>
    <row r="209">
      <c r="A209" t="s">
        <v>43</v>
      </c>
      <c r="B209" t="s">
        <v>34</v>
      </c>
      <c r="C209" t="s">
        <v>807</v>
      </c>
      <c r="D209" t="s">
        <v>426</v>
      </c>
      <c r="E209" t="s">
        <v>209</v>
      </c>
      <c r="F209" t="s">
        <v>857</v>
      </c>
      <c r="G209" t="n">
        <v>0</v>
      </c>
      <c r="H209" t="n">
        <v>0</v>
      </c>
      <c r="I209" t="s">
        <v>856</v>
      </c>
    </row>
    <row r="210">
      <c r="A210" t="s">
        <v>43</v>
      </c>
      <c r="B210" t="s">
        <v>34</v>
      </c>
      <c r="C210" t="s">
        <v>807</v>
      </c>
      <c r="D210" t="s">
        <v>320</v>
      </c>
      <c r="E210" t="s">
        <v>209</v>
      </c>
      <c r="F210" t="s">
        <v>857</v>
      </c>
      <c r="G210" t="n">
        <v>0</v>
      </c>
      <c r="H210" t="n">
        <v>0</v>
      </c>
      <c r="I210" t="s">
        <v>856</v>
      </c>
    </row>
    <row r="211">
      <c r="A211" t="s">
        <v>43</v>
      </c>
      <c r="B211" t="s">
        <v>34</v>
      </c>
      <c r="C211" t="s">
        <v>807</v>
      </c>
      <c r="D211" t="s">
        <v>486</v>
      </c>
      <c r="E211" t="s">
        <v>209</v>
      </c>
      <c r="F211" t="s">
        <v>857</v>
      </c>
      <c r="G211" t="n">
        <v>0</v>
      </c>
      <c r="H211" t="n">
        <v>0</v>
      </c>
      <c r="I211" t="s">
        <v>856</v>
      </c>
    </row>
    <row r="212">
      <c r="A212" t="s">
        <v>43</v>
      </c>
      <c r="B212" t="s">
        <v>34</v>
      </c>
      <c r="C212" t="s">
        <v>807</v>
      </c>
      <c r="D212" t="s">
        <v>575</v>
      </c>
      <c r="E212" t="s">
        <v>209</v>
      </c>
      <c r="F212" t="s">
        <v>857</v>
      </c>
      <c r="G212" t="n">
        <v>0</v>
      </c>
      <c r="H212" t="n">
        <v>0</v>
      </c>
      <c r="I212" t="s">
        <v>856</v>
      </c>
    </row>
    <row r="213">
      <c r="A213" t="s">
        <v>43</v>
      </c>
      <c r="B213" t="s">
        <v>34</v>
      </c>
      <c r="C213" t="s">
        <v>807</v>
      </c>
      <c r="D213" t="s">
        <v>587</v>
      </c>
      <c r="E213" t="s">
        <v>209</v>
      </c>
      <c r="F213" t="s">
        <v>857</v>
      </c>
      <c r="G213" t="n">
        <v>0</v>
      </c>
      <c r="H213" t="n">
        <v>0</v>
      </c>
      <c r="I213" t="s">
        <v>856</v>
      </c>
    </row>
    <row r="214">
      <c r="A214" t="s">
        <v>43</v>
      </c>
      <c r="B214" t="s">
        <v>34</v>
      </c>
      <c r="C214" t="s">
        <v>807</v>
      </c>
      <c r="D214" t="s">
        <v>364</v>
      </c>
      <c r="E214" t="s">
        <v>209</v>
      </c>
      <c r="F214" t="s">
        <v>857</v>
      </c>
      <c r="G214" t="n">
        <v>0</v>
      </c>
      <c r="H214" t="n">
        <v>0</v>
      </c>
      <c r="I214" t="s">
        <v>856</v>
      </c>
    </row>
    <row r="215">
      <c r="A215" t="s">
        <v>43</v>
      </c>
      <c r="B215" t="s">
        <v>34</v>
      </c>
      <c r="C215" t="s">
        <v>807</v>
      </c>
      <c r="D215" t="s">
        <v>595</v>
      </c>
      <c r="E215" t="s">
        <v>208</v>
      </c>
      <c r="F215" t="s">
        <v>858</v>
      </c>
      <c r="G215" t="n">
        <v>0</v>
      </c>
      <c r="H215" t="n">
        <v>0</v>
      </c>
      <c r="I215" t="s">
        <v>856</v>
      </c>
    </row>
    <row r="216">
      <c r="A216" t="s">
        <v>43</v>
      </c>
      <c r="B216" t="s">
        <v>34</v>
      </c>
      <c r="C216" t="s">
        <v>807</v>
      </c>
      <c r="D216" t="s">
        <v>583</v>
      </c>
      <c r="E216" t="s">
        <v>208</v>
      </c>
      <c r="F216" t="s">
        <v>858</v>
      </c>
      <c r="G216" t="n">
        <v>1</v>
      </c>
      <c r="H216" t="n">
        <v>0</v>
      </c>
      <c r="I216" t="s">
        <v>856</v>
      </c>
    </row>
    <row r="217">
      <c r="A217" t="s">
        <v>43</v>
      </c>
      <c r="B217" t="s">
        <v>34</v>
      </c>
      <c r="C217" t="s">
        <v>807</v>
      </c>
      <c r="D217" t="s">
        <v>401</v>
      </c>
      <c r="E217" t="s">
        <v>208</v>
      </c>
      <c r="F217" t="s">
        <v>858</v>
      </c>
      <c r="G217" t="n">
        <v>0</v>
      </c>
      <c r="H217" t="n">
        <v>0</v>
      </c>
      <c r="I217" t="s">
        <v>856</v>
      </c>
    </row>
    <row r="218">
      <c r="A218" t="s">
        <v>43</v>
      </c>
      <c r="B218" t="s">
        <v>34</v>
      </c>
      <c r="C218" t="s">
        <v>807</v>
      </c>
      <c r="D218" t="s">
        <v>580</v>
      </c>
      <c r="E218" t="s">
        <v>208</v>
      </c>
      <c r="F218" t="s">
        <v>858</v>
      </c>
      <c r="G218" t="n">
        <v>0</v>
      </c>
      <c r="H218" t="n">
        <v>0</v>
      </c>
      <c r="I218" t="s">
        <v>856</v>
      </c>
    </row>
    <row r="219">
      <c r="A219" t="s">
        <v>43</v>
      </c>
      <c r="B219" t="s">
        <v>34</v>
      </c>
      <c r="C219" t="s">
        <v>807</v>
      </c>
      <c r="D219" t="s">
        <v>508</v>
      </c>
      <c r="E219" t="s">
        <v>208</v>
      </c>
      <c r="F219" t="s">
        <v>858</v>
      </c>
      <c r="G219" t="n">
        <v>0</v>
      </c>
      <c r="H219" t="n">
        <v>1</v>
      </c>
      <c r="I219" t="s">
        <v>856</v>
      </c>
    </row>
    <row r="220">
      <c r="A220" t="s">
        <v>43</v>
      </c>
      <c r="B220" t="s">
        <v>34</v>
      </c>
      <c r="C220" t="s">
        <v>807</v>
      </c>
      <c r="D220" t="s">
        <v>406</v>
      </c>
      <c r="E220" t="s">
        <v>208</v>
      </c>
      <c r="F220" t="s">
        <v>858</v>
      </c>
      <c r="G220" t="n">
        <v>0</v>
      </c>
      <c r="H220" t="n">
        <v>0</v>
      </c>
      <c r="I220" t="s">
        <v>856</v>
      </c>
    </row>
    <row r="221">
      <c r="A221" t="s">
        <v>43</v>
      </c>
      <c r="B221" t="s">
        <v>34</v>
      </c>
      <c r="C221" t="s">
        <v>807</v>
      </c>
      <c r="D221" t="s">
        <v>296</v>
      </c>
      <c r="E221" t="s">
        <v>208</v>
      </c>
      <c r="F221" t="s">
        <v>858</v>
      </c>
      <c r="G221" t="n">
        <v>-1</v>
      </c>
      <c r="H221" t="n">
        <v>0</v>
      </c>
      <c r="I221" t="s">
        <v>856</v>
      </c>
    </row>
    <row r="222">
      <c r="A222" t="s">
        <v>30</v>
      </c>
      <c r="B222" t="s">
        <v>33</v>
      </c>
      <c r="C222" t="s">
        <v>809</v>
      </c>
      <c r="D222" t="s">
        <v>247</v>
      </c>
      <c r="E222" t="s">
        <v>226</v>
      </c>
      <c r="F222" t="s">
        <v>855</v>
      </c>
      <c r="G222" t="n">
        <v>0</v>
      </c>
      <c r="H222" t="n">
        <v>0</v>
      </c>
      <c r="I222" t="s">
        <v>859</v>
      </c>
    </row>
    <row r="223">
      <c r="A223" t="s">
        <v>30</v>
      </c>
      <c r="B223" t="s">
        <v>33</v>
      </c>
      <c r="C223" t="s">
        <v>809</v>
      </c>
      <c r="D223" t="s">
        <v>272</v>
      </c>
      <c r="E223" t="s">
        <v>209</v>
      </c>
      <c r="F223" t="s">
        <v>857</v>
      </c>
      <c r="G223" t="n">
        <v>1</v>
      </c>
      <c r="H223" t="n">
        <v>0</v>
      </c>
      <c r="I223" t="s">
        <v>859</v>
      </c>
    </row>
    <row r="224">
      <c r="A224" t="s">
        <v>30</v>
      </c>
      <c r="B224" t="s">
        <v>33</v>
      </c>
      <c r="C224" t="s">
        <v>809</v>
      </c>
      <c r="D224" t="s">
        <v>267</v>
      </c>
      <c r="E224" t="s">
        <v>209</v>
      </c>
      <c r="F224" t="s">
        <v>857</v>
      </c>
      <c r="G224" t="n">
        <v>0</v>
      </c>
      <c r="H224" t="n">
        <v>0</v>
      </c>
      <c r="I224" t="s">
        <v>859</v>
      </c>
    </row>
    <row r="225">
      <c r="A225" t="s">
        <v>30</v>
      </c>
      <c r="B225" t="s">
        <v>33</v>
      </c>
      <c r="C225" t="s">
        <v>809</v>
      </c>
      <c r="D225" t="s">
        <v>262</v>
      </c>
      <c r="E225" t="s">
        <v>209</v>
      </c>
      <c r="F225" t="s">
        <v>857</v>
      </c>
      <c r="G225" t="n">
        <v>0</v>
      </c>
      <c r="H225" t="n">
        <v>0</v>
      </c>
      <c r="I225" t="s">
        <v>859</v>
      </c>
    </row>
    <row r="226">
      <c r="A226" t="s">
        <v>30</v>
      </c>
      <c r="B226" t="s">
        <v>33</v>
      </c>
      <c r="C226" t="s">
        <v>809</v>
      </c>
      <c r="D226" t="s">
        <v>235</v>
      </c>
      <c r="E226" t="s">
        <v>209</v>
      </c>
      <c r="F226" t="s">
        <v>857</v>
      </c>
      <c r="G226" t="n">
        <v>0</v>
      </c>
      <c r="H226" t="n">
        <v>0</v>
      </c>
      <c r="I226" t="s">
        <v>859</v>
      </c>
    </row>
    <row r="227">
      <c r="A227" t="s">
        <v>30</v>
      </c>
      <c r="B227" t="s">
        <v>33</v>
      </c>
      <c r="C227" t="s">
        <v>809</v>
      </c>
      <c r="D227" t="s">
        <v>498</v>
      </c>
      <c r="E227" t="s">
        <v>209</v>
      </c>
      <c r="F227" t="s">
        <v>857</v>
      </c>
      <c r="G227" t="n">
        <v>1</v>
      </c>
      <c r="H227" t="n">
        <v>0</v>
      </c>
      <c r="I227" t="s">
        <v>859</v>
      </c>
    </row>
    <row r="228">
      <c r="A228" t="s">
        <v>30</v>
      </c>
      <c r="B228" t="s">
        <v>33</v>
      </c>
      <c r="C228" t="s">
        <v>809</v>
      </c>
      <c r="D228" t="s">
        <v>492</v>
      </c>
      <c r="E228" t="s">
        <v>209</v>
      </c>
      <c r="F228" t="s">
        <v>857</v>
      </c>
      <c r="G228" t="n">
        <v>1</v>
      </c>
      <c r="H228" t="n">
        <v>0</v>
      </c>
      <c r="I228" t="s">
        <v>859</v>
      </c>
    </row>
    <row r="229">
      <c r="A229" t="s">
        <v>30</v>
      </c>
      <c r="B229" t="s">
        <v>33</v>
      </c>
      <c r="C229" t="s">
        <v>809</v>
      </c>
      <c r="D229" t="s">
        <v>361</v>
      </c>
      <c r="E229" t="s">
        <v>209</v>
      </c>
      <c r="F229" t="s">
        <v>857</v>
      </c>
      <c r="G229" t="n">
        <v>1</v>
      </c>
      <c r="H229" t="n">
        <v>0</v>
      </c>
      <c r="I229" t="s">
        <v>859</v>
      </c>
    </row>
    <row r="230">
      <c r="A230" t="s">
        <v>30</v>
      </c>
      <c r="B230" t="s">
        <v>33</v>
      </c>
      <c r="C230" t="s">
        <v>809</v>
      </c>
      <c r="D230" t="s">
        <v>283</v>
      </c>
      <c r="E230" t="s">
        <v>209</v>
      </c>
      <c r="F230" t="s">
        <v>857</v>
      </c>
      <c r="G230" t="n">
        <v>1</v>
      </c>
      <c r="H230" t="n">
        <v>0</v>
      </c>
      <c r="I230" t="s">
        <v>859</v>
      </c>
    </row>
    <row r="231">
      <c r="A231" t="s">
        <v>30</v>
      </c>
      <c r="B231" t="s">
        <v>33</v>
      </c>
      <c r="C231" t="s">
        <v>809</v>
      </c>
      <c r="D231" t="s">
        <v>215</v>
      </c>
      <c r="E231" t="s">
        <v>209</v>
      </c>
      <c r="F231" t="s">
        <v>857</v>
      </c>
      <c r="G231" t="n">
        <v>-1</v>
      </c>
      <c r="H231" t="n">
        <v>0</v>
      </c>
      <c r="I231" t="s">
        <v>859</v>
      </c>
    </row>
    <row r="232">
      <c r="A232" t="s">
        <v>30</v>
      </c>
      <c r="B232" t="s">
        <v>33</v>
      </c>
      <c r="C232" t="s">
        <v>809</v>
      </c>
      <c r="D232" t="s">
        <v>358</v>
      </c>
      <c r="E232" t="s">
        <v>209</v>
      </c>
      <c r="F232" t="s">
        <v>857</v>
      </c>
      <c r="G232" t="n">
        <v>1</v>
      </c>
      <c r="H232" t="n">
        <v>0</v>
      </c>
      <c r="I232" t="s">
        <v>859</v>
      </c>
    </row>
    <row r="233">
      <c r="A233" t="s">
        <v>30</v>
      </c>
      <c r="B233" t="s">
        <v>33</v>
      </c>
      <c r="C233" t="s">
        <v>809</v>
      </c>
      <c r="D233" t="s">
        <v>287</v>
      </c>
      <c r="E233" t="s">
        <v>209</v>
      </c>
      <c r="F233" t="s">
        <v>857</v>
      </c>
      <c r="G233" t="n">
        <v>0</v>
      </c>
      <c r="H233" t="n">
        <v>0</v>
      </c>
      <c r="I233" t="s">
        <v>859</v>
      </c>
    </row>
    <row r="234">
      <c r="A234" t="s">
        <v>30</v>
      </c>
      <c r="B234" t="s">
        <v>33</v>
      </c>
      <c r="C234" t="s">
        <v>809</v>
      </c>
      <c r="D234" t="s">
        <v>291</v>
      </c>
      <c r="E234" t="s">
        <v>209</v>
      </c>
      <c r="F234" t="s">
        <v>857</v>
      </c>
      <c r="G234" t="n">
        <v>0</v>
      </c>
      <c r="H234" t="n">
        <v>0</v>
      </c>
      <c r="I234" t="s">
        <v>859</v>
      </c>
    </row>
    <row r="235">
      <c r="A235" t="s">
        <v>30</v>
      </c>
      <c r="B235" t="s">
        <v>33</v>
      </c>
      <c r="C235" t="s">
        <v>809</v>
      </c>
      <c r="D235" t="s">
        <v>280</v>
      </c>
      <c r="E235" t="s">
        <v>209</v>
      </c>
      <c r="F235" t="s">
        <v>857</v>
      </c>
      <c r="G235" t="n">
        <v>0</v>
      </c>
      <c r="H235" t="n">
        <v>0</v>
      </c>
      <c r="I235" t="s">
        <v>859</v>
      </c>
    </row>
    <row r="236">
      <c r="A236" t="s">
        <v>30</v>
      </c>
      <c r="B236" t="s">
        <v>33</v>
      </c>
      <c r="C236" t="s">
        <v>809</v>
      </c>
      <c r="D236" t="s">
        <v>211</v>
      </c>
      <c r="E236" t="s">
        <v>209</v>
      </c>
      <c r="F236" t="s">
        <v>857</v>
      </c>
      <c r="G236" t="n">
        <v>0</v>
      </c>
      <c r="H236" t="n">
        <v>0</v>
      </c>
      <c r="I236" t="s">
        <v>859</v>
      </c>
    </row>
    <row r="237">
      <c r="A237" t="s">
        <v>30</v>
      </c>
      <c r="B237" t="s">
        <v>33</v>
      </c>
      <c r="C237" t="s">
        <v>809</v>
      </c>
      <c r="D237" t="s">
        <v>201</v>
      </c>
      <c r="E237" t="s">
        <v>208</v>
      </c>
      <c r="F237" t="s">
        <v>858</v>
      </c>
      <c r="G237" t="n">
        <v>0</v>
      </c>
      <c r="H237" t="n">
        <v>0</v>
      </c>
      <c r="I237" t="s">
        <v>859</v>
      </c>
    </row>
    <row r="238">
      <c r="A238" t="s">
        <v>30</v>
      </c>
      <c r="B238" t="s">
        <v>33</v>
      </c>
      <c r="C238" t="s">
        <v>809</v>
      </c>
      <c r="D238" t="s">
        <v>401</v>
      </c>
      <c r="E238" t="s">
        <v>208</v>
      </c>
      <c r="F238" t="s">
        <v>858</v>
      </c>
      <c r="G238" t="n">
        <v>0</v>
      </c>
      <c r="H238" t="n">
        <v>0</v>
      </c>
      <c r="I238" t="s">
        <v>859</v>
      </c>
    </row>
    <row r="239">
      <c r="A239" t="s">
        <v>30</v>
      </c>
      <c r="B239" t="s">
        <v>33</v>
      </c>
      <c r="C239" t="s">
        <v>809</v>
      </c>
      <c r="D239" t="s">
        <v>406</v>
      </c>
      <c r="E239" t="s">
        <v>208</v>
      </c>
      <c r="F239" t="s">
        <v>858</v>
      </c>
      <c r="G239" t="n">
        <v>0</v>
      </c>
      <c r="H239" t="n">
        <v>0</v>
      </c>
      <c r="I239" t="s">
        <v>859</v>
      </c>
    </row>
    <row r="240">
      <c r="A240" t="s">
        <v>30</v>
      </c>
      <c r="B240" t="s">
        <v>33</v>
      </c>
      <c r="C240" t="s">
        <v>809</v>
      </c>
      <c r="D240" t="s">
        <v>296</v>
      </c>
      <c r="E240" t="s">
        <v>208</v>
      </c>
      <c r="F240" t="s">
        <v>858</v>
      </c>
      <c r="G240" t="n">
        <v>-1</v>
      </c>
      <c r="H240" t="n">
        <v>0</v>
      </c>
      <c r="I240" t="s">
        <v>859</v>
      </c>
    </row>
    <row r="241">
      <c r="A241" t="s">
        <v>30</v>
      </c>
      <c r="B241" t="s">
        <v>35</v>
      </c>
      <c r="C241" t="s">
        <v>807</v>
      </c>
      <c r="D241" t="s">
        <v>239</v>
      </c>
      <c r="E241" t="s">
        <v>226</v>
      </c>
      <c r="F241" t="s">
        <v>855</v>
      </c>
      <c r="G241" t="n">
        <v>0</v>
      </c>
      <c r="H241" t="n">
        <v>0</v>
      </c>
      <c r="I241" t="s">
        <v>856</v>
      </c>
    </row>
    <row r="242">
      <c r="A242" t="s">
        <v>30</v>
      </c>
      <c r="B242" t="s">
        <v>35</v>
      </c>
      <c r="C242" t="s">
        <v>807</v>
      </c>
      <c r="D242" t="s">
        <v>223</v>
      </c>
      <c r="E242" t="s">
        <v>226</v>
      </c>
      <c r="F242" t="s">
        <v>855</v>
      </c>
      <c r="G242" t="n">
        <v>0</v>
      </c>
      <c r="H242" t="n">
        <v>0</v>
      </c>
      <c r="I242" t="s">
        <v>856</v>
      </c>
    </row>
    <row r="243">
      <c r="A243" t="s">
        <v>30</v>
      </c>
      <c r="B243" t="s">
        <v>35</v>
      </c>
      <c r="C243" t="s">
        <v>807</v>
      </c>
      <c r="D243" t="s">
        <v>272</v>
      </c>
      <c r="E243" t="s">
        <v>209</v>
      </c>
      <c r="F243" t="s">
        <v>857</v>
      </c>
      <c r="G243" t="n">
        <v>1</v>
      </c>
      <c r="H243" t="n">
        <v>0</v>
      </c>
      <c r="I243" t="s">
        <v>856</v>
      </c>
    </row>
    <row r="244">
      <c r="A244" t="s">
        <v>30</v>
      </c>
      <c r="B244" t="s">
        <v>35</v>
      </c>
      <c r="C244" t="s">
        <v>807</v>
      </c>
      <c r="D244" t="s">
        <v>462</v>
      </c>
      <c r="E244" t="s">
        <v>209</v>
      </c>
      <c r="F244" t="s">
        <v>857</v>
      </c>
      <c r="G244" t="n">
        <v>0</v>
      </c>
      <c r="H244" t="n">
        <v>0</v>
      </c>
      <c r="I244" t="s">
        <v>856</v>
      </c>
    </row>
    <row r="245">
      <c r="A245" t="s">
        <v>30</v>
      </c>
      <c r="B245" t="s">
        <v>35</v>
      </c>
      <c r="C245" t="s">
        <v>807</v>
      </c>
      <c r="D245" t="s">
        <v>498</v>
      </c>
      <c r="E245" t="s">
        <v>209</v>
      </c>
      <c r="F245" t="s">
        <v>857</v>
      </c>
      <c r="G245" t="n">
        <v>1</v>
      </c>
      <c r="H245" t="n">
        <v>0</v>
      </c>
      <c r="I245" t="s">
        <v>856</v>
      </c>
    </row>
    <row r="246">
      <c r="A246" t="s">
        <v>30</v>
      </c>
      <c r="B246" t="s">
        <v>35</v>
      </c>
      <c r="C246" t="s">
        <v>807</v>
      </c>
      <c r="D246" t="s">
        <v>492</v>
      </c>
      <c r="E246" t="s">
        <v>209</v>
      </c>
      <c r="F246" t="s">
        <v>857</v>
      </c>
      <c r="G246" t="n">
        <v>1</v>
      </c>
      <c r="H246" t="n">
        <v>0</v>
      </c>
      <c r="I246" t="s">
        <v>856</v>
      </c>
    </row>
    <row r="247">
      <c r="A247" t="s">
        <v>30</v>
      </c>
      <c r="B247" t="s">
        <v>35</v>
      </c>
      <c r="C247" t="s">
        <v>807</v>
      </c>
      <c r="D247" t="s">
        <v>276</v>
      </c>
      <c r="E247" t="s">
        <v>209</v>
      </c>
      <c r="F247" t="s">
        <v>857</v>
      </c>
      <c r="G247" t="n">
        <v>0</v>
      </c>
      <c r="H247" t="n">
        <v>0</v>
      </c>
      <c r="I247" t="s">
        <v>856</v>
      </c>
    </row>
    <row r="248">
      <c r="A248" t="s">
        <v>30</v>
      </c>
      <c r="B248" t="s">
        <v>35</v>
      </c>
      <c r="C248" t="s">
        <v>807</v>
      </c>
      <c r="D248" t="s">
        <v>358</v>
      </c>
      <c r="E248" t="s">
        <v>209</v>
      </c>
      <c r="F248" t="s">
        <v>857</v>
      </c>
      <c r="G248" t="n">
        <v>1</v>
      </c>
      <c r="H248" t="n">
        <v>0</v>
      </c>
      <c r="I248" t="s">
        <v>856</v>
      </c>
    </row>
    <row r="249">
      <c r="A249" t="s">
        <v>30</v>
      </c>
      <c r="B249" t="s">
        <v>35</v>
      </c>
      <c r="C249" t="s">
        <v>807</v>
      </c>
      <c r="D249" t="s">
        <v>486</v>
      </c>
      <c r="E249" t="s">
        <v>209</v>
      </c>
      <c r="F249" t="s">
        <v>857</v>
      </c>
      <c r="G249" t="n">
        <v>0</v>
      </c>
      <c r="H249" t="n">
        <v>0</v>
      </c>
      <c r="I249" t="s">
        <v>856</v>
      </c>
    </row>
    <row r="250">
      <c r="A250" t="s">
        <v>30</v>
      </c>
      <c r="B250" t="s">
        <v>35</v>
      </c>
      <c r="C250" t="s">
        <v>807</v>
      </c>
      <c r="D250" t="s">
        <v>406</v>
      </c>
      <c r="E250" t="s">
        <v>209</v>
      </c>
      <c r="F250" t="s">
        <v>857</v>
      </c>
      <c r="G250" t="n">
        <v>0</v>
      </c>
      <c r="H250" t="n">
        <v>0</v>
      </c>
      <c r="I250" t="s">
        <v>856</v>
      </c>
    </row>
    <row r="251">
      <c r="A251" t="s">
        <v>30</v>
      </c>
      <c r="B251" t="s">
        <v>35</v>
      </c>
      <c r="C251" t="s">
        <v>807</v>
      </c>
      <c r="D251" t="s">
        <v>457</v>
      </c>
      <c r="E251" t="s">
        <v>209</v>
      </c>
      <c r="F251" t="s">
        <v>857</v>
      </c>
      <c r="G251" t="n">
        <v>0</v>
      </c>
      <c r="H251" t="n">
        <v>0</v>
      </c>
      <c r="I251" t="s">
        <v>856</v>
      </c>
    </row>
    <row r="252">
      <c r="A252" t="s">
        <v>30</v>
      </c>
      <c r="B252" t="s">
        <v>35</v>
      </c>
      <c r="C252" t="s">
        <v>807</v>
      </c>
      <c r="D252" t="s">
        <v>302</v>
      </c>
      <c r="E252" t="s">
        <v>208</v>
      </c>
      <c r="F252" t="s">
        <v>858</v>
      </c>
      <c r="G252" t="n">
        <v>0</v>
      </c>
      <c r="H252" t="n">
        <v>0</v>
      </c>
      <c r="I252" t="s">
        <v>856</v>
      </c>
    </row>
    <row r="253">
      <c r="A253" t="s">
        <v>30</v>
      </c>
      <c r="B253" t="s">
        <v>35</v>
      </c>
      <c r="C253" t="s">
        <v>807</v>
      </c>
      <c r="D253" t="s">
        <v>267</v>
      </c>
      <c r="E253" t="s">
        <v>208</v>
      </c>
      <c r="F253" t="s">
        <v>858</v>
      </c>
      <c r="G253" t="n">
        <v>0</v>
      </c>
      <c r="H253" t="n">
        <v>0</v>
      </c>
      <c r="I253" t="s">
        <v>856</v>
      </c>
    </row>
    <row r="254">
      <c r="A254" t="s">
        <v>30</v>
      </c>
      <c r="B254" t="s">
        <v>35</v>
      </c>
      <c r="C254" t="s">
        <v>807</v>
      </c>
      <c r="D254" t="s">
        <v>451</v>
      </c>
      <c r="E254" t="s">
        <v>208</v>
      </c>
      <c r="F254" t="s">
        <v>858</v>
      </c>
      <c r="G254" t="n">
        <v>1</v>
      </c>
      <c r="H254" t="n">
        <v>0</v>
      </c>
      <c r="I254" t="s">
        <v>856</v>
      </c>
    </row>
    <row r="255">
      <c r="A255" t="s">
        <v>30</v>
      </c>
      <c r="B255" t="s">
        <v>35</v>
      </c>
      <c r="C255" t="s">
        <v>807</v>
      </c>
      <c r="D255" t="s">
        <v>228</v>
      </c>
      <c r="E255" t="s">
        <v>208</v>
      </c>
      <c r="F255" t="s">
        <v>858</v>
      </c>
      <c r="G255" t="n">
        <v>0</v>
      </c>
      <c r="H255" t="n">
        <v>0</v>
      </c>
      <c r="I255" t="s">
        <v>856</v>
      </c>
    </row>
    <row r="256">
      <c r="A256" t="s">
        <v>30</v>
      </c>
      <c r="B256" t="s">
        <v>35</v>
      </c>
      <c r="C256" t="s">
        <v>807</v>
      </c>
      <c r="D256" t="s">
        <v>401</v>
      </c>
      <c r="E256" t="s">
        <v>208</v>
      </c>
      <c r="F256" t="s">
        <v>858</v>
      </c>
      <c r="G256" t="n">
        <v>0</v>
      </c>
      <c r="H256" t="n">
        <v>0</v>
      </c>
      <c r="I256" t="s">
        <v>856</v>
      </c>
    </row>
    <row r="257">
      <c r="A257" t="s">
        <v>30</v>
      </c>
      <c r="B257" t="s">
        <v>35</v>
      </c>
      <c r="C257" t="s">
        <v>807</v>
      </c>
      <c r="D257" t="s">
        <v>219</v>
      </c>
      <c r="E257" t="s">
        <v>208</v>
      </c>
      <c r="F257" t="s">
        <v>858</v>
      </c>
      <c r="G257" t="n">
        <v>0</v>
      </c>
      <c r="H257" t="n">
        <v>1</v>
      </c>
      <c r="I257" t="s">
        <v>856</v>
      </c>
    </row>
    <row r="258">
      <c r="A258" t="s">
        <v>30</v>
      </c>
      <c r="B258" t="s">
        <v>35</v>
      </c>
      <c r="C258" t="s">
        <v>807</v>
      </c>
      <c r="D258" t="s">
        <v>296</v>
      </c>
      <c r="E258" t="s">
        <v>208</v>
      </c>
      <c r="F258" t="s">
        <v>858</v>
      </c>
      <c r="G258" t="n">
        <v>-1</v>
      </c>
      <c r="H258" t="n">
        <v>0</v>
      </c>
      <c r="I258" t="s">
        <v>856</v>
      </c>
    </row>
    <row r="259">
      <c r="A259" t="s">
        <v>30</v>
      </c>
      <c r="B259" t="s">
        <v>31</v>
      </c>
      <c r="C259" t="s">
        <v>807</v>
      </c>
      <c r="D259" t="s">
        <v>258</v>
      </c>
      <c r="E259" t="s">
        <v>226</v>
      </c>
      <c r="F259" t="s">
        <v>855</v>
      </c>
      <c r="G259" t="n">
        <v>0</v>
      </c>
      <c r="H259" t="n">
        <v>0</v>
      </c>
      <c r="I259" t="s">
        <v>856</v>
      </c>
    </row>
    <row r="260">
      <c r="A260" t="s">
        <v>30</v>
      </c>
      <c r="B260" t="s">
        <v>31</v>
      </c>
      <c r="C260" t="s">
        <v>807</v>
      </c>
      <c r="D260" t="s">
        <v>272</v>
      </c>
      <c r="E260" t="s">
        <v>209</v>
      </c>
      <c r="F260" t="s">
        <v>857</v>
      </c>
      <c r="G260" t="n">
        <v>1</v>
      </c>
      <c r="H260" t="n">
        <v>0</v>
      </c>
      <c r="I260" t="s">
        <v>856</v>
      </c>
    </row>
    <row r="261">
      <c r="A261" t="s">
        <v>30</v>
      </c>
      <c r="B261" t="s">
        <v>31</v>
      </c>
      <c r="C261" t="s">
        <v>807</v>
      </c>
      <c r="D261" t="s">
        <v>306</v>
      </c>
      <c r="E261" t="s">
        <v>209</v>
      </c>
      <c r="F261" t="s">
        <v>857</v>
      </c>
      <c r="G261" t="n">
        <v>0</v>
      </c>
      <c r="H261" t="n">
        <v>0</v>
      </c>
      <c r="I261" t="s">
        <v>856</v>
      </c>
    </row>
    <row r="262">
      <c r="A262" t="s">
        <v>30</v>
      </c>
      <c r="B262" t="s">
        <v>31</v>
      </c>
      <c r="C262" t="s">
        <v>807</v>
      </c>
      <c r="D262" t="s">
        <v>353</v>
      </c>
      <c r="E262" t="s">
        <v>209</v>
      </c>
      <c r="F262" t="s">
        <v>857</v>
      </c>
      <c r="G262" t="n">
        <v>0</v>
      </c>
      <c r="H262" t="n">
        <v>0</v>
      </c>
      <c r="I262" t="s">
        <v>856</v>
      </c>
    </row>
    <row r="263">
      <c r="A263" t="s">
        <v>30</v>
      </c>
      <c r="B263" t="s">
        <v>31</v>
      </c>
      <c r="C263" t="s">
        <v>807</v>
      </c>
      <c r="D263" t="s">
        <v>325</v>
      </c>
      <c r="E263" t="s">
        <v>209</v>
      </c>
      <c r="F263" t="s">
        <v>857</v>
      </c>
      <c r="G263" t="n">
        <v>0</v>
      </c>
      <c r="H263" t="n">
        <v>0</v>
      </c>
      <c r="I263" t="s">
        <v>856</v>
      </c>
    </row>
    <row r="264">
      <c r="A264" t="s">
        <v>30</v>
      </c>
      <c r="B264" t="s">
        <v>31</v>
      </c>
      <c r="C264" t="s">
        <v>807</v>
      </c>
      <c r="D264" t="s">
        <v>262</v>
      </c>
      <c r="E264" t="s">
        <v>209</v>
      </c>
      <c r="F264" t="s">
        <v>857</v>
      </c>
      <c r="G264" t="n">
        <v>0</v>
      </c>
      <c r="H264" t="n">
        <v>0</v>
      </c>
      <c r="I264" t="s">
        <v>856</v>
      </c>
    </row>
    <row r="265">
      <c r="A265" t="s">
        <v>30</v>
      </c>
      <c r="B265" t="s">
        <v>31</v>
      </c>
      <c r="C265" t="s">
        <v>807</v>
      </c>
      <c r="D265" t="s">
        <v>235</v>
      </c>
      <c r="E265" t="s">
        <v>209</v>
      </c>
      <c r="F265" t="s">
        <v>857</v>
      </c>
      <c r="G265" t="n">
        <v>0</v>
      </c>
      <c r="H265" t="n">
        <v>0</v>
      </c>
      <c r="I265" t="s">
        <v>856</v>
      </c>
    </row>
    <row r="266">
      <c r="A266" t="s">
        <v>30</v>
      </c>
      <c r="B266" t="s">
        <v>31</v>
      </c>
      <c r="C266" t="s">
        <v>807</v>
      </c>
      <c r="D266" t="s">
        <v>462</v>
      </c>
      <c r="E266" t="s">
        <v>209</v>
      </c>
      <c r="F266" t="s">
        <v>857</v>
      </c>
      <c r="G266" t="n">
        <v>0</v>
      </c>
      <c r="H266" t="n">
        <v>0</v>
      </c>
      <c r="I266" t="s">
        <v>856</v>
      </c>
    </row>
    <row r="267">
      <c r="A267" t="s">
        <v>30</v>
      </c>
      <c r="B267" t="s">
        <v>31</v>
      </c>
      <c r="C267" t="s">
        <v>807</v>
      </c>
      <c r="D267" t="s">
        <v>498</v>
      </c>
      <c r="E267" t="s">
        <v>209</v>
      </c>
      <c r="F267" t="s">
        <v>857</v>
      </c>
      <c r="G267" t="n">
        <v>1</v>
      </c>
      <c r="H267" t="n">
        <v>0</v>
      </c>
      <c r="I267" t="s">
        <v>856</v>
      </c>
    </row>
    <row r="268">
      <c r="A268" t="s">
        <v>30</v>
      </c>
      <c r="B268" t="s">
        <v>31</v>
      </c>
      <c r="C268" t="s">
        <v>807</v>
      </c>
      <c r="D268" t="s">
        <v>492</v>
      </c>
      <c r="E268" t="s">
        <v>209</v>
      </c>
      <c r="F268" t="s">
        <v>857</v>
      </c>
      <c r="G268" t="n">
        <v>1</v>
      </c>
      <c r="H268" t="n">
        <v>0</v>
      </c>
      <c r="I268" t="s">
        <v>856</v>
      </c>
    </row>
    <row r="269">
      <c r="A269" t="s">
        <v>30</v>
      </c>
      <c r="B269" t="s">
        <v>31</v>
      </c>
      <c r="C269" t="s">
        <v>807</v>
      </c>
      <c r="D269" t="s">
        <v>361</v>
      </c>
      <c r="E269" t="s">
        <v>209</v>
      </c>
      <c r="F269" t="s">
        <v>857</v>
      </c>
      <c r="G269" t="n">
        <v>1</v>
      </c>
      <c r="H269" t="n">
        <v>0</v>
      </c>
      <c r="I269" t="s">
        <v>856</v>
      </c>
    </row>
    <row r="270">
      <c r="A270" t="s">
        <v>30</v>
      </c>
      <c r="B270" t="s">
        <v>31</v>
      </c>
      <c r="C270" t="s">
        <v>807</v>
      </c>
      <c r="D270" t="s">
        <v>344</v>
      </c>
      <c r="E270" t="s">
        <v>209</v>
      </c>
      <c r="F270" t="s">
        <v>857</v>
      </c>
      <c r="G270" t="n">
        <v>0</v>
      </c>
      <c r="H270" t="n">
        <v>0</v>
      </c>
      <c r="I270" t="s">
        <v>856</v>
      </c>
    </row>
    <row r="271">
      <c r="A271" t="s">
        <v>30</v>
      </c>
      <c r="B271" t="s">
        <v>31</v>
      </c>
      <c r="C271" t="s">
        <v>807</v>
      </c>
      <c r="D271" t="s">
        <v>314</v>
      </c>
      <c r="E271" t="s">
        <v>209</v>
      </c>
      <c r="F271" t="s">
        <v>857</v>
      </c>
      <c r="G271" t="n">
        <v>1</v>
      </c>
      <c r="H271" t="n">
        <v>0</v>
      </c>
      <c r="I271" t="s">
        <v>856</v>
      </c>
    </row>
    <row r="272">
      <c r="A272" t="s">
        <v>30</v>
      </c>
      <c r="B272" t="s">
        <v>31</v>
      </c>
      <c r="C272" t="s">
        <v>807</v>
      </c>
      <c r="D272" t="s">
        <v>283</v>
      </c>
      <c r="E272" t="s">
        <v>209</v>
      </c>
      <c r="F272" t="s">
        <v>857</v>
      </c>
      <c r="G272" t="n">
        <v>1</v>
      </c>
      <c r="H272" t="n">
        <v>0</v>
      </c>
      <c r="I272" t="s">
        <v>856</v>
      </c>
    </row>
    <row r="273">
      <c r="A273" t="s">
        <v>30</v>
      </c>
      <c r="B273" t="s">
        <v>31</v>
      </c>
      <c r="C273" t="s">
        <v>807</v>
      </c>
      <c r="D273" t="s">
        <v>215</v>
      </c>
      <c r="E273" t="s">
        <v>209</v>
      </c>
      <c r="F273" t="s">
        <v>857</v>
      </c>
      <c r="G273" t="n">
        <v>-1</v>
      </c>
      <c r="H273" t="n">
        <v>0</v>
      </c>
      <c r="I273" t="s">
        <v>856</v>
      </c>
    </row>
    <row r="274">
      <c r="A274" t="s">
        <v>30</v>
      </c>
      <c r="B274" t="s">
        <v>31</v>
      </c>
      <c r="C274" t="s">
        <v>807</v>
      </c>
      <c r="D274" t="s">
        <v>316</v>
      </c>
      <c r="E274" t="s">
        <v>209</v>
      </c>
      <c r="F274" t="s">
        <v>857</v>
      </c>
      <c r="G274" t="n">
        <v>0</v>
      </c>
      <c r="H274" t="n">
        <v>0</v>
      </c>
      <c r="I274" t="s">
        <v>856</v>
      </c>
    </row>
    <row r="275">
      <c r="A275" t="s">
        <v>30</v>
      </c>
      <c r="B275" t="s">
        <v>31</v>
      </c>
      <c r="C275" t="s">
        <v>807</v>
      </c>
      <c r="D275" t="s">
        <v>338</v>
      </c>
      <c r="E275" t="s">
        <v>209</v>
      </c>
      <c r="F275" t="s">
        <v>857</v>
      </c>
      <c r="G275" t="n">
        <v>0</v>
      </c>
      <c r="H275" t="n">
        <v>0</v>
      </c>
      <c r="I275" t="s">
        <v>856</v>
      </c>
    </row>
    <row r="276">
      <c r="A276" t="s">
        <v>30</v>
      </c>
      <c r="B276" t="s">
        <v>31</v>
      </c>
      <c r="C276" t="s">
        <v>807</v>
      </c>
      <c r="D276" t="s">
        <v>276</v>
      </c>
      <c r="E276" t="s">
        <v>209</v>
      </c>
      <c r="F276" t="s">
        <v>857</v>
      </c>
      <c r="G276" t="n">
        <v>0</v>
      </c>
      <c r="H276" t="n">
        <v>0</v>
      </c>
      <c r="I276" t="s">
        <v>856</v>
      </c>
    </row>
    <row r="277">
      <c r="A277" t="s">
        <v>30</v>
      </c>
      <c r="B277" t="s">
        <v>31</v>
      </c>
      <c r="C277" t="s">
        <v>807</v>
      </c>
      <c r="D277" t="s">
        <v>310</v>
      </c>
      <c r="E277" t="s">
        <v>209</v>
      </c>
      <c r="F277" t="s">
        <v>857</v>
      </c>
      <c r="G277" t="n">
        <v>0</v>
      </c>
      <c r="H277" t="n">
        <v>0</v>
      </c>
      <c r="I277" t="s">
        <v>856</v>
      </c>
    </row>
    <row r="278">
      <c r="A278" t="s">
        <v>30</v>
      </c>
      <c r="B278" t="s">
        <v>31</v>
      </c>
      <c r="C278" t="s">
        <v>807</v>
      </c>
      <c r="D278" t="s">
        <v>358</v>
      </c>
      <c r="E278" t="s">
        <v>209</v>
      </c>
      <c r="F278" t="s">
        <v>857</v>
      </c>
      <c r="G278" t="n">
        <v>1</v>
      </c>
      <c r="H278" t="n">
        <v>0</v>
      </c>
      <c r="I278" t="s">
        <v>856</v>
      </c>
    </row>
    <row r="279">
      <c r="A279" t="s">
        <v>30</v>
      </c>
      <c r="B279" t="s">
        <v>31</v>
      </c>
      <c r="C279" t="s">
        <v>807</v>
      </c>
      <c r="D279" t="s">
        <v>474</v>
      </c>
      <c r="E279" t="s">
        <v>209</v>
      </c>
      <c r="F279" t="s">
        <v>857</v>
      </c>
      <c r="G279" t="n">
        <v>0</v>
      </c>
      <c r="H279" t="n">
        <v>0</v>
      </c>
      <c r="I279" t="s">
        <v>856</v>
      </c>
    </row>
    <row r="280">
      <c r="A280" t="s">
        <v>30</v>
      </c>
      <c r="B280" t="s">
        <v>31</v>
      </c>
      <c r="C280" t="s">
        <v>807</v>
      </c>
      <c r="D280" t="s">
        <v>320</v>
      </c>
      <c r="E280" t="s">
        <v>209</v>
      </c>
      <c r="F280" t="s">
        <v>857</v>
      </c>
      <c r="G280" t="n">
        <v>0</v>
      </c>
      <c r="H280" t="n">
        <v>0</v>
      </c>
      <c r="I280" t="s">
        <v>856</v>
      </c>
    </row>
    <row r="281">
      <c r="A281" t="s">
        <v>30</v>
      </c>
      <c r="B281" t="s">
        <v>31</v>
      </c>
      <c r="C281" t="s">
        <v>807</v>
      </c>
      <c r="D281" t="s">
        <v>486</v>
      </c>
      <c r="E281" t="s">
        <v>209</v>
      </c>
      <c r="F281" t="s">
        <v>857</v>
      </c>
      <c r="G281" t="n">
        <v>0</v>
      </c>
      <c r="H281" t="n">
        <v>0</v>
      </c>
      <c r="I281" t="s">
        <v>856</v>
      </c>
    </row>
    <row r="282">
      <c r="A282" t="s">
        <v>30</v>
      </c>
      <c r="B282" t="s">
        <v>31</v>
      </c>
      <c r="C282" t="s">
        <v>807</v>
      </c>
      <c r="D282" t="s">
        <v>287</v>
      </c>
      <c r="E282" t="s">
        <v>209</v>
      </c>
      <c r="F282" t="s">
        <v>857</v>
      </c>
      <c r="G282" t="n">
        <v>0</v>
      </c>
      <c r="H282" t="n">
        <v>0</v>
      </c>
      <c r="I282" t="s">
        <v>856</v>
      </c>
    </row>
    <row r="283">
      <c r="A283" t="s">
        <v>30</v>
      </c>
      <c r="B283" t="s">
        <v>31</v>
      </c>
      <c r="C283" t="s">
        <v>807</v>
      </c>
      <c r="D283" t="s">
        <v>291</v>
      </c>
      <c r="E283" t="s">
        <v>209</v>
      </c>
      <c r="F283" t="s">
        <v>857</v>
      </c>
      <c r="G283" t="n">
        <v>0</v>
      </c>
      <c r="H283" t="n">
        <v>0</v>
      </c>
      <c r="I283" t="s">
        <v>856</v>
      </c>
    </row>
    <row r="284">
      <c r="A284" t="s">
        <v>30</v>
      </c>
      <c r="B284" t="s">
        <v>31</v>
      </c>
      <c r="C284" t="s">
        <v>807</v>
      </c>
      <c r="D284" t="s">
        <v>243</v>
      </c>
      <c r="E284" t="s">
        <v>209</v>
      </c>
      <c r="F284" t="s">
        <v>857</v>
      </c>
      <c r="G284" t="n">
        <v>0</v>
      </c>
      <c r="H284" t="n">
        <v>0</v>
      </c>
      <c r="I284" t="s">
        <v>856</v>
      </c>
    </row>
    <row r="285">
      <c r="A285" t="s">
        <v>30</v>
      </c>
      <c r="B285" t="s">
        <v>31</v>
      </c>
      <c r="C285" t="s">
        <v>807</v>
      </c>
      <c r="D285" t="s">
        <v>280</v>
      </c>
      <c r="E285" t="s">
        <v>209</v>
      </c>
      <c r="F285" t="s">
        <v>857</v>
      </c>
      <c r="G285" t="n">
        <v>0</v>
      </c>
      <c r="H285" t="n">
        <v>0</v>
      </c>
      <c r="I285" t="s">
        <v>856</v>
      </c>
    </row>
    <row r="286">
      <c r="A286" t="s">
        <v>30</v>
      </c>
      <c r="B286" t="s">
        <v>31</v>
      </c>
      <c r="C286" t="s">
        <v>807</v>
      </c>
      <c r="D286" t="s">
        <v>364</v>
      </c>
      <c r="E286" t="s">
        <v>209</v>
      </c>
      <c r="F286" t="s">
        <v>857</v>
      </c>
      <c r="G286" t="n">
        <v>0</v>
      </c>
      <c r="H286" t="n">
        <v>0</v>
      </c>
      <c r="I286" t="s">
        <v>856</v>
      </c>
    </row>
    <row r="287">
      <c r="A287" t="s">
        <v>30</v>
      </c>
      <c r="B287" t="s">
        <v>31</v>
      </c>
      <c r="C287" t="s">
        <v>807</v>
      </c>
      <c r="D287" t="s">
        <v>211</v>
      </c>
      <c r="E287" t="s">
        <v>209</v>
      </c>
      <c r="F287" t="s">
        <v>857</v>
      </c>
      <c r="G287" t="n">
        <v>0</v>
      </c>
      <c r="H287" t="n">
        <v>0</v>
      </c>
      <c r="I287" t="s">
        <v>856</v>
      </c>
    </row>
    <row r="288">
      <c r="A288" t="s">
        <v>30</v>
      </c>
      <c r="B288" t="s">
        <v>31</v>
      </c>
      <c r="C288" t="s">
        <v>807</v>
      </c>
      <c r="D288" t="s">
        <v>239</v>
      </c>
      <c r="E288" t="s">
        <v>208</v>
      </c>
      <c r="F288" t="s">
        <v>858</v>
      </c>
      <c r="G288" t="n">
        <v>0</v>
      </c>
      <c r="H288" t="n">
        <v>0</v>
      </c>
      <c r="I288" t="s">
        <v>856</v>
      </c>
    </row>
    <row r="289">
      <c r="A289" t="s">
        <v>30</v>
      </c>
      <c r="B289" t="s">
        <v>31</v>
      </c>
      <c r="C289" t="s">
        <v>807</v>
      </c>
      <c r="D289" t="s">
        <v>302</v>
      </c>
      <c r="E289" t="s">
        <v>208</v>
      </c>
      <c r="F289" t="s">
        <v>858</v>
      </c>
      <c r="G289" t="n">
        <v>0</v>
      </c>
      <c r="H289" t="n">
        <v>0</v>
      </c>
      <c r="I289" t="s">
        <v>856</v>
      </c>
    </row>
    <row r="290">
      <c r="A290" t="s">
        <v>30</v>
      </c>
      <c r="B290" t="s">
        <v>31</v>
      </c>
      <c r="C290" t="s">
        <v>807</v>
      </c>
      <c r="D290" t="s">
        <v>267</v>
      </c>
      <c r="E290" t="s">
        <v>208</v>
      </c>
      <c r="F290" t="s">
        <v>858</v>
      </c>
      <c r="G290" t="n">
        <v>0</v>
      </c>
      <c r="H290" t="n">
        <v>0</v>
      </c>
      <c r="I290" t="s">
        <v>856</v>
      </c>
    </row>
    <row r="291">
      <c r="A291" t="s">
        <v>30</v>
      </c>
      <c r="B291" t="s">
        <v>31</v>
      </c>
      <c r="C291" t="s">
        <v>807</v>
      </c>
      <c r="D291" t="s">
        <v>201</v>
      </c>
      <c r="E291" t="s">
        <v>208</v>
      </c>
      <c r="F291" t="s">
        <v>858</v>
      </c>
      <c r="G291" t="n">
        <v>0</v>
      </c>
      <c r="H291" t="n">
        <v>0</v>
      </c>
      <c r="I291" t="s">
        <v>856</v>
      </c>
    </row>
    <row r="292">
      <c r="A292" t="s">
        <v>30</v>
      </c>
      <c r="B292" t="s">
        <v>31</v>
      </c>
      <c r="C292" t="s">
        <v>807</v>
      </c>
      <c r="D292" t="s">
        <v>228</v>
      </c>
      <c r="E292" t="s">
        <v>208</v>
      </c>
      <c r="F292" t="s">
        <v>858</v>
      </c>
      <c r="G292" t="n">
        <v>0</v>
      </c>
      <c r="H292" t="n">
        <v>0</v>
      </c>
      <c r="I292" t="s">
        <v>856</v>
      </c>
    </row>
    <row r="293">
      <c r="A293" t="s">
        <v>30</v>
      </c>
      <c r="B293" t="s">
        <v>31</v>
      </c>
      <c r="C293" t="s">
        <v>807</v>
      </c>
      <c r="D293" t="s">
        <v>401</v>
      </c>
      <c r="E293" t="s">
        <v>208</v>
      </c>
      <c r="F293" t="s">
        <v>858</v>
      </c>
      <c r="G293" t="n">
        <v>0</v>
      </c>
      <c r="H293" t="n">
        <v>0</v>
      </c>
      <c r="I293" t="s">
        <v>856</v>
      </c>
    </row>
    <row r="294">
      <c r="A294" t="s">
        <v>30</v>
      </c>
      <c r="B294" t="s">
        <v>31</v>
      </c>
      <c r="C294" t="s">
        <v>807</v>
      </c>
      <c r="D294" t="s">
        <v>406</v>
      </c>
      <c r="E294" t="s">
        <v>208</v>
      </c>
      <c r="F294" t="s">
        <v>858</v>
      </c>
      <c r="G294" t="n">
        <v>0</v>
      </c>
      <c r="H294" t="n">
        <v>0</v>
      </c>
      <c r="I294" t="s">
        <v>856</v>
      </c>
    </row>
    <row r="295">
      <c r="A295" t="s">
        <v>30</v>
      </c>
      <c r="B295" t="s">
        <v>31</v>
      </c>
      <c r="C295" t="s">
        <v>807</v>
      </c>
      <c r="D295" t="s">
        <v>223</v>
      </c>
      <c r="E295" t="s">
        <v>208</v>
      </c>
      <c r="F295" t="s">
        <v>858</v>
      </c>
      <c r="G295" t="n">
        <v>0</v>
      </c>
      <c r="H295" t="n">
        <v>0</v>
      </c>
      <c r="I295" t="s">
        <v>856</v>
      </c>
    </row>
    <row r="296">
      <c r="A296" t="s">
        <v>30</v>
      </c>
      <c r="B296" t="s">
        <v>31</v>
      </c>
      <c r="C296" t="s">
        <v>807</v>
      </c>
      <c r="D296" t="s">
        <v>219</v>
      </c>
      <c r="E296" t="s">
        <v>208</v>
      </c>
      <c r="F296" t="s">
        <v>858</v>
      </c>
      <c r="G296" t="n">
        <v>0</v>
      </c>
      <c r="H296" t="n">
        <v>1</v>
      </c>
      <c r="I296" t="s">
        <v>856</v>
      </c>
    </row>
    <row r="297">
      <c r="A297" t="s">
        <v>30</v>
      </c>
      <c r="B297" t="s">
        <v>31</v>
      </c>
      <c r="C297" t="s">
        <v>807</v>
      </c>
      <c r="D297" t="s">
        <v>296</v>
      </c>
      <c r="E297" t="s">
        <v>208</v>
      </c>
      <c r="F297" t="s">
        <v>858</v>
      </c>
      <c r="G297" t="n">
        <v>-1</v>
      </c>
      <c r="H297" t="n">
        <v>0</v>
      </c>
      <c r="I297" t="s">
        <v>856</v>
      </c>
    </row>
    <row r="298">
      <c r="A298" t="s">
        <v>30</v>
      </c>
      <c r="B298" t="s">
        <v>34</v>
      </c>
      <c r="C298" t="s">
        <v>807</v>
      </c>
      <c r="D298" t="s">
        <v>239</v>
      </c>
      <c r="E298" t="s">
        <v>209</v>
      </c>
      <c r="F298" t="s">
        <v>857</v>
      </c>
      <c r="G298" t="n">
        <v>0</v>
      </c>
      <c r="H298" t="n">
        <v>0</v>
      </c>
      <c r="I298" t="s">
        <v>856</v>
      </c>
    </row>
    <row r="299">
      <c r="A299" t="s">
        <v>30</v>
      </c>
      <c r="B299" t="s">
        <v>34</v>
      </c>
      <c r="C299" t="s">
        <v>807</v>
      </c>
      <c r="D299" t="s">
        <v>353</v>
      </c>
      <c r="E299" t="s">
        <v>209</v>
      </c>
      <c r="F299" t="s">
        <v>857</v>
      </c>
      <c r="G299" t="n">
        <v>0</v>
      </c>
      <c r="H299" t="n">
        <v>0</v>
      </c>
      <c r="I299" t="s">
        <v>856</v>
      </c>
    </row>
    <row r="300">
      <c r="A300" t="s">
        <v>30</v>
      </c>
      <c r="B300" t="s">
        <v>34</v>
      </c>
      <c r="C300" t="s">
        <v>807</v>
      </c>
      <c r="D300" t="s">
        <v>201</v>
      </c>
      <c r="E300" t="s">
        <v>209</v>
      </c>
      <c r="F300" t="s">
        <v>857</v>
      </c>
      <c r="G300" t="n">
        <v>0</v>
      </c>
      <c r="H300" t="n">
        <v>0</v>
      </c>
      <c r="I300" t="s">
        <v>856</v>
      </c>
    </row>
    <row r="301">
      <c r="A301" t="s">
        <v>30</v>
      </c>
      <c r="B301" t="s">
        <v>34</v>
      </c>
      <c r="C301" t="s">
        <v>807</v>
      </c>
      <c r="D301" t="s">
        <v>235</v>
      </c>
      <c r="E301" t="s">
        <v>209</v>
      </c>
      <c r="F301" t="s">
        <v>857</v>
      </c>
      <c r="G301" t="n">
        <v>0</v>
      </c>
      <c r="H301" t="n">
        <v>0</v>
      </c>
      <c r="I301" t="s">
        <v>856</v>
      </c>
    </row>
    <row r="302">
      <c r="A302" t="s">
        <v>30</v>
      </c>
      <c r="B302" t="s">
        <v>34</v>
      </c>
      <c r="C302" t="s">
        <v>807</v>
      </c>
      <c r="D302" t="s">
        <v>258</v>
      </c>
      <c r="E302" t="s">
        <v>209</v>
      </c>
      <c r="F302" t="s">
        <v>857</v>
      </c>
      <c r="G302" t="n">
        <v>0</v>
      </c>
      <c r="H302" t="n">
        <v>0</v>
      </c>
      <c r="I302" t="s">
        <v>856</v>
      </c>
    </row>
    <row r="303">
      <c r="A303" t="s">
        <v>30</v>
      </c>
      <c r="B303" t="s">
        <v>34</v>
      </c>
      <c r="C303" t="s">
        <v>807</v>
      </c>
      <c r="D303" t="s">
        <v>498</v>
      </c>
      <c r="E303" t="s">
        <v>209</v>
      </c>
      <c r="F303" t="s">
        <v>857</v>
      </c>
      <c r="G303" t="n">
        <v>1</v>
      </c>
      <c r="H303" t="n">
        <v>0</v>
      </c>
      <c r="I303" t="s">
        <v>856</v>
      </c>
    </row>
    <row r="304">
      <c r="A304" t="s">
        <v>30</v>
      </c>
      <c r="B304" t="s">
        <v>34</v>
      </c>
      <c r="C304" t="s">
        <v>807</v>
      </c>
      <c r="D304" t="s">
        <v>492</v>
      </c>
      <c r="E304" t="s">
        <v>209</v>
      </c>
      <c r="F304" t="s">
        <v>857</v>
      </c>
      <c r="G304" t="n">
        <v>1</v>
      </c>
      <c r="H304" t="n">
        <v>0</v>
      </c>
      <c r="I304" t="s">
        <v>856</v>
      </c>
    </row>
    <row r="305">
      <c r="A305" t="s">
        <v>30</v>
      </c>
      <c r="B305" t="s">
        <v>34</v>
      </c>
      <c r="C305" t="s">
        <v>807</v>
      </c>
      <c r="D305" t="s">
        <v>314</v>
      </c>
      <c r="E305" t="s">
        <v>209</v>
      </c>
      <c r="F305" t="s">
        <v>857</v>
      </c>
      <c r="G305" t="n">
        <v>1</v>
      </c>
      <c r="H305" t="n">
        <v>0</v>
      </c>
      <c r="I305" t="s">
        <v>856</v>
      </c>
    </row>
    <row r="306">
      <c r="A306" t="s">
        <v>30</v>
      </c>
      <c r="B306" t="s">
        <v>34</v>
      </c>
      <c r="C306" t="s">
        <v>807</v>
      </c>
      <c r="D306" t="s">
        <v>310</v>
      </c>
      <c r="E306" t="s">
        <v>209</v>
      </c>
      <c r="F306" t="s">
        <v>857</v>
      </c>
      <c r="G306" t="n">
        <v>0</v>
      </c>
      <c r="H306" t="n">
        <v>0</v>
      </c>
      <c r="I306" t="s">
        <v>856</v>
      </c>
    </row>
    <row r="307">
      <c r="A307" t="s">
        <v>30</v>
      </c>
      <c r="B307" t="s">
        <v>34</v>
      </c>
      <c r="C307" t="s">
        <v>807</v>
      </c>
      <c r="D307" t="s">
        <v>358</v>
      </c>
      <c r="E307" t="s">
        <v>209</v>
      </c>
      <c r="F307" t="s">
        <v>857</v>
      </c>
      <c r="G307" t="n">
        <v>1</v>
      </c>
      <c r="H307" t="n">
        <v>0</v>
      </c>
      <c r="I307" t="s">
        <v>856</v>
      </c>
    </row>
    <row r="308">
      <c r="A308" t="s">
        <v>30</v>
      </c>
      <c r="B308" t="s">
        <v>34</v>
      </c>
      <c r="C308" t="s">
        <v>807</v>
      </c>
      <c r="D308" t="s">
        <v>486</v>
      </c>
      <c r="E308" t="s">
        <v>209</v>
      </c>
      <c r="F308" t="s">
        <v>857</v>
      </c>
      <c r="G308" t="n">
        <v>0</v>
      </c>
      <c r="H308" t="n">
        <v>0</v>
      </c>
      <c r="I308" t="s">
        <v>856</v>
      </c>
    </row>
    <row r="309">
      <c r="A309" t="s">
        <v>30</v>
      </c>
      <c r="B309" t="s">
        <v>34</v>
      </c>
      <c r="C309" t="s">
        <v>807</v>
      </c>
      <c r="D309" t="s">
        <v>364</v>
      </c>
      <c r="E309" t="s">
        <v>209</v>
      </c>
      <c r="F309" t="s">
        <v>857</v>
      </c>
      <c r="G309" t="n">
        <v>0</v>
      </c>
      <c r="H309" t="n">
        <v>0</v>
      </c>
      <c r="I309" t="s">
        <v>856</v>
      </c>
    </row>
    <row r="310">
      <c r="A310" t="s">
        <v>30</v>
      </c>
      <c r="B310" t="s">
        <v>34</v>
      </c>
      <c r="C310" t="s">
        <v>807</v>
      </c>
      <c r="D310" t="s">
        <v>302</v>
      </c>
      <c r="E310" t="s">
        <v>208</v>
      </c>
      <c r="F310" t="s">
        <v>858</v>
      </c>
      <c r="G310" t="n">
        <v>0</v>
      </c>
      <c r="H310" t="n">
        <v>0</v>
      </c>
      <c r="I310" t="s">
        <v>856</v>
      </c>
    </row>
    <row r="311">
      <c r="A311" t="s">
        <v>30</v>
      </c>
      <c r="B311" t="s">
        <v>34</v>
      </c>
      <c r="C311" t="s">
        <v>807</v>
      </c>
      <c r="D311" t="s">
        <v>267</v>
      </c>
      <c r="E311" t="s">
        <v>208</v>
      </c>
      <c r="F311" t="s">
        <v>858</v>
      </c>
      <c r="G311" t="n">
        <v>0</v>
      </c>
      <c r="H311" t="n">
        <v>0</v>
      </c>
      <c r="I311" t="s">
        <v>856</v>
      </c>
    </row>
    <row r="312">
      <c r="A312" t="s">
        <v>30</v>
      </c>
      <c r="B312" t="s">
        <v>34</v>
      </c>
      <c r="C312" t="s">
        <v>807</v>
      </c>
      <c r="D312" t="s">
        <v>228</v>
      </c>
      <c r="E312" t="s">
        <v>208</v>
      </c>
      <c r="F312" t="s">
        <v>858</v>
      </c>
      <c r="G312" t="n">
        <v>0</v>
      </c>
      <c r="H312" t="n">
        <v>0</v>
      </c>
      <c r="I312" t="s">
        <v>856</v>
      </c>
    </row>
    <row r="313">
      <c r="A313" t="s">
        <v>30</v>
      </c>
      <c r="B313" t="s">
        <v>34</v>
      </c>
      <c r="C313" t="s">
        <v>807</v>
      </c>
      <c r="D313" t="s">
        <v>276</v>
      </c>
      <c r="E313" t="s">
        <v>208</v>
      </c>
      <c r="F313" t="s">
        <v>858</v>
      </c>
      <c r="G313" t="n">
        <v>0</v>
      </c>
      <c r="H313" t="n">
        <v>0</v>
      </c>
      <c r="I313" t="s">
        <v>856</v>
      </c>
    </row>
    <row r="314">
      <c r="A314" t="s">
        <v>30</v>
      </c>
      <c r="B314" t="s">
        <v>34</v>
      </c>
      <c r="C314" t="s">
        <v>807</v>
      </c>
      <c r="D314" t="s">
        <v>401</v>
      </c>
      <c r="E314" t="s">
        <v>208</v>
      </c>
      <c r="F314" t="s">
        <v>858</v>
      </c>
      <c r="G314" t="n">
        <v>0</v>
      </c>
      <c r="H314" t="n">
        <v>0</v>
      </c>
      <c r="I314" t="s">
        <v>856</v>
      </c>
    </row>
    <row r="315">
      <c r="A315" t="s">
        <v>30</v>
      </c>
      <c r="B315" t="s">
        <v>34</v>
      </c>
      <c r="C315" t="s">
        <v>807</v>
      </c>
      <c r="D315" t="s">
        <v>406</v>
      </c>
      <c r="E315" t="s">
        <v>208</v>
      </c>
      <c r="F315" t="s">
        <v>858</v>
      </c>
      <c r="G315" t="n">
        <v>0</v>
      </c>
      <c r="H315" t="n">
        <v>0</v>
      </c>
      <c r="I315" t="s">
        <v>856</v>
      </c>
    </row>
    <row r="316">
      <c r="A316" t="s">
        <v>30</v>
      </c>
      <c r="B316" t="s">
        <v>34</v>
      </c>
      <c r="C316" t="s">
        <v>807</v>
      </c>
      <c r="D316" t="s">
        <v>223</v>
      </c>
      <c r="E316" t="s">
        <v>208</v>
      </c>
      <c r="F316" t="s">
        <v>858</v>
      </c>
      <c r="G316" t="n">
        <v>0</v>
      </c>
      <c r="H316" t="n">
        <v>0</v>
      </c>
      <c r="I316" t="s">
        <v>856</v>
      </c>
    </row>
    <row r="317">
      <c r="A317" t="s">
        <v>30</v>
      </c>
      <c r="B317" t="s">
        <v>34</v>
      </c>
      <c r="C317" t="s">
        <v>807</v>
      </c>
      <c r="D317" t="s">
        <v>219</v>
      </c>
      <c r="E317" t="s">
        <v>208</v>
      </c>
      <c r="F317" t="s">
        <v>858</v>
      </c>
      <c r="G317" t="n">
        <v>0</v>
      </c>
      <c r="H317" t="n">
        <v>1</v>
      </c>
      <c r="I317" t="s">
        <v>856</v>
      </c>
    </row>
    <row r="318">
      <c r="A318" t="s">
        <v>30</v>
      </c>
      <c r="B318" t="s">
        <v>34</v>
      </c>
      <c r="C318" t="s">
        <v>807</v>
      </c>
      <c r="D318" t="s">
        <v>296</v>
      </c>
      <c r="E318" t="s">
        <v>208</v>
      </c>
      <c r="F318" t="s">
        <v>858</v>
      </c>
      <c r="G318" t="n">
        <v>-1</v>
      </c>
      <c r="H318" t="n">
        <v>0</v>
      </c>
      <c r="I318" t="s">
        <v>856</v>
      </c>
    </row>
    <row r="319">
      <c r="A319" t="s">
        <v>30</v>
      </c>
      <c r="B319" t="s">
        <v>32</v>
      </c>
      <c r="C319" t="s">
        <v>807</v>
      </c>
      <c r="D319" t="s">
        <v>272</v>
      </c>
      <c r="E319" t="s">
        <v>209</v>
      </c>
      <c r="F319" t="s">
        <v>857</v>
      </c>
      <c r="G319" t="n">
        <v>1</v>
      </c>
      <c r="H319" t="n">
        <v>0</v>
      </c>
      <c r="I319" t="s">
        <v>856</v>
      </c>
    </row>
    <row r="320">
      <c r="A320" t="s">
        <v>30</v>
      </c>
      <c r="B320" t="s">
        <v>32</v>
      </c>
      <c r="C320" t="s">
        <v>807</v>
      </c>
      <c r="D320" t="s">
        <v>306</v>
      </c>
      <c r="E320" t="s">
        <v>209</v>
      </c>
      <c r="F320" t="s">
        <v>857</v>
      </c>
      <c r="G320" t="n">
        <v>0</v>
      </c>
      <c r="H320" t="n">
        <v>0</v>
      </c>
      <c r="I320" t="s">
        <v>856</v>
      </c>
    </row>
    <row r="321">
      <c r="A321" t="s">
        <v>30</v>
      </c>
      <c r="B321" t="s">
        <v>32</v>
      </c>
      <c r="C321" t="s">
        <v>807</v>
      </c>
      <c r="D321" t="s">
        <v>267</v>
      </c>
      <c r="E321" t="s">
        <v>209</v>
      </c>
      <c r="F321" t="s">
        <v>857</v>
      </c>
      <c r="G321" t="n">
        <v>0</v>
      </c>
      <c r="H321" t="n">
        <v>0</v>
      </c>
      <c r="I321" t="s">
        <v>856</v>
      </c>
    </row>
    <row r="322">
      <c r="A322" t="s">
        <v>30</v>
      </c>
      <c r="B322" t="s">
        <v>32</v>
      </c>
      <c r="C322" t="s">
        <v>807</v>
      </c>
      <c r="D322" t="s">
        <v>353</v>
      </c>
      <c r="E322" t="s">
        <v>209</v>
      </c>
      <c r="F322" t="s">
        <v>857</v>
      </c>
      <c r="G322" t="n">
        <v>0</v>
      </c>
      <c r="H322" t="n">
        <v>0</v>
      </c>
      <c r="I322" t="s">
        <v>856</v>
      </c>
    </row>
    <row r="323">
      <c r="A323" t="s">
        <v>30</v>
      </c>
      <c r="B323" t="s">
        <v>32</v>
      </c>
      <c r="C323" t="s">
        <v>807</v>
      </c>
      <c r="D323" t="s">
        <v>325</v>
      </c>
      <c r="E323" t="s">
        <v>209</v>
      </c>
      <c r="F323" t="s">
        <v>857</v>
      </c>
      <c r="G323" t="n">
        <v>0</v>
      </c>
      <c r="H323" t="n">
        <v>0</v>
      </c>
      <c r="I323" t="s">
        <v>856</v>
      </c>
    </row>
    <row r="324">
      <c r="A324" t="s">
        <v>30</v>
      </c>
      <c r="B324" t="s">
        <v>32</v>
      </c>
      <c r="C324" t="s">
        <v>807</v>
      </c>
      <c r="D324" t="s">
        <v>262</v>
      </c>
      <c r="E324" t="s">
        <v>209</v>
      </c>
      <c r="F324" t="s">
        <v>857</v>
      </c>
      <c r="G324" t="n">
        <v>0</v>
      </c>
      <c r="H324" t="n">
        <v>0</v>
      </c>
      <c r="I324" t="s">
        <v>856</v>
      </c>
    </row>
    <row r="325">
      <c r="A325" t="s">
        <v>30</v>
      </c>
      <c r="B325" t="s">
        <v>32</v>
      </c>
      <c r="C325" t="s">
        <v>807</v>
      </c>
      <c r="D325" t="s">
        <v>498</v>
      </c>
      <c r="E325" t="s">
        <v>209</v>
      </c>
      <c r="F325" t="s">
        <v>857</v>
      </c>
      <c r="G325" t="n">
        <v>1</v>
      </c>
      <c r="H325" t="n">
        <v>0</v>
      </c>
      <c r="I325" t="s">
        <v>856</v>
      </c>
    </row>
    <row r="326">
      <c r="A326" t="s">
        <v>30</v>
      </c>
      <c r="B326" t="s">
        <v>32</v>
      </c>
      <c r="C326" t="s">
        <v>807</v>
      </c>
      <c r="D326" t="s">
        <v>492</v>
      </c>
      <c r="E326" t="s">
        <v>209</v>
      </c>
      <c r="F326" t="s">
        <v>857</v>
      </c>
      <c r="G326" t="n">
        <v>1</v>
      </c>
      <c r="H326" t="n">
        <v>0</v>
      </c>
      <c r="I326" t="s">
        <v>856</v>
      </c>
    </row>
    <row r="327">
      <c r="A327" t="s">
        <v>30</v>
      </c>
      <c r="B327" t="s">
        <v>32</v>
      </c>
      <c r="C327" t="s">
        <v>807</v>
      </c>
      <c r="D327" t="s">
        <v>361</v>
      </c>
      <c r="E327" t="s">
        <v>209</v>
      </c>
      <c r="F327" t="s">
        <v>857</v>
      </c>
      <c r="G327" t="n">
        <v>1</v>
      </c>
      <c r="H327" t="n">
        <v>0</v>
      </c>
      <c r="I327" t="s">
        <v>856</v>
      </c>
    </row>
    <row r="328">
      <c r="A328" t="s">
        <v>30</v>
      </c>
      <c r="B328" t="s">
        <v>32</v>
      </c>
      <c r="C328" t="s">
        <v>807</v>
      </c>
      <c r="D328" t="s">
        <v>228</v>
      </c>
      <c r="E328" t="s">
        <v>209</v>
      </c>
      <c r="F328" t="s">
        <v>857</v>
      </c>
      <c r="G328" t="n">
        <v>0</v>
      </c>
      <c r="H328" t="n">
        <v>0</v>
      </c>
      <c r="I328" t="s">
        <v>856</v>
      </c>
    </row>
    <row r="329">
      <c r="A329" t="s">
        <v>30</v>
      </c>
      <c r="B329" t="s">
        <v>32</v>
      </c>
      <c r="C329" t="s">
        <v>807</v>
      </c>
      <c r="D329" t="s">
        <v>344</v>
      </c>
      <c r="E329" t="s">
        <v>209</v>
      </c>
      <c r="F329" t="s">
        <v>857</v>
      </c>
      <c r="G329" t="n">
        <v>0</v>
      </c>
      <c r="H329" t="n">
        <v>0</v>
      </c>
      <c r="I329" t="s">
        <v>856</v>
      </c>
    </row>
    <row r="330">
      <c r="A330" t="s">
        <v>30</v>
      </c>
      <c r="B330" t="s">
        <v>32</v>
      </c>
      <c r="C330" t="s">
        <v>807</v>
      </c>
      <c r="D330" t="s">
        <v>314</v>
      </c>
      <c r="E330" t="s">
        <v>209</v>
      </c>
      <c r="F330" t="s">
        <v>857</v>
      </c>
      <c r="G330" t="n">
        <v>1</v>
      </c>
      <c r="H330" t="n">
        <v>0</v>
      </c>
      <c r="I330" t="s">
        <v>856</v>
      </c>
    </row>
    <row r="331">
      <c r="A331" t="s">
        <v>30</v>
      </c>
      <c r="B331" t="s">
        <v>32</v>
      </c>
      <c r="C331" t="s">
        <v>807</v>
      </c>
      <c r="D331" t="s">
        <v>283</v>
      </c>
      <c r="E331" t="s">
        <v>209</v>
      </c>
      <c r="F331" t="s">
        <v>857</v>
      </c>
      <c r="G331" t="n">
        <v>1</v>
      </c>
      <c r="H331" t="n">
        <v>0</v>
      </c>
      <c r="I331" t="s">
        <v>856</v>
      </c>
    </row>
    <row r="332">
      <c r="A332" t="s">
        <v>30</v>
      </c>
      <c r="B332" t="s">
        <v>32</v>
      </c>
      <c r="C332" t="s">
        <v>807</v>
      </c>
      <c r="D332" t="s">
        <v>215</v>
      </c>
      <c r="E332" t="s">
        <v>209</v>
      </c>
      <c r="F332" t="s">
        <v>857</v>
      </c>
      <c r="G332" t="n">
        <v>-1</v>
      </c>
      <c r="H332" t="n">
        <v>0</v>
      </c>
      <c r="I332" t="s">
        <v>856</v>
      </c>
    </row>
    <row r="333">
      <c r="A333" t="s">
        <v>30</v>
      </c>
      <c r="B333" t="s">
        <v>32</v>
      </c>
      <c r="C333" t="s">
        <v>807</v>
      </c>
      <c r="D333" t="s">
        <v>316</v>
      </c>
      <c r="E333" t="s">
        <v>209</v>
      </c>
      <c r="F333" t="s">
        <v>857</v>
      </c>
      <c r="G333" t="n">
        <v>0</v>
      </c>
      <c r="H333" t="n">
        <v>0</v>
      </c>
      <c r="I333" t="s">
        <v>856</v>
      </c>
    </row>
    <row r="334">
      <c r="A334" t="s">
        <v>30</v>
      </c>
      <c r="B334" t="s">
        <v>32</v>
      </c>
      <c r="C334" t="s">
        <v>807</v>
      </c>
      <c r="D334" t="s">
        <v>338</v>
      </c>
      <c r="E334" t="s">
        <v>209</v>
      </c>
      <c r="F334" t="s">
        <v>857</v>
      </c>
      <c r="G334" t="n">
        <v>0</v>
      </c>
      <c r="H334" t="n">
        <v>0</v>
      </c>
      <c r="I334" t="s">
        <v>856</v>
      </c>
    </row>
    <row r="335">
      <c r="A335" t="s">
        <v>30</v>
      </c>
      <c r="B335" t="s">
        <v>32</v>
      </c>
      <c r="C335" t="s">
        <v>807</v>
      </c>
      <c r="D335" t="s">
        <v>310</v>
      </c>
      <c r="E335" t="s">
        <v>209</v>
      </c>
      <c r="F335" t="s">
        <v>857</v>
      </c>
      <c r="G335" t="n">
        <v>0</v>
      </c>
      <c r="H335" t="n">
        <v>0</v>
      </c>
      <c r="I335" t="s">
        <v>856</v>
      </c>
    </row>
    <row r="336">
      <c r="A336" t="s">
        <v>30</v>
      </c>
      <c r="B336" t="s">
        <v>32</v>
      </c>
      <c r="C336" t="s">
        <v>807</v>
      </c>
      <c r="D336" t="s">
        <v>358</v>
      </c>
      <c r="E336" t="s">
        <v>209</v>
      </c>
      <c r="F336" t="s">
        <v>857</v>
      </c>
      <c r="G336" t="n">
        <v>1</v>
      </c>
      <c r="H336" t="n">
        <v>0</v>
      </c>
      <c r="I336" t="s">
        <v>856</v>
      </c>
    </row>
    <row r="337">
      <c r="A337" t="s">
        <v>30</v>
      </c>
      <c r="B337" t="s">
        <v>32</v>
      </c>
      <c r="C337" t="s">
        <v>807</v>
      </c>
      <c r="D337" t="s">
        <v>320</v>
      </c>
      <c r="E337" t="s">
        <v>209</v>
      </c>
      <c r="F337" t="s">
        <v>857</v>
      </c>
      <c r="G337" t="n">
        <v>0</v>
      </c>
      <c r="H337" t="n">
        <v>0</v>
      </c>
      <c r="I337" t="s">
        <v>856</v>
      </c>
    </row>
    <row r="338">
      <c r="A338" t="s">
        <v>30</v>
      </c>
      <c r="B338" t="s">
        <v>32</v>
      </c>
      <c r="C338" t="s">
        <v>807</v>
      </c>
      <c r="D338" t="s">
        <v>486</v>
      </c>
      <c r="E338" t="s">
        <v>209</v>
      </c>
      <c r="F338" t="s">
        <v>857</v>
      </c>
      <c r="G338" t="n">
        <v>0</v>
      </c>
      <c r="H338" t="n">
        <v>0</v>
      </c>
      <c r="I338" t="s">
        <v>856</v>
      </c>
    </row>
    <row r="339">
      <c r="A339" t="s">
        <v>30</v>
      </c>
      <c r="B339" t="s">
        <v>32</v>
      </c>
      <c r="C339" t="s">
        <v>807</v>
      </c>
      <c r="D339" t="s">
        <v>287</v>
      </c>
      <c r="E339" t="s">
        <v>209</v>
      </c>
      <c r="F339" t="s">
        <v>857</v>
      </c>
      <c r="G339" t="n">
        <v>0</v>
      </c>
      <c r="H339" t="n">
        <v>0</v>
      </c>
      <c r="I339" t="s">
        <v>856</v>
      </c>
    </row>
    <row r="340">
      <c r="A340" t="s">
        <v>30</v>
      </c>
      <c r="B340" t="s">
        <v>32</v>
      </c>
      <c r="C340" t="s">
        <v>807</v>
      </c>
      <c r="D340" t="s">
        <v>291</v>
      </c>
      <c r="E340" t="s">
        <v>209</v>
      </c>
      <c r="F340" t="s">
        <v>857</v>
      </c>
      <c r="G340" t="n">
        <v>0</v>
      </c>
      <c r="H340" t="n">
        <v>0</v>
      </c>
      <c r="I340" t="s">
        <v>856</v>
      </c>
    </row>
    <row r="341">
      <c r="A341" t="s">
        <v>30</v>
      </c>
      <c r="B341" t="s">
        <v>32</v>
      </c>
      <c r="C341" t="s">
        <v>807</v>
      </c>
      <c r="D341" t="s">
        <v>223</v>
      </c>
      <c r="E341" t="s">
        <v>209</v>
      </c>
      <c r="F341" t="s">
        <v>857</v>
      </c>
      <c r="G341" t="n">
        <v>0</v>
      </c>
      <c r="H341" t="n">
        <v>0</v>
      </c>
      <c r="I341" t="s">
        <v>856</v>
      </c>
    </row>
    <row r="342">
      <c r="A342" t="s">
        <v>30</v>
      </c>
      <c r="B342" t="s">
        <v>32</v>
      </c>
      <c r="C342" t="s">
        <v>807</v>
      </c>
      <c r="D342" t="s">
        <v>280</v>
      </c>
      <c r="E342" t="s">
        <v>209</v>
      </c>
      <c r="F342" t="s">
        <v>857</v>
      </c>
      <c r="G342" t="n">
        <v>0</v>
      </c>
      <c r="H342" t="n">
        <v>0</v>
      </c>
      <c r="I342" t="s">
        <v>856</v>
      </c>
    </row>
    <row r="343">
      <c r="A343" t="s">
        <v>30</v>
      </c>
      <c r="B343" t="s">
        <v>32</v>
      </c>
      <c r="C343" t="s">
        <v>807</v>
      </c>
      <c r="D343" t="s">
        <v>211</v>
      </c>
      <c r="E343" t="s">
        <v>209</v>
      </c>
      <c r="F343" t="s">
        <v>857</v>
      </c>
      <c r="G343" t="n">
        <v>0</v>
      </c>
      <c r="H343" t="n">
        <v>0</v>
      </c>
      <c r="I343" t="s">
        <v>856</v>
      </c>
    </row>
    <row r="344">
      <c r="A344" t="s">
        <v>30</v>
      </c>
      <c r="B344" t="s">
        <v>32</v>
      </c>
      <c r="C344" t="s">
        <v>807</v>
      </c>
      <c r="D344" t="s">
        <v>239</v>
      </c>
      <c r="E344" t="s">
        <v>208</v>
      </c>
      <c r="F344" t="s">
        <v>858</v>
      </c>
      <c r="G344" t="n">
        <v>0</v>
      </c>
      <c r="H344" t="n">
        <v>0</v>
      </c>
      <c r="I344" t="s">
        <v>856</v>
      </c>
    </row>
    <row r="345">
      <c r="A345" t="s">
        <v>30</v>
      </c>
      <c r="B345" t="s">
        <v>32</v>
      </c>
      <c r="C345" t="s">
        <v>807</v>
      </c>
      <c r="D345" t="s">
        <v>201</v>
      </c>
      <c r="E345" t="s">
        <v>208</v>
      </c>
      <c r="F345" t="s">
        <v>858</v>
      </c>
      <c r="G345" t="n">
        <v>0</v>
      </c>
      <c r="H345" t="n">
        <v>0</v>
      </c>
      <c r="I345" t="s">
        <v>856</v>
      </c>
    </row>
    <row r="346">
      <c r="A346" t="s">
        <v>30</v>
      </c>
      <c r="B346" t="s">
        <v>32</v>
      </c>
      <c r="C346" t="s">
        <v>807</v>
      </c>
      <c r="D346" t="s">
        <v>235</v>
      </c>
      <c r="E346" t="s">
        <v>208</v>
      </c>
      <c r="F346" t="s">
        <v>858</v>
      </c>
      <c r="G346" t="n">
        <v>0</v>
      </c>
      <c r="H346" t="n">
        <v>0</v>
      </c>
      <c r="I346" t="s">
        <v>856</v>
      </c>
    </row>
    <row r="347">
      <c r="A347" t="s">
        <v>30</v>
      </c>
      <c r="B347" t="s">
        <v>32</v>
      </c>
      <c r="C347" t="s">
        <v>807</v>
      </c>
      <c r="D347" t="s">
        <v>401</v>
      </c>
      <c r="E347" t="s">
        <v>208</v>
      </c>
      <c r="F347" t="s">
        <v>858</v>
      </c>
      <c r="G347" t="n">
        <v>0</v>
      </c>
      <c r="H347" t="n">
        <v>0</v>
      </c>
      <c r="I347" t="s">
        <v>856</v>
      </c>
    </row>
    <row r="348">
      <c r="A348" t="s">
        <v>30</v>
      </c>
      <c r="B348" t="s">
        <v>32</v>
      </c>
      <c r="C348" t="s">
        <v>807</v>
      </c>
      <c r="D348" t="s">
        <v>406</v>
      </c>
      <c r="E348" t="s">
        <v>208</v>
      </c>
      <c r="F348" t="s">
        <v>858</v>
      </c>
      <c r="G348" t="n">
        <v>0</v>
      </c>
      <c r="H348" t="n">
        <v>0</v>
      </c>
      <c r="I348" t="s">
        <v>856</v>
      </c>
    </row>
    <row r="349">
      <c r="A349" t="s">
        <v>30</v>
      </c>
      <c r="B349" t="s">
        <v>32</v>
      </c>
      <c r="C349" t="s">
        <v>807</v>
      </c>
      <c r="D349" t="s">
        <v>296</v>
      </c>
      <c r="E349" t="s">
        <v>208</v>
      </c>
      <c r="F349" t="s">
        <v>858</v>
      </c>
      <c r="G349" t="n">
        <v>-1</v>
      </c>
      <c r="H349" t="n">
        <v>0</v>
      </c>
      <c r="I349" t="s">
        <v>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37.71" hidden="0" customWidth="1"/>
    <col min="3" max="3" width="27.71" hidden="0" customWidth="1"/>
    <col min="4" max="4" width="25.71" hidden="0" customWidth="1"/>
    <col min="5" max="5" width="14.71" hidden="0" customWidth="1"/>
    <col min="6" max="6" width="15.71" hidden="0" customWidth="1"/>
    <col min="7" max="7" width="15.71" hidden="0" customWidth="1"/>
    <col min="8" max="8" width="20.71" hidden="0" customWidth="1"/>
    <col min="9" max="9" width="26.71" hidden="0" customWidth="1"/>
    <col min="10" max="10" width="24.71" hidden="0" customWidth="1"/>
    <col min="11" max="11" width="14.71" hidden="0" customWidth="1"/>
    <col min="12" max="12" width="14.71" hidden="0" customWidth="1"/>
    <col min="13" max="13" width="19.71" hidden="0" customWidth="1"/>
    <col min="14" max="14" width="16.71" hidden="0" customWidth="1"/>
    <col min="15" max="15" width="16.71" hidden="0" customWidth="1"/>
    <col min="16" max="16" width="11.71" hidden="0" customWidth="1"/>
    <col min="17" max="17" width="22.71" hidden="0" customWidth="1"/>
  </cols>
  <sheetData>
    <row r="1">
      <c r="A1" s="16" t="s">
        <v>23</v>
      </c>
      <c r="B1" s="16" t="s">
        <v>851</v>
      </c>
      <c r="C1" s="16" t="s">
        <v>860</v>
      </c>
      <c r="D1" s="16" t="s">
        <v>861</v>
      </c>
      <c r="E1" s="16" t="s">
        <v>862</v>
      </c>
      <c r="F1" s="16" t="s">
        <v>863</v>
      </c>
      <c r="G1" s="16" t="s">
        <v>864</v>
      </c>
      <c r="H1" s="16" t="s">
        <v>865</v>
      </c>
      <c r="I1" s="16" t="s">
        <v>866</v>
      </c>
      <c r="J1" s="16" t="s">
        <v>867</v>
      </c>
      <c r="K1" s="16" t="s">
        <v>868</v>
      </c>
      <c r="L1" s="16" t="s">
        <v>869</v>
      </c>
      <c r="M1" s="16" t="s">
        <v>870</v>
      </c>
      <c r="N1" s="16" t="s">
        <v>871</v>
      </c>
      <c r="O1" s="16" t="s">
        <v>872</v>
      </c>
      <c r="P1" s="16" t="s">
        <v>873</v>
      </c>
      <c r="Q1" s="16" t="s">
        <v>874</v>
      </c>
    </row>
    <row r="2">
      <c r="A2" t="s">
        <v>36</v>
      </c>
      <c r="B2" t="s">
        <v>529</v>
      </c>
      <c r="C2" t="s">
        <v>208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  <c r="O2" t="s">
        <v>84</v>
      </c>
      <c r="P2" t="s">
        <v>84</v>
      </c>
      <c r="Q2" t="s">
        <v>84</v>
      </c>
    </row>
    <row r="3">
      <c r="A3" t="s">
        <v>36</v>
      </c>
      <c r="B3" t="s">
        <v>432</v>
      </c>
      <c r="C3" t="s">
        <v>84</v>
      </c>
      <c r="D3" t="s">
        <v>209</v>
      </c>
      <c r="E3" t="s">
        <v>84</v>
      </c>
      <c r="F3" t="s">
        <v>208</v>
      </c>
      <c r="G3" t="s">
        <v>84</v>
      </c>
      <c r="H3" t="s">
        <v>209</v>
      </c>
      <c r="I3" t="s">
        <v>84</v>
      </c>
      <c r="J3" t="s">
        <v>84</v>
      </c>
      <c r="K3" t="s">
        <v>84</v>
      </c>
      <c r="L3" t="s">
        <v>84</v>
      </c>
      <c r="M3" t="s">
        <v>84</v>
      </c>
      <c r="N3" t="s">
        <v>84</v>
      </c>
      <c r="O3" t="s">
        <v>84</v>
      </c>
      <c r="P3" t="s">
        <v>84</v>
      </c>
      <c r="Q3" t="s">
        <v>84</v>
      </c>
    </row>
    <row r="4">
      <c r="A4" t="s">
        <v>36</v>
      </c>
      <c r="B4" t="s">
        <v>441</v>
      </c>
      <c r="C4" t="s">
        <v>209</v>
      </c>
      <c r="D4" t="s">
        <v>226</v>
      </c>
      <c r="E4" t="s">
        <v>226</v>
      </c>
      <c r="F4" t="s">
        <v>226</v>
      </c>
      <c r="G4" t="s">
        <v>226</v>
      </c>
      <c r="H4" t="s">
        <v>226</v>
      </c>
      <c r="I4" t="s">
        <v>84</v>
      </c>
      <c r="J4" t="s">
        <v>84</v>
      </c>
      <c r="K4" t="s">
        <v>84</v>
      </c>
      <c r="L4" t="s">
        <v>84</v>
      </c>
      <c r="M4" t="s">
        <v>84</v>
      </c>
      <c r="N4" t="s">
        <v>84</v>
      </c>
      <c r="O4" t="s">
        <v>84</v>
      </c>
      <c r="P4" t="s">
        <v>84</v>
      </c>
      <c r="Q4" t="s">
        <v>84</v>
      </c>
    </row>
    <row r="5">
      <c r="A5" t="s">
        <v>36</v>
      </c>
      <c r="B5" t="s">
        <v>306</v>
      </c>
      <c r="C5" t="s">
        <v>209</v>
      </c>
      <c r="D5" t="s">
        <v>209</v>
      </c>
      <c r="E5" t="s">
        <v>84</v>
      </c>
      <c r="F5" t="s">
        <v>84</v>
      </c>
      <c r="G5" t="s">
        <v>209</v>
      </c>
      <c r="H5" t="s">
        <v>84</v>
      </c>
      <c r="I5" t="s">
        <v>84</v>
      </c>
      <c r="J5" t="s">
        <v>84</v>
      </c>
      <c r="K5" t="s">
        <v>84</v>
      </c>
      <c r="L5" t="s">
        <v>84</v>
      </c>
      <c r="M5" t="s">
        <v>84</v>
      </c>
      <c r="N5" t="s">
        <v>84</v>
      </c>
      <c r="O5" t="s">
        <v>84</v>
      </c>
      <c r="P5" t="s">
        <v>84</v>
      </c>
      <c r="Q5" t="s">
        <v>84</v>
      </c>
    </row>
    <row r="6">
      <c r="A6" t="s">
        <v>36</v>
      </c>
      <c r="B6" t="s">
        <v>302</v>
      </c>
      <c r="C6" t="s">
        <v>226</v>
      </c>
      <c r="D6" t="s">
        <v>226</v>
      </c>
      <c r="E6" t="s">
        <v>226</v>
      </c>
      <c r="F6" t="s">
        <v>226</v>
      </c>
      <c r="G6" t="s">
        <v>226</v>
      </c>
      <c r="H6" t="s">
        <v>226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</row>
    <row r="7">
      <c r="A7" t="s">
        <v>36</v>
      </c>
      <c r="B7" t="s">
        <v>140</v>
      </c>
      <c r="C7" t="s">
        <v>84</v>
      </c>
      <c r="D7" t="s">
        <v>209</v>
      </c>
      <c r="E7" t="s">
        <v>208</v>
      </c>
      <c r="F7" t="s">
        <v>84</v>
      </c>
      <c r="G7" t="s">
        <v>208</v>
      </c>
      <c r="H7" t="s">
        <v>208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</row>
    <row r="8">
      <c r="A8" t="s">
        <v>36</v>
      </c>
      <c r="B8" t="s">
        <v>353</v>
      </c>
      <c r="C8" t="s">
        <v>209</v>
      </c>
      <c r="D8" t="s">
        <v>209</v>
      </c>
      <c r="E8" t="s">
        <v>209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  <c r="O8" t="s">
        <v>84</v>
      </c>
      <c r="P8" t="s">
        <v>84</v>
      </c>
      <c r="Q8" t="s">
        <v>84</v>
      </c>
    </row>
    <row r="9">
      <c r="A9" t="s">
        <v>36</v>
      </c>
      <c r="B9" t="s">
        <v>325</v>
      </c>
      <c r="C9" t="s">
        <v>209</v>
      </c>
      <c r="D9" t="s">
        <v>209</v>
      </c>
      <c r="E9" t="s">
        <v>84</v>
      </c>
      <c r="F9" t="s">
        <v>84</v>
      </c>
      <c r="G9" t="s">
        <v>209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  <c r="O9" t="s">
        <v>84</v>
      </c>
      <c r="P9" t="s">
        <v>84</v>
      </c>
      <c r="Q9" t="s">
        <v>84</v>
      </c>
    </row>
    <row r="10">
      <c r="A10" t="s">
        <v>36</v>
      </c>
      <c r="B10" t="s">
        <v>521</v>
      </c>
      <c r="C10" t="s">
        <v>84</v>
      </c>
      <c r="D10" t="s">
        <v>208</v>
      </c>
      <c r="E10" t="s">
        <v>209</v>
      </c>
      <c r="F10" t="s">
        <v>84</v>
      </c>
      <c r="G10" t="s">
        <v>84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  <c r="O10" t="s">
        <v>84</v>
      </c>
      <c r="P10" t="s">
        <v>84</v>
      </c>
      <c r="Q10" t="s">
        <v>84</v>
      </c>
    </row>
    <row r="11">
      <c r="A11" t="s">
        <v>36</v>
      </c>
      <c r="B11" t="s">
        <v>414</v>
      </c>
      <c r="C11" t="s">
        <v>84</v>
      </c>
      <c r="D11" t="s">
        <v>84</v>
      </c>
      <c r="E11" t="s">
        <v>84</v>
      </c>
      <c r="F11" t="s">
        <v>208</v>
      </c>
      <c r="G11" t="s">
        <v>84</v>
      </c>
      <c r="H11" t="s">
        <v>84</v>
      </c>
      <c r="I11" t="s">
        <v>84</v>
      </c>
      <c r="J11" t="s">
        <v>84</v>
      </c>
      <c r="K11" t="s">
        <v>84</v>
      </c>
      <c r="L11" t="s">
        <v>84</v>
      </c>
      <c r="M11" t="s">
        <v>84</v>
      </c>
      <c r="N11" t="s">
        <v>84</v>
      </c>
      <c r="O11" t="s">
        <v>84</v>
      </c>
      <c r="P11" t="s">
        <v>84</v>
      </c>
      <c r="Q11" t="s">
        <v>84</v>
      </c>
    </row>
    <row r="12">
      <c r="A12" t="s">
        <v>36</v>
      </c>
      <c r="B12" t="s">
        <v>466</v>
      </c>
      <c r="C12" t="s">
        <v>84</v>
      </c>
      <c r="D12" t="s">
        <v>84</v>
      </c>
      <c r="E12" t="s">
        <v>209</v>
      </c>
      <c r="F12" t="s">
        <v>84</v>
      </c>
      <c r="G12" t="s">
        <v>84</v>
      </c>
      <c r="H12" t="s">
        <v>208</v>
      </c>
      <c r="I12" t="s">
        <v>84</v>
      </c>
      <c r="J12" t="s">
        <v>84</v>
      </c>
      <c r="K12" t="s">
        <v>84</v>
      </c>
      <c r="L12" t="s">
        <v>84</v>
      </c>
      <c r="M12" t="s">
        <v>84</v>
      </c>
      <c r="N12" t="s">
        <v>84</v>
      </c>
      <c r="O12" t="s">
        <v>84</v>
      </c>
      <c r="P12" t="s">
        <v>84</v>
      </c>
      <c r="Q12" t="s">
        <v>84</v>
      </c>
    </row>
    <row r="13">
      <c r="A13" t="s">
        <v>36</v>
      </c>
      <c r="B13" t="s">
        <v>417</v>
      </c>
      <c r="C13" t="s">
        <v>84</v>
      </c>
      <c r="D13" t="s">
        <v>84</v>
      </c>
      <c r="E13" t="s">
        <v>84</v>
      </c>
      <c r="F13" t="s">
        <v>208</v>
      </c>
      <c r="G13" t="s">
        <v>84</v>
      </c>
      <c r="H13" t="s">
        <v>84</v>
      </c>
      <c r="I13" t="s">
        <v>84</v>
      </c>
      <c r="J13" t="s">
        <v>84</v>
      </c>
      <c r="K13" t="s">
        <v>84</v>
      </c>
      <c r="L13" t="s">
        <v>84</v>
      </c>
      <c r="M13" t="s">
        <v>84</v>
      </c>
      <c r="N13" t="s">
        <v>84</v>
      </c>
      <c r="O13" t="s">
        <v>84</v>
      </c>
      <c r="P13" t="s">
        <v>84</v>
      </c>
      <c r="Q13" t="s">
        <v>84</v>
      </c>
    </row>
    <row r="14">
      <c r="A14" t="s">
        <v>36</v>
      </c>
      <c r="B14" t="s">
        <v>444</v>
      </c>
      <c r="C14" t="s">
        <v>84</v>
      </c>
      <c r="D14" t="s">
        <v>209</v>
      </c>
      <c r="E14" t="s">
        <v>209</v>
      </c>
      <c r="F14" t="s">
        <v>84</v>
      </c>
      <c r="G14" t="s">
        <v>84</v>
      </c>
      <c r="H14" t="s">
        <v>84</v>
      </c>
      <c r="I14" t="s">
        <v>84</v>
      </c>
      <c r="J14" t="s">
        <v>84</v>
      </c>
      <c r="K14" t="s">
        <v>84</v>
      </c>
      <c r="L14" t="s">
        <v>84</v>
      </c>
      <c r="M14" t="s">
        <v>84</v>
      </c>
      <c r="N14" t="s">
        <v>84</v>
      </c>
      <c r="O14" t="s">
        <v>84</v>
      </c>
      <c r="P14" t="s">
        <v>84</v>
      </c>
      <c r="Q14" t="s">
        <v>84</v>
      </c>
    </row>
    <row r="15">
      <c r="A15" t="s">
        <v>36</v>
      </c>
      <c r="B15" t="s">
        <v>410</v>
      </c>
      <c r="C15" t="s">
        <v>84</v>
      </c>
      <c r="D15" t="s">
        <v>84</v>
      </c>
      <c r="E15" t="s">
        <v>84</v>
      </c>
      <c r="F15" t="s">
        <v>208</v>
      </c>
      <c r="G15" t="s">
        <v>84</v>
      </c>
      <c r="H15" t="s">
        <v>84</v>
      </c>
      <c r="I15" t="s">
        <v>84</v>
      </c>
      <c r="J15" t="s">
        <v>84</v>
      </c>
      <c r="K15" t="s">
        <v>84</v>
      </c>
      <c r="L15" t="s">
        <v>84</v>
      </c>
      <c r="M15" t="s">
        <v>84</v>
      </c>
      <c r="N15" t="s">
        <v>84</v>
      </c>
      <c r="O15" t="s">
        <v>84</v>
      </c>
      <c r="P15" t="s">
        <v>84</v>
      </c>
      <c r="Q15" t="s">
        <v>84</v>
      </c>
    </row>
    <row r="16">
      <c r="A16" t="s">
        <v>36</v>
      </c>
      <c r="B16" t="s">
        <v>462</v>
      </c>
      <c r="C16" t="s">
        <v>84</v>
      </c>
      <c r="D16" t="s">
        <v>208</v>
      </c>
      <c r="E16" t="s">
        <v>84</v>
      </c>
      <c r="F16" t="s">
        <v>84</v>
      </c>
      <c r="G16" t="s">
        <v>84</v>
      </c>
      <c r="H16" t="s">
        <v>84</v>
      </c>
      <c r="I16" t="s">
        <v>84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  <c r="O16" t="s">
        <v>84</v>
      </c>
      <c r="P16" t="s">
        <v>84</v>
      </c>
      <c r="Q16" t="s">
        <v>84</v>
      </c>
    </row>
    <row r="17">
      <c r="A17" t="s">
        <v>36</v>
      </c>
      <c r="B17" t="s">
        <v>451</v>
      </c>
      <c r="C17" t="s">
        <v>84</v>
      </c>
      <c r="D17" t="s">
        <v>84</v>
      </c>
      <c r="E17" t="s">
        <v>84</v>
      </c>
      <c r="F17" t="s">
        <v>84</v>
      </c>
      <c r="G17" t="s">
        <v>209</v>
      </c>
      <c r="H17" t="s">
        <v>84</v>
      </c>
      <c r="I17" t="s">
        <v>84</v>
      </c>
      <c r="J17" t="s">
        <v>84</v>
      </c>
      <c r="K17" t="s">
        <v>84</v>
      </c>
      <c r="L17" t="s">
        <v>84</v>
      </c>
      <c r="M17" t="s">
        <v>84</v>
      </c>
      <c r="N17" t="s">
        <v>84</v>
      </c>
      <c r="O17" t="s">
        <v>84</v>
      </c>
      <c r="P17" t="s">
        <v>84</v>
      </c>
      <c r="Q17" t="s">
        <v>84</v>
      </c>
    </row>
    <row r="18">
      <c r="A18" t="s">
        <v>36</v>
      </c>
      <c r="B18" t="s">
        <v>498</v>
      </c>
      <c r="C18" t="s">
        <v>209</v>
      </c>
      <c r="D18" t="s">
        <v>209</v>
      </c>
      <c r="E18" t="s">
        <v>84</v>
      </c>
      <c r="F18" t="s">
        <v>84</v>
      </c>
      <c r="G18" t="s">
        <v>209</v>
      </c>
      <c r="H18" t="s">
        <v>84</v>
      </c>
      <c r="I18" t="s">
        <v>84</v>
      </c>
      <c r="J18" t="s">
        <v>84</v>
      </c>
      <c r="K18" t="s">
        <v>84</v>
      </c>
      <c r="L18" t="s">
        <v>84</v>
      </c>
      <c r="M18" t="s">
        <v>84</v>
      </c>
      <c r="N18" t="s">
        <v>84</v>
      </c>
      <c r="O18" t="s">
        <v>84</v>
      </c>
      <c r="P18" t="s">
        <v>84</v>
      </c>
      <c r="Q18" t="s">
        <v>84</v>
      </c>
    </row>
    <row r="19">
      <c r="A19" t="s">
        <v>36</v>
      </c>
      <c r="B19" t="s">
        <v>492</v>
      </c>
      <c r="C19" t="s">
        <v>209</v>
      </c>
      <c r="D19" t="s">
        <v>209</v>
      </c>
      <c r="E19" t="s">
        <v>209</v>
      </c>
      <c r="F19" t="s">
        <v>209</v>
      </c>
      <c r="G19" t="s">
        <v>209</v>
      </c>
      <c r="H19" t="s">
        <v>209</v>
      </c>
      <c r="I19" t="s">
        <v>84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  <c r="O19" t="s">
        <v>84</v>
      </c>
      <c r="P19" t="s">
        <v>84</v>
      </c>
      <c r="Q19" t="s">
        <v>84</v>
      </c>
    </row>
    <row r="20">
      <c r="A20" t="s">
        <v>36</v>
      </c>
      <c r="B20" t="s">
        <v>349</v>
      </c>
      <c r="C20" t="s">
        <v>209</v>
      </c>
      <c r="D20" t="s">
        <v>209</v>
      </c>
      <c r="E20" t="s">
        <v>209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  <c r="O20" t="s">
        <v>84</v>
      </c>
      <c r="P20" t="s">
        <v>84</v>
      </c>
      <c r="Q20" t="s">
        <v>84</v>
      </c>
    </row>
    <row r="21">
      <c r="A21" t="s">
        <v>36</v>
      </c>
      <c r="B21" t="s">
        <v>438</v>
      </c>
      <c r="C21" t="s">
        <v>84</v>
      </c>
      <c r="D21" t="s">
        <v>226</v>
      </c>
      <c r="E21" t="s">
        <v>226</v>
      </c>
      <c r="F21" t="s">
        <v>84</v>
      </c>
      <c r="G21" t="s">
        <v>226</v>
      </c>
      <c r="H21" t="s">
        <v>226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  <c r="O21" t="s">
        <v>84</v>
      </c>
      <c r="P21" t="s">
        <v>84</v>
      </c>
      <c r="Q21" t="s">
        <v>84</v>
      </c>
    </row>
    <row r="22">
      <c r="A22" t="s">
        <v>36</v>
      </c>
      <c r="B22" t="s">
        <v>478</v>
      </c>
      <c r="C22" t="s">
        <v>84</v>
      </c>
      <c r="D22" t="s">
        <v>209</v>
      </c>
      <c r="E22" t="s">
        <v>84</v>
      </c>
      <c r="F22" t="s">
        <v>84</v>
      </c>
      <c r="G22" t="s">
        <v>84</v>
      </c>
      <c r="H22" t="s">
        <v>209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  <c r="O22" t="s">
        <v>84</v>
      </c>
      <c r="P22" t="s">
        <v>84</v>
      </c>
      <c r="Q22" t="s">
        <v>84</v>
      </c>
    </row>
    <row r="23">
      <c r="A23" t="s">
        <v>36</v>
      </c>
      <c r="B23" t="s">
        <v>314</v>
      </c>
      <c r="C23" t="s">
        <v>209</v>
      </c>
      <c r="D23" t="s">
        <v>209</v>
      </c>
      <c r="E23" t="s">
        <v>209</v>
      </c>
      <c r="F23" t="s">
        <v>84</v>
      </c>
      <c r="G23" t="s">
        <v>84</v>
      </c>
      <c r="H23" t="s">
        <v>84</v>
      </c>
      <c r="I23" t="s">
        <v>84</v>
      </c>
      <c r="J23" t="s">
        <v>84</v>
      </c>
      <c r="K23" t="s">
        <v>84</v>
      </c>
      <c r="L23" t="s">
        <v>84</v>
      </c>
      <c r="M23" t="s">
        <v>84</v>
      </c>
      <c r="N23" t="s">
        <v>84</v>
      </c>
      <c r="O23" t="s">
        <v>84</v>
      </c>
      <c r="P23" t="s">
        <v>84</v>
      </c>
      <c r="Q23" t="s">
        <v>84</v>
      </c>
    </row>
    <row r="24">
      <c r="A24" t="s">
        <v>36</v>
      </c>
      <c r="B24" t="s">
        <v>316</v>
      </c>
      <c r="C24" t="s">
        <v>209</v>
      </c>
      <c r="D24" t="s">
        <v>209</v>
      </c>
      <c r="E24" t="s">
        <v>84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  <c r="O24" t="s">
        <v>84</v>
      </c>
      <c r="P24" t="s">
        <v>84</v>
      </c>
      <c r="Q24" t="s">
        <v>84</v>
      </c>
    </row>
    <row r="25">
      <c r="A25" t="s">
        <v>36</v>
      </c>
      <c r="B25" t="s">
        <v>517</v>
      </c>
      <c r="C25" t="s">
        <v>209</v>
      </c>
      <c r="D25" t="s">
        <v>209</v>
      </c>
      <c r="E25" t="s">
        <v>209</v>
      </c>
      <c r="F25" t="s">
        <v>84</v>
      </c>
      <c r="G25" t="s">
        <v>84</v>
      </c>
      <c r="H25" t="s">
        <v>84</v>
      </c>
      <c r="I25" t="s">
        <v>84</v>
      </c>
      <c r="J25" t="s">
        <v>84</v>
      </c>
      <c r="K25" t="s">
        <v>84</v>
      </c>
      <c r="L25" t="s">
        <v>84</v>
      </c>
      <c r="M25" t="s">
        <v>84</v>
      </c>
      <c r="N25" t="s">
        <v>84</v>
      </c>
      <c r="O25" t="s">
        <v>84</v>
      </c>
      <c r="P25" t="s">
        <v>84</v>
      </c>
      <c r="Q25" t="s">
        <v>84</v>
      </c>
    </row>
    <row r="26">
      <c r="A26" t="s">
        <v>36</v>
      </c>
      <c r="B26" t="s">
        <v>310</v>
      </c>
      <c r="C26" t="s">
        <v>209</v>
      </c>
      <c r="D26" t="s">
        <v>209</v>
      </c>
      <c r="E26" t="s">
        <v>84</v>
      </c>
      <c r="F26" t="s">
        <v>84</v>
      </c>
      <c r="G26" t="s">
        <v>84</v>
      </c>
      <c r="H26" t="s">
        <v>84</v>
      </c>
      <c r="I26" t="s">
        <v>84</v>
      </c>
      <c r="J26" t="s">
        <v>84</v>
      </c>
      <c r="K26" t="s">
        <v>84</v>
      </c>
      <c r="L26" t="s">
        <v>84</v>
      </c>
      <c r="M26" t="s">
        <v>84</v>
      </c>
      <c r="N26" t="s">
        <v>84</v>
      </c>
      <c r="O26" t="s">
        <v>84</v>
      </c>
      <c r="P26" t="s">
        <v>84</v>
      </c>
      <c r="Q26" t="s">
        <v>84</v>
      </c>
    </row>
    <row r="27">
      <c r="A27" t="s">
        <v>36</v>
      </c>
      <c r="B27" t="s">
        <v>503</v>
      </c>
      <c r="C27" t="s">
        <v>209</v>
      </c>
      <c r="D27" t="s">
        <v>209</v>
      </c>
      <c r="E27" t="s">
        <v>209</v>
      </c>
      <c r="F27" t="s">
        <v>84</v>
      </c>
      <c r="G27" t="s">
        <v>84</v>
      </c>
      <c r="H27" t="s">
        <v>84</v>
      </c>
      <c r="I27" t="s">
        <v>84</v>
      </c>
      <c r="J27" t="s">
        <v>84</v>
      </c>
      <c r="K27" t="s">
        <v>84</v>
      </c>
      <c r="L27" t="s">
        <v>84</v>
      </c>
      <c r="M27" t="s">
        <v>84</v>
      </c>
      <c r="N27" t="s">
        <v>84</v>
      </c>
      <c r="O27" t="s">
        <v>84</v>
      </c>
      <c r="P27" t="s">
        <v>84</v>
      </c>
      <c r="Q27" t="s">
        <v>84</v>
      </c>
    </row>
    <row r="28">
      <c r="A28" t="s">
        <v>36</v>
      </c>
      <c r="B28" t="s">
        <v>358</v>
      </c>
      <c r="C28" t="s">
        <v>209</v>
      </c>
      <c r="D28" t="s">
        <v>209</v>
      </c>
      <c r="E28" t="s">
        <v>209</v>
      </c>
      <c r="F28" t="s">
        <v>209</v>
      </c>
      <c r="G28" t="s">
        <v>209</v>
      </c>
      <c r="H28" t="s">
        <v>209</v>
      </c>
      <c r="I28" t="s">
        <v>84</v>
      </c>
      <c r="J28" t="s">
        <v>84</v>
      </c>
      <c r="K28" t="s">
        <v>84</v>
      </c>
      <c r="L28" t="s">
        <v>84</v>
      </c>
      <c r="M28" t="s">
        <v>84</v>
      </c>
      <c r="N28" t="s">
        <v>84</v>
      </c>
      <c r="O28" t="s">
        <v>84</v>
      </c>
      <c r="P28" t="s">
        <v>84</v>
      </c>
      <c r="Q28" t="s">
        <v>84</v>
      </c>
    </row>
    <row r="29">
      <c r="A29" t="s">
        <v>36</v>
      </c>
      <c r="B29" t="s">
        <v>426</v>
      </c>
      <c r="C29" t="s">
        <v>209</v>
      </c>
      <c r="D29" t="s">
        <v>208</v>
      </c>
      <c r="E29" t="s">
        <v>208</v>
      </c>
      <c r="F29" t="s">
        <v>208</v>
      </c>
      <c r="G29" t="s">
        <v>208</v>
      </c>
      <c r="H29" t="s">
        <v>208</v>
      </c>
      <c r="I29" t="s">
        <v>84</v>
      </c>
      <c r="J29" t="s">
        <v>84</v>
      </c>
      <c r="K29" t="s">
        <v>84</v>
      </c>
      <c r="L29" t="s">
        <v>84</v>
      </c>
      <c r="M29" t="s">
        <v>84</v>
      </c>
      <c r="N29" t="s">
        <v>84</v>
      </c>
      <c r="O29" t="s">
        <v>84</v>
      </c>
      <c r="P29" t="s">
        <v>84</v>
      </c>
      <c r="Q29" t="s">
        <v>84</v>
      </c>
    </row>
    <row r="30">
      <c r="A30" t="s">
        <v>36</v>
      </c>
      <c r="B30" t="s">
        <v>474</v>
      </c>
      <c r="C30" t="s">
        <v>84</v>
      </c>
      <c r="D30" t="s">
        <v>84</v>
      </c>
      <c r="E30" t="s">
        <v>84</v>
      </c>
      <c r="F30" t="s">
        <v>208</v>
      </c>
      <c r="G30" t="s">
        <v>209</v>
      </c>
      <c r="H30" t="s">
        <v>209</v>
      </c>
      <c r="I30" t="s">
        <v>84</v>
      </c>
      <c r="J30" t="s">
        <v>84</v>
      </c>
      <c r="K30" t="s">
        <v>84</v>
      </c>
      <c r="L30" t="s">
        <v>84</v>
      </c>
      <c r="M30" t="s">
        <v>84</v>
      </c>
      <c r="N30" t="s">
        <v>84</v>
      </c>
      <c r="O30" t="s">
        <v>84</v>
      </c>
      <c r="P30" t="s">
        <v>84</v>
      </c>
      <c r="Q30" t="s">
        <v>84</v>
      </c>
    </row>
    <row r="31">
      <c r="A31" t="s">
        <v>36</v>
      </c>
      <c r="B31" t="s">
        <v>401</v>
      </c>
      <c r="C31" t="s">
        <v>208</v>
      </c>
      <c r="D31" t="s">
        <v>208</v>
      </c>
      <c r="E31" t="s">
        <v>208</v>
      </c>
      <c r="F31" t="s">
        <v>208</v>
      </c>
      <c r="G31" t="s">
        <v>208</v>
      </c>
      <c r="H31" t="s">
        <v>208</v>
      </c>
      <c r="I31" t="s">
        <v>84</v>
      </c>
      <c r="J31" t="s">
        <v>84</v>
      </c>
      <c r="K31" t="s">
        <v>84</v>
      </c>
      <c r="L31" t="s">
        <v>84</v>
      </c>
      <c r="M31" t="s">
        <v>84</v>
      </c>
      <c r="N31" t="s">
        <v>84</v>
      </c>
      <c r="O31" t="s">
        <v>84</v>
      </c>
      <c r="P31" t="s">
        <v>84</v>
      </c>
      <c r="Q31" t="s">
        <v>84</v>
      </c>
    </row>
    <row r="32">
      <c r="A32" t="s">
        <v>36</v>
      </c>
      <c r="B32" t="s">
        <v>320</v>
      </c>
      <c r="C32" t="s">
        <v>209</v>
      </c>
      <c r="D32" t="s">
        <v>209</v>
      </c>
      <c r="E32" t="s">
        <v>84</v>
      </c>
      <c r="F32" t="s">
        <v>84</v>
      </c>
      <c r="G32" t="s">
        <v>84</v>
      </c>
      <c r="H32" t="s">
        <v>84</v>
      </c>
      <c r="I32" t="s">
        <v>84</v>
      </c>
      <c r="J32" t="s">
        <v>84</v>
      </c>
      <c r="K32" t="s">
        <v>84</v>
      </c>
      <c r="L32" t="s">
        <v>84</v>
      </c>
      <c r="M32" t="s">
        <v>84</v>
      </c>
      <c r="N32" t="s">
        <v>84</v>
      </c>
      <c r="O32" t="s">
        <v>84</v>
      </c>
      <c r="P32" t="s">
        <v>84</v>
      </c>
      <c r="Q32" t="s">
        <v>84</v>
      </c>
    </row>
    <row r="33">
      <c r="A33" t="s">
        <v>36</v>
      </c>
      <c r="B33" t="s">
        <v>429</v>
      </c>
      <c r="C33" t="s">
        <v>84</v>
      </c>
      <c r="D33" t="s">
        <v>209</v>
      </c>
      <c r="E33" t="s">
        <v>84</v>
      </c>
      <c r="F33" t="s">
        <v>84</v>
      </c>
      <c r="G33" t="s">
        <v>208</v>
      </c>
      <c r="H33" t="s">
        <v>84</v>
      </c>
      <c r="I33" t="s">
        <v>84</v>
      </c>
      <c r="J33" t="s">
        <v>84</v>
      </c>
      <c r="K33" t="s">
        <v>84</v>
      </c>
      <c r="L33" t="s">
        <v>84</v>
      </c>
      <c r="M33" t="s">
        <v>84</v>
      </c>
      <c r="N33" t="s">
        <v>84</v>
      </c>
      <c r="O33" t="s">
        <v>84</v>
      </c>
      <c r="P33" t="s">
        <v>84</v>
      </c>
      <c r="Q33" t="s">
        <v>84</v>
      </c>
    </row>
    <row r="34">
      <c r="A34" t="s">
        <v>36</v>
      </c>
      <c r="B34" t="s">
        <v>525</v>
      </c>
      <c r="C34" t="s">
        <v>84</v>
      </c>
      <c r="D34" t="s">
        <v>84</v>
      </c>
      <c r="E34" t="s">
        <v>208</v>
      </c>
      <c r="F34" t="s">
        <v>84</v>
      </c>
      <c r="G34" t="s">
        <v>84</v>
      </c>
      <c r="H34" t="s">
        <v>84</v>
      </c>
      <c r="I34" t="s">
        <v>84</v>
      </c>
      <c r="J34" t="s">
        <v>84</v>
      </c>
      <c r="K34" t="s">
        <v>84</v>
      </c>
      <c r="L34" t="s">
        <v>84</v>
      </c>
      <c r="M34" t="s">
        <v>84</v>
      </c>
      <c r="N34" t="s">
        <v>84</v>
      </c>
      <c r="O34" t="s">
        <v>84</v>
      </c>
      <c r="P34" t="s">
        <v>84</v>
      </c>
      <c r="Q34" t="s">
        <v>84</v>
      </c>
    </row>
    <row r="35">
      <c r="A35" t="s">
        <v>36</v>
      </c>
      <c r="B35" t="s">
        <v>419</v>
      </c>
      <c r="C35" t="s">
        <v>84</v>
      </c>
      <c r="D35" t="s">
        <v>84</v>
      </c>
      <c r="E35" t="s">
        <v>84</v>
      </c>
      <c r="F35" t="s">
        <v>84</v>
      </c>
      <c r="G35" t="s">
        <v>84</v>
      </c>
      <c r="H35" t="s">
        <v>208</v>
      </c>
      <c r="I35" t="s">
        <v>84</v>
      </c>
      <c r="J35" t="s">
        <v>84</v>
      </c>
      <c r="K35" t="s">
        <v>84</v>
      </c>
      <c r="L35" t="s">
        <v>84</v>
      </c>
      <c r="M35" t="s">
        <v>84</v>
      </c>
      <c r="N35" t="s">
        <v>84</v>
      </c>
      <c r="O35" t="s">
        <v>84</v>
      </c>
      <c r="P35" t="s">
        <v>84</v>
      </c>
      <c r="Q35" t="s">
        <v>84</v>
      </c>
    </row>
    <row r="36">
      <c r="A36" t="s">
        <v>36</v>
      </c>
      <c r="B36" t="s">
        <v>448</v>
      </c>
      <c r="C36" t="s">
        <v>84</v>
      </c>
      <c r="D36" t="s">
        <v>84</v>
      </c>
      <c r="E36" t="s">
        <v>209</v>
      </c>
      <c r="F36" t="s">
        <v>84</v>
      </c>
      <c r="G36" t="s">
        <v>226</v>
      </c>
      <c r="H36" t="s">
        <v>84</v>
      </c>
      <c r="I36" t="s">
        <v>84</v>
      </c>
      <c r="J36" t="s">
        <v>84</v>
      </c>
      <c r="K36" t="s">
        <v>84</v>
      </c>
      <c r="L36" t="s">
        <v>84</v>
      </c>
      <c r="M36" t="s">
        <v>84</v>
      </c>
      <c r="N36" t="s">
        <v>84</v>
      </c>
      <c r="O36" t="s">
        <v>84</v>
      </c>
      <c r="P36" t="s">
        <v>84</v>
      </c>
      <c r="Q36" t="s">
        <v>84</v>
      </c>
    </row>
    <row r="37">
      <c r="A37" t="s">
        <v>36</v>
      </c>
      <c r="B37" t="s">
        <v>486</v>
      </c>
      <c r="C37" t="s">
        <v>84</v>
      </c>
      <c r="D37" t="s">
        <v>209</v>
      </c>
      <c r="E37" t="s">
        <v>209</v>
      </c>
      <c r="F37" t="s">
        <v>84</v>
      </c>
      <c r="G37" t="s">
        <v>209</v>
      </c>
      <c r="H37" t="s">
        <v>209</v>
      </c>
      <c r="I37" t="s">
        <v>84</v>
      </c>
      <c r="J37" t="s">
        <v>84</v>
      </c>
      <c r="K37" t="s">
        <v>84</v>
      </c>
      <c r="L37" t="s">
        <v>84</v>
      </c>
      <c r="M37" t="s">
        <v>84</v>
      </c>
      <c r="N37" t="s">
        <v>84</v>
      </c>
      <c r="O37" t="s">
        <v>84</v>
      </c>
      <c r="P37" t="s">
        <v>84</v>
      </c>
      <c r="Q37" t="s">
        <v>84</v>
      </c>
    </row>
    <row r="38">
      <c r="A38" t="s">
        <v>36</v>
      </c>
      <c r="B38" t="s">
        <v>508</v>
      </c>
      <c r="C38" t="s">
        <v>226</v>
      </c>
      <c r="D38" t="s">
        <v>208</v>
      </c>
      <c r="E38" t="s">
        <v>226</v>
      </c>
      <c r="F38" t="s">
        <v>226</v>
      </c>
      <c r="G38" t="s">
        <v>226</v>
      </c>
      <c r="H38" t="s">
        <v>226</v>
      </c>
      <c r="I38" t="s">
        <v>84</v>
      </c>
      <c r="J38" t="s">
        <v>84</v>
      </c>
      <c r="K38" t="s">
        <v>84</v>
      </c>
      <c r="L38" t="s">
        <v>84</v>
      </c>
      <c r="M38" t="s">
        <v>84</v>
      </c>
      <c r="N38" t="s">
        <v>84</v>
      </c>
      <c r="O38" t="s">
        <v>84</v>
      </c>
      <c r="P38" t="s">
        <v>84</v>
      </c>
      <c r="Q38" t="s">
        <v>84</v>
      </c>
    </row>
    <row r="39">
      <c r="A39" t="s">
        <v>36</v>
      </c>
      <c r="B39" t="s">
        <v>435</v>
      </c>
      <c r="C39" t="s">
        <v>84</v>
      </c>
      <c r="D39" t="s">
        <v>84</v>
      </c>
      <c r="E39" t="s">
        <v>84</v>
      </c>
      <c r="F39" t="s">
        <v>84</v>
      </c>
      <c r="G39" t="s">
        <v>209</v>
      </c>
      <c r="H39" t="s">
        <v>208</v>
      </c>
      <c r="I39" t="s">
        <v>84</v>
      </c>
      <c r="J39" t="s">
        <v>84</v>
      </c>
      <c r="K39" t="s">
        <v>84</v>
      </c>
      <c r="L39" t="s">
        <v>84</v>
      </c>
      <c r="M39" t="s">
        <v>84</v>
      </c>
      <c r="N39" t="s">
        <v>84</v>
      </c>
      <c r="O39" t="s">
        <v>84</v>
      </c>
      <c r="P39" t="s">
        <v>84</v>
      </c>
      <c r="Q39" t="s">
        <v>84</v>
      </c>
    </row>
    <row r="40">
      <c r="A40" t="s">
        <v>36</v>
      </c>
      <c r="B40" t="s">
        <v>406</v>
      </c>
      <c r="C40" t="s">
        <v>209</v>
      </c>
      <c r="D40" t="s">
        <v>209</v>
      </c>
      <c r="E40" t="s">
        <v>209</v>
      </c>
      <c r="F40" t="s">
        <v>84</v>
      </c>
      <c r="G40" t="s">
        <v>209</v>
      </c>
      <c r="H40" t="s">
        <v>84</v>
      </c>
      <c r="I40" t="s">
        <v>84</v>
      </c>
      <c r="J40" t="s">
        <v>84</v>
      </c>
      <c r="K40" t="s">
        <v>84</v>
      </c>
      <c r="L40" t="s">
        <v>84</v>
      </c>
      <c r="M40" t="s">
        <v>84</v>
      </c>
      <c r="N40" t="s">
        <v>84</v>
      </c>
      <c r="O40" t="s">
        <v>84</v>
      </c>
      <c r="P40" t="s">
        <v>84</v>
      </c>
      <c r="Q40" t="s">
        <v>84</v>
      </c>
    </row>
    <row r="41">
      <c r="A41" t="s">
        <v>36</v>
      </c>
      <c r="B41" t="s">
        <v>296</v>
      </c>
      <c r="C41" t="s">
        <v>208</v>
      </c>
      <c r="D41" t="s">
        <v>208</v>
      </c>
      <c r="E41" t="s">
        <v>208</v>
      </c>
      <c r="F41" t="s">
        <v>208</v>
      </c>
      <c r="G41" t="s">
        <v>208</v>
      </c>
      <c r="H41" t="s">
        <v>208</v>
      </c>
      <c r="I41" t="s">
        <v>84</v>
      </c>
      <c r="J41" t="s">
        <v>84</v>
      </c>
      <c r="K41" t="s">
        <v>84</v>
      </c>
      <c r="L41" t="s">
        <v>84</v>
      </c>
      <c r="M41" t="s">
        <v>84</v>
      </c>
      <c r="N41" t="s">
        <v>84</v>
      </c>
      <c r="O41" t="s">
        <v>84</v>
      </c>
      <c r="P41" t="s">
        <v>84</v>
      </c>
      <c r="Q41" t="s">
        <v>84</v>
      </c>
    </row>
    <row r="42">
      <c r="A42" t="s">
        <v>36</v>
      </c>
      <c r="B42" t="s">
        <v>470</v>
      </c>
      <c r="C42" t="s">
        <v>84</v>
      </c>
      <c r="D42" t="s">
        <v>84</v>
      </c>
      <c r="E42" t="s">
        <v>209</v>
      </c>
      <c r="F42" t="s">
        <v>84</v>
      </c>
      <c r="G42" t="s">
        <v>84</v>
      </c>
      <c r="H42" t="s">
        <v>84</v>
      </c>
      <c r="I42" t="s">
        <v>84</v>
      </c>
      <c r="J42" t="s">
        <v>84</v>
      </c>
      <c r="K42" t="s">
        <v>84</v>
      </c>
      <c r="L42" t="s">
        <v>84</v>
      </c>
      <c r="M42" t="s">
        <v>84</v>
      </c>
      <c r="N42" t="s">
        <v>84</v>
      </c>
      <c r="O42" t="s">
        <v>84</v>
      </c>
      <c r="P42" t="s">
        <v>84</v>
      </c>
      <c r="Q42" t="s">
        <v>84</v>
      </c>
    </row>
    <row r="43">
      <c r="A43" t="s">
        <v>36</v>
      </c>
      <c r="B43" t="s">
        <v>457</v>
      </c>
      <c r="C43" t="s">
        <v>84</v>
      </c>
      <c r="D43" t="s">
        <v>84</v>
      </c>
      <c r="E43" t="s">
        <v>84</v>
      </c>
      <c r="F43" t="s">
        <v>84</v>
      </c>
      <c r="G43" t="s">
        <v>208</v>
      </c>
      <c r="H43" t="s">
        <v>84</v>
      </c>
      <c r="I43" t="s">
        <v>84</v>
      </c>
      <c r="J43" t="s">
        <v>84</v>
      </c>
      <c r="K43" t="s">
        <v>84</v>
      </c>
      <c r="L43" t="s">
        <v>84</v>
      </c>
      <c r="M43" t="s">
        <v>84</v>
      </c>
      <c r="N43" t="s">
        <v>84</v>
      </c>
      <c r="O43" t="s">
        <v>84</v>
      </c>
      <c r="P43" t="s">
        <v>84</v>
      </c>
      <c r="Q43" t="s">
        <v>84</v>
      </c>
    </row>
    <row r="44">
      <c r="A44" t="s">
        <v>36</v>
      </c>
      <c r="B44" t="s">
        <v>422</v>
      </c>
      <c r="C44" t="s">
        <v>209</v>
      </c>
      <c r="D44" t="s">
        <v>208</v>
      </c>
      <c r="E44" t="s">
        <v>209</v>
      </c>
      <c r="F44" t="s">
        <v>84</v>
      </c>
      <c r="G44" t="s">
        <v>208</v>
      </c>
      <c r="H44" t="s">
        <v>208</v>
      </c>
      <c r="I44" t="s">
        <v>84</v>
      </c>
      <c r="J44" t="s">
        <v>84</v>
      </c>
      <c r="K44" t="s">
        <v>84</v>
      </c>
      <c r="L44" t="s">
        <v>84</v>
      </c>
      <c r="M44" t="s">
        <v>84</v>
      </c>
      <c r="N44" t="s">
        <v>84</v>
      </c>
      <c r="O44" t="s">
        <v>84</v>
      </c>
      <c r="P44" t="s">
        <v>84</v>
      </c>
      <c r="Q44" t="s">
        <v>84</v>
      </c>
    </row>
    <row r="45">
      <c r="A45" t="s">
        <v>36</v>
      </c>
      <c r="B45" t="s">
        <v>364</v>
      </c>
      <c r="C45" t="s">
        <v>209</v>
      </c>
      <c r="D45" t="s">
        <v>209</v>
      </c>
      <c r="E45" t="s">
        <v>84</v>
      </c>
      <c r="F45" t="s">
        <v>84</v>
      </c>
      <c r="G45" t="s">
        <v>84</v>
      </c>
      <c r="H45" t="s">
        <v>84</v>
      </c>
      <c r="I45" t="s">
        <v>84</v>
      </c>
      <c r="J45" t="s">
        <v>84</v>
      </c>
      <c r="K45" t="s">
        <v>84</v>
      </c>
      <c r="L45" t="s">
        <v>84</v>
      </c>
      <c r="M45" t="s">
        <v>84</v>
      </c>
      <c r="N45" t="s">
        <v>84</v>
      </c>
      <c r="O45" t="s">
        <v>84</v>
      </c>
      <c r="P45" t="s">
        <v>84</v>
      </c>
      <c r="Q45" t="s">
        <v>84</v>
      </c>
    </row>
    <row r="46">
      <c r="A46" t="s">
        <v>43</v>
      </c>
      <c r="B46" t="s">
        <v>529</v>
      </c>
      <c r="C46" t="s">
        <v>84</v>
      </c>
      <c r="D46" t="s">
        <v>84</v>
      </c>
      <c r="E46" t="s">
        <v>84</v>
      </c>
      <c r="F46" t="s">
        <v>84</v>
      </c>
      <c r="G46" t="s">
        <v>84</v>
      </c>
      <c r="H46" t="s">
        <v>84</v>
      </c>
      <c r="I46" t="s">
        <v>208</v>
      </c>
      <c r="J46" t="s">
        <v>84</v>
      </c>
      <c r="K46" t="s">
        <v>84</v>
      </c>
      <c r="L46" t="s">
        <v>84</v>
      </c>
      <c r="M46" t="s">
        <v>84</v>
      </c>
      <c r="N46" t="s">
        <v>84</v>
      </c>
      <c r="O46" t="s">
        <v>84</v>
      </c>
      <c r="P46" t="s">
        <v>84</v>
      </c>
      <c r="Q46" t="s">
        <v>84</v>
      </c>
    </row>
    <row r="47">
      <c r="A47" t="s">
        <v>43</v>
      </c>
      <c r="B47" t="s">
        <v>432</v>
      </c>
      <c r="C47" t="s">
        <v>84</v>
      </c>
      <c r="D47" t="s">
        <v>84</v>
      </c>
      <c r="E47" t="s">
        <v>84</v>
      </c>
      <c r="F47" t="s">
        <v>84</v>
      </c>
      <c r="G47" t="s">
        <v>84</v>
      </c>
      <c r="H47" t="s">
        <v>84</v>
      </c>
      <c r="I47" t="s">
        <v>84</v>
      </c>
      <c r="J47" t="s">
        <v>209</v>
      </c>
      <c r="K47" t="s">
        <v>208</v>
      </c>
      <c r="L47" t="s">
        <v>84</v>
      </c>
      <c r="M47" t="s">
        <v>84</v>
      </c>
      <c r="N47" t="s">
        <v>84</v>
      </c>
      <c r="O47" t="s">
        <v>84</v>
      </c>
      <c r="P47" t="s">
        <v>84</v>
      </c>
      <c r="Q47" t="s">
        <v>84</v>
      </c>
    </row>
    <row r="48">
      <c r="A48" t="s">
        <v>43</v>
      </c>
      <c r="B48" t="s">
        <v>441</v>
      </c>
      <c r="C48" t="s">
        <v>84</v>
      </c>
      <c r="D48" t="s">
        <v>84</v>
      </c>
      <c r="E48" t="s">
        <v>84</v>
      </c>
      <c r="F48" t="s">
        <v>84</v>
      </c>
      <c r="G48" t="s">
        <v>84</v>
      </c>
      <c r="H48" t="s">
        <v>84</v>
      </c>
      <c r="I48" t="s">
        <v>226</v>
      </c>
      <c r="J48" t="s">
        <v>226</v>
      </c>
      <c r="K48" t="s">
        <v>226</v>
      </c>
      <c r="L48" t="s">
        <v>226</v>
      </c>
      <c r="M48" t="s">
        <v>84</v>
      </c>
      <c r="N48" t="s">
        <v>84</v>
      </c>
      <c r="O48" t="s">
        <v>84</v>
      </c>
      <c r="P48" t="s">
        <v>84</v>
      </c>
      <c r="Q48" t="s">
        <v>84</v>
      </c>
    </row>
    <row r="49">
      <c r="A49" t="s">
        <v>43</v>
      </c>
      <c r="B49" t="s">
        <v>595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  <c r="H49" t="s">
        <v>84</v>
      </c>
      <c r="I49" t="s">
        <v>84</v>
      </c>
      <c r="J49" t="s">
        <v>84</v>
      </c>
      <c r="K49" t="s">
        <v>84</v>
      </c>
      <c r="L49" t="s">
        <v>208</v>
      </c>
      <c r="M49" t="s">
        <v>84</v>
      </c>
      <c r="N49" t="s">
        <v>84</v>
      </c>
      <c r="O49" t="s">
        <v>84</v>
      </c>
      <c r="P49" t="s">
        <v>84</v>
      </c>
      <c r="Q49" t="s">
        <v>84</v>
      </c>
    </row>
    <row r="50">
      <c r="A50" t="s">
        <v>43</v>
      </c>
      <c r="B50" t="s">
        <v>306</v>
      </c>
      <c r="C50" t="s">
        <v>84</v>
      </c>
      <c r="D50" t="s">
        <v>84</v>
      </c>
      <c r="E50" t="s">
        <v>84</v>
      </c>
      <c r="F50" t="s">
        <v>84</v>
      </c>
      <c r="G50" t="s">
        <v>84</v>
      </c>
      <c r="H50" t="s">
        <v>84</v>
      </c>
      <c r="I50" t="s">
        <v>209</v>
      </c>
      <c r="J50" t="s">
        <v>84</v>
      </c>
      <c r="K50" t="s">
        <v>84</v>
      </c>
      <c r="L50" t="s">
        <v>209</v>
      </c>
      <c r="M50" t="s">
        <v>84</v>
      </c>
      <c r="N50" t="s">
        <v>84</v>
      </c>
      <c r="O50" t="s">
        <v>84</v>
      </c>
      <c r="P50" t="s">
        <v>84</v>
      </c>
      <c r="Q50" t="s">
        <v>84</v>
      </c>
    </row>
    <row r="51">
      <c r="A51" t="s">
        <v>43</v>
      </c>
      <c r="B51" t="s">
        <v>302</v>
      </c>
      <c r="C51" t="s">
        <v>84</v>
      </c>
      <c r="D51" t="s">
        <v>84</v>
      </c>
      <c r="E51" t="s">
        <v>84</v>
      </c>
      <c r="F51" t="s">
        <v>84</v>
      </c>
      <c r="G51" t="s">
        <v>84</v>
      </c>
      <c r="H51" t="s">
        <v>84</v>
      </c>
      <c r="I51" t="s">
        <v>226</v>
      </c>
      <c r="J51" t="s">
        <v>226</v>
      </c>
      <c r="K51" t="s">
        <v>226</v>
      </c>
      <c r="L51" t="s">
        <v>226</v>
      </c>
      <c r="M51" t="s">
        <v>84</v>
      </c>
      <c r="N51" t="s">
        <v>84</v>
      </c>
      <c r="O51" t="s">
        <v>84</v>
      </c>
      <c r="P51" t="s">
        <v>84</v>
      </c>
      <c r="Q51" t="s">
        <v>84</v>
      </c>
    </row>
    <row r="52">
      <c r="A52" t="s">
        <v>43</v>
      </c>
      <c r="B52" t="s">
        <v>353</v>
      </c>
      <c r="C52" t="s">
        <v>84</v>
      </c>
      <c r="D52" t="s">
        <v>84</v>
      </c>
      <c r="E52" t="s">
        <v>84</v>
      </c>
      <c r="F52" t="s">
        <v>84</v>
      </c>
      <c r="G52" t="s">
        <v>84</v>
      </c>
      <c r="H52" t="s">
        <v>84</v>
      </c>
      <c r="I52" t="s">
        <v>209</v>
      </c>
      <c r="J52" t="s">
        <v>209</v>
      </c>
      <c r="K52" t="s">
        <v>84</v>
      </c>
      <c r="L52" t="s">
        <v>209</v>
      </c>
      <c r="M52" t="s">
        <v>84</v>
      </c>
      <c r="N52" t="s">
        <v>84</v>
      </c>
      <c r="O52" t="s">
        <v>84</v>
      </c>
      <c r="P52" t="s">
        <v>84</v>
      </c>
      <c r="Q52" t="s">
        <v>84</v>
      </c>
    </row>
    <row r="53">
      <c r="A53" t="s">
        <v>43</v>
      </c>
      <c r="B53" t="s">
        <v>325</v>
      </c>
      <c r="C53" t="s">
        <v>84</v>
      </c>
      <c r="D53" t="s">
        <v>84</v>
      </c>
      <c r="E53" t="s">
        <v>84</v>
      </c>
      <c r="F53" t="s">
        <v>84</v>
      </c>
      <c r="G53" t="s">
        <v>84</v>
      </c>
      <c r="H53" t="s">
        <v>84</v>
      </c>
      <c r="I53" t="s">
        <v>209</v>
      </c>
      <c r="J53" t="s">
        <v>84</v>
      </c>
      <c r="K53" t="s">
        <v>209</v>
      </c>
      <c r="L53" t="s">
        <v>209</v>
      </c>
      <c r="M53" t="s">
        <v>84</v>
      </c>
      <c r="N53" t="s">
        <v>84</v>
      </c>
      <c r="O53" t="s">
        <v>84</v>
      </c>
      <c r="P53" t="s">
        <v>84</v>
      </c>
      <c r="Q53" t="s">
        <v>84</v>
      </c>
    </row>
    <row r="54">
      <c r="A54" t="s">
        <v>43</v>
      </c>
      <c r="B54" t="s">
        <v>414</v>
      </c>
      <c r="C54" t="s">
        <v>84</v>
      </c>
      <c r="D54" t="s">
        <v>84</v>
      </c>
      <c r="E54" t="s">
        <v>84</v>
      </c>
      <c r="F54" t="s">
        <v>84</v>
      </c>
      <c r="G54" t="s">
        <v>84</v>
      </c>
      <c r="H54" t="s">
        <v>84</v>
      </c>
      <c r="I54" t="s">
        <v>84</v>
      </c>
      <c r="J54" t="s">
        <v>84</v>
      </c>
      <c r="K54" t="s">
        <v>208</v>
      </c>
      <c r="L54" t="s">
        <v>84</v>
      </c>
      <c r="M54" t="s">
        <v>84</v>
      </c>
      <c r="N54" t="s">
        <v>84</v>
      </c>
      <c r="O54" t="s">
        <v>84</v>
      </c>
      <c r="P54" t="s">
        <v>84</v>
      </c>
      <c r="Q54" t="s">
        <v>84</v>
      </c>
    </row>
    <row r="55">
      <c r="A55" t="s">
        <v>43</v>
      </c>
      <c r="B55" t="s">
        <v>417</v>
      </c>
      <c r="C55" t="s">
        <v>84</v>
      </c>
      <c r="D55" t="s">
        <v>84</v>
      </c>
      <c r="E55" t="s">
        <v>84</v>
      </c>
      <c r="F55" t="s">
        <v>84</v>
      </c>
      <c r="G55" t="s">
        <v>84</v>
      </c>
      <c r="H55" t="s">
        <v>84</v>
      </c>
      <c r="I55" t="s">
        <v>84</v>
      </c>
      <c r="J55" t="s">
        <v>84</v>
      </c>
      <c r="K55" t="s">
        <v>208</v>
      </c>
      <c r="L55" t="s">
        <v>84</v>
      </c>
      <c r="M55" t="s">
        <v>84</v>
      </c>
      <c r="N55" t="s">
        <v>84</v>
      </c>
      <c r="O55" t="s">
        <v>84</v>
      </c>
      <c r="P55" t="s">
        <v>84</v>
      </c>
      <c r="Q55" t="s">
        <v>84</v>
      </c>
    </row>
    <row r="56">
      <c r="A56" t="s">
        <v>43</v>
      </c>
      <c r="B56" t="s">
        <v>410</v>
      </c>
      <c r="C56" t="s">
        <v>84</v>
      </c>
      <c r="D56" t="s">
        <v>84</v>
      </c>
      <c r="E56" t="s">
        <v>84</v>
      </c>
      <c r="F56" t="s">
        <v>84</v>
      </c>
      <c r="G56" t="s">
        <v>84</v>
      </c>
      <c r="H56" t="s">
        <v>84</v>
      </c>
      <c r="I56" t="s">
        <v>84</v>
      </c>
      <c r="J56" t="s">
        <v>84</v>
      </c>
      <c r="K56" t="s">
        <v>208</v>
      </c>
      <c r="L56" t="s">
        <v>84</v>
      </c>
      <c r="M56" t="s">
        <v>84</v>
      </c>
      <c r="N56" t="s">
        <v>84</v>
      </c>
      <c r="O56" t="s">
        <v>84</v>
      </c>
      <c r="P56" t="s">
        <v>84</v>
      </c>
      <c r="Q56" t="s">
        <v>84</v>
      </c>
    </row>
    <row r="57">
      <c r="A57" t="s">
        <v>43</v>
      </c>
      <c r="B57" t="s">
        <v>462</v>
      </c>
      <c r="C57" t="s">
        <v>84</v>
      </c>
      <c r="D57" t="s">
        <v>84</v>
      </c>
      <c r="E57" t="s">
        <v>84</v>
      </c>
      <c r="F57" t="s">
        <v>84</v>
      </c>
      <c r="G57" t="s">
        <v>84</v>
      </c>
      <c r="H57" t="s">
        <v>84</v>
      </c>
      <c r="I57" t="s">
        <v>84</v>
      </c>
      <c r="J57" t="s">
        <v>208</v>
      </c>
      <c r="K57" t="s">
        <v>84</v>
      </c>
      <c r="L57" t="s">
        <v>84</v>
      </c>
      <c r="M57" t="s">
        <v>84</v>
      </c>
      <c r="N57" t="s">
        <v>84</v>
      </c>
      <c r="O57" t="s">
        <v>84</v>
      </c>
      <c r="P57" t="s">
        <v>84</v>
      </c>
      <c r="Q57" t="s">
        <v>84</v>
      </c>
    </row>
    <row r="58">
      <c r="A58" t="s">
        <v>43</v>
      </c>
      <c r="B58" t="s">
        <v>583</v>
      </c>
      <c r="C58" t="s">
        <v>84</v>
      </c>
      <c r="D58" t="s">
        <v>84</v>
      </c>
      <c r="E58" t="s">
        <v>84</v>
      </c>
      <c r="F58" t="s">
        <v>84</v>
      </c>
      <c r="G58" t="s">
        <v>84</v>
      </c>
      <c r="H58" t="s">
        <v>84</v>
      </c>
      <c r="I58" t="s">
        <v>226</v>
      </c>
      <c r="J58" t="s">
        <v>84</v>
      </c>
      <c r="K58" t="s">
        <v>84</v>
      </c>
      <c r="L58" t="s">
        <v>208</v>
      </c>
      <c r="M58" t="s">
        <v>84</v>
      </c>
      <c r="N58" t="s">
        <v>84</v>
      </c>
      <c r="O58" t="s">
        <v>84</v>
      </c>
      <c r="P58" t="s">
        <v>84</v>
      </c>
      <c r="Q58" t="s">
        <v>84</v>
      </c>
    </row>
    <row r="59">
      <c r="A59" t="s">
        <v>43</v>
      </c>
      <c r="B59" t="s">
        <v>498</v>
      </c>
      <c r="C59" t="s">
        <v>84</v>
      </c>
      <c r="D59" t="s">
        <v>84</v>
      </c>
      <c r="E59" t="s">
        <v>84</v>
      </c>
      <c r="F59" t="s">
        <v>84</v>
      </c>
      <c r="G59" t="s">
        <v>84</v>
      </c>
      <c r="H59" t="s">
        <v>84</v>
      </c>
      <c r="I59" t="s">
        <v>209</v>
      </c>
      <c r="J59" t="s">
        <v>209</v>
      </c>
      <c r="K59" t="s">
        <v>84</v>
      </c>
      <c r="L59" t="s">
        <v>209</v>
      </c>
      <c r="M59" t="s">
        <v>84</v>
      </c>
      <c r="N59" t="s">
        <v>84</v>
      </c>
      <c r="O59" t="s">
        <v>84</v>
      </c>
      <c r="P59" t="s">
        <v>84</v>
      </c>
      <c r="Q59" t="s">
        <v>84</v>
      </c>
    </row>
    <row r="60">
      <c r="A60" t="s">
        <v>43</v>
      </c>
      <c r="B60" t="s">
        <v>492</v>
      </c>
      <c r="C60" t="s">
        <v>84</v>
      </c>
      <c r="D60" t="s">
        <v>84</v>
      </c>
      <c r="E60" t="s">
        <v>84</v>
      </c>
      <c r="F60" t="s">
        <v>84</v>
      </c>
      <c r="G60" t="s">
        <v>84</v>
      </c>
      <c r="H60" t="s">
        <v>84</v>
      </c>
      <c r="I60" t="s">
        <v>209</v>
      </c>
      <c r="J60" t="s">
        <v>209</v>
      </c>
      <c r="K60" t="s">
        <v>209</v>
      </c>
      <c r="L60" t="s">
        <v>209</v>
      </c>
      <c r="M60" t="s">
        <v>84</v>
      </c>
      <c r="N60" t="s">
        <v>84</v>
      </c>
      <c r="O60" t="s">
        <v>84</v>
      </c>
      <c r="P60" t="s">
        <v>84</v>
      </c>
      <c r="Q60" t="s">
        <v>84</v>
      </c>
    </row>
    <row r="61">
      <c r="A61" t="s">
        <v>43</v>
      </c>
      <c r="B61" t="s">
        <v>349</v>
      </c>
      <c r="C61" t="s">
        <v>84</v>
      </c>
      <c r="D61" t="s">
        <v>84</v>
      </c>
      <c r="E61" t="s">
        <v>84</v>
      </c>
      <c r="F61" t="s">
        <v>84</v>
      </c>
      <c r="G61" t="s">
        <v>84</v>
      </c>
      <c r="H61" t="s">
        <v>84</v>
      </c>
      <c r="I61" t="s">
        <v>209</v>
      </c>
      <c r="J61" t="s">
        <v>209</v>
      </c>
      <c r="K61" t="s">
        <v>84</v>
      </c>
      <c r="L61" t="s">
        <v>209</v>
      </c>
      <c r="M61" t="s">
        <v>84</v>
      </c>
      <c r="N61" t="s">
        <v>84</v>
      </c>
      <c r="O61" t="s">
        <v>84</v>
      </c>
      <c r="P61" t="s">
        <v>84</v>
      </c>
      <c r="Q61" t="s">
        <v>84</v>
      </c>
    </row>
    <row r="62">
      <c r="A62" t="s">
        <v>43</v>
      </c>
      <c r="B62" t="s">
        <v>591</v>
      </c>
      <c r="C62" t="s">
        <v>84</v>
      </c>
      <c r="D62" t="s">
        <v>84</v>
      </c>
      <c r="E62" t="s">
        <v>84</v>
      </c>
      <c r="F62" t="s">
        <v>84</v>
      </c>
      <c r="G62" t="s">
        <v>84</v>
      </c>
      <c r="H62" t="s">
        <v>84</v>
      </c>
      <c r="I62" t="s">
        <v>209</v>
      </c>
      <c r="J62" t="s">
        <v>84</v>
      </c>
      <c r="K62" t="s">
        <v>84</v>
      </c>
      <c r="L62" t="s">
        <v>209</v>
      </c>
      <c r="M62" t="s">
        <v>84</v>
      </c>
      <c r="N62" t="s">
        <v>84</v>
      </c>
      <c r="O62" t="s">
        <v>84</v>
      </c>
      <c r="P62" t="s">
        <v>84</v>
      </c>
      <c r="Q62" t="s">
        <v>84</v>
      </c>
    </row>
    <row r="63">
      <c r="A63" t="s">
        <v>43</v>
      </c>
      <c r="B63" t="s">
        <v>478</v>
      </c>
      <c r="C63" t="s">
        <v>84</v>
      </c>
      <c r="D63" t="s">
        <v>84</v>
      </c>
      <c r="E63" t="s">
        <v>84</v>
      </c>
      <c r="F63" t="s">
        <v>84</v>
      </c>
      <c r="G63" t="s">
        <v>84</v>
      </c>
      <c r="H63" t="s">
        <v>84</v>
      </c>
      <c r="I63" t="s">
        <v>84</v>
      </c>
      <c r="J63" t="s">
        <v>209</v>
      </c>
      <c r="K63" t="s">
        <v>84</v>
      </c>
      <c r="L63" t="s">
        <v>84</v>
      </c>
      <c r="M63" t="s">
        <v>84</v>
      </c>
      <c r="N63" t="s">
        <v>84</v>
      </c>
      <c r="O63" t="s">
        <v>84</v>
      </c>
      <c r="P63" t="s">
        <v>84</v>
      </c>
      <c r="Q63" t="s">
        <v>84</v>
      </c>
    </row>
    <row r="64">
      <c r="A64" t="s">
        <v>43</v>
      </c>
      <c r="B64" t="s">
        <v>314</v>
      </c>
      <c r="C64" t="s">
        <v>84</v>
      </c>
      <c r="D64" t="s">
        <v>84</v>
      </c>
      <c r="E64" t="s">
        <v>84</v>
      </c>
      <c r="F64" t="s">
        <v>84</v>
      </c>
      <c r="G64" t="s">
        <v>84</v>
      </c>
      <c r="H64" t="s">
        <v>84</v>
      </c>
      <c r="I64" t="s">
        <v>209</v>
      </c>
      <c r="J64" t="s">
        <v>84</v>
      </c>
      <c r="K64" t="s">
        <v>84</v>
      </c>
      <c r="L64" t="s">
        <v>209</v>
      </c>
      <c r="M64" t="s">
        <v>84</v>
      </c>
      <c r="N64" t="s">
        <v>84</v>
      </c>
      <c r="O64" t="s">
        <v>84</v>
      </c>
      <c r="P64" t="s">
        <v>84</v>
      </c>
      <c r="Q64" t="s">
        <v>84</v>
      </c>
    </row>
    <row r="65">
      <c r="A65" t="s">
        <v>43</v>
      </c>
      <c r="B65" t="s">
        <v>316</v>
      </c>
      <c r="C65" t="s">
        <v>84</v>
      </c>
      <c r="D65" t="s">
        <v>84</v>
      </c>
      <c r="E65" t="s">
        <v>84</v>
      </c>
      <c r="F65" t="s">
        <v>84</v>
      </c>
      <c r="G65" t="s">
        <v>84</v>
      </c>
      <c r="H65" t="s">
        <v>84</v>
      </c>
      <c r="I65" t="s">
        <v>209</v>
      </c>
      <c r="J65" t="s">
        <v>209</v>
      </c>
      <c r="K65" t="s">
        <v>84</v>
      </c>
      <c r="L65" t="s">
        <v>209</v>
      </c>
      <c r="M65" t="s">
        <v>84</v>
      </c>
      <c r="N65" t="s">
        <v>84</v>
      </c>
      <c r="O65" t="s">
        <v>84</v>
      </c>
      <c r="P65" t="s">
        <v>84</v>
      </c>
      <c r="Q65" t="s">
        <v>84</v>
      </c>
    </row>
    <row r="66">
      <c r="A66" t="s">
        <v>43</v>
      </c>
      <c r="B66" t="s">
        <v>310</v>
      </c>
      <c r="C66" t="s">
        <v>84</v>
      </c>
      <c r="D66" t="s">
        <v>84</v>
      </c>
      <c r="E66" t="s">
        <v>84</v>
      </c>
      <c r="F66" t="s">
        <v>84</v>
      </c>
      <c r="G66" t="s">
        <v>84</v>
      </c>
      <c r="H66" t="s">
        <v>84</v>
      </c>
      <c r="I66" t="s">
        <v>209</v>
      </c>
      <c r="J66" t="s">
        <v>84</v>
      </c>
      <c r="K66" t="s">
        <v>84</v>
      </c>
      <c r="L66" t="s">
        <v>209</v>
      </c>
      <c r="M66" t="s">
        <v>84</v>
      </c>
      <c r="N66" t="s">
        <v>84</v>
      </c>
      <c r="O66" t="s">
        <v>84</v>
      </c>
      <c r="P66" t="s">
        <v>84</v>
      </c>
      <c r="Q66" t="s">
        <v>84</v>
      </c>
    </row>
    <row r="67">
      <c r="A67" t="s">
        <v>43</v>
      </c>
      <c r="B67" t="s">
        <v>503</v>
      </c>
      <c r="C67" t="s">
        <v>84</v>
      </c>
      <c r="D67" t="s">
        <v>84</v>
      </c>
      <c r="E67" t="s">
        <v>84</v>
      </c>
      <c r="F67" t="s">
        <v>84</v>
      </c>
      <c r="G67" t="s">
        <v>84</v>
      </c>
      <c r="H67" t="s">
        <v>84</v>
      </c>
      <c r="I67" t="s">
        <v>209</v>
      </c>
      <c r="J67" t="s">
        <v>84</v>
      </c>
      <c r="K67" t="s">
        <v>84</v>
      </c>
      <c r="L67" t="s">
        <v>209</v>
      </c>
      <c r="M67" t="s">
        <v>84</v>
      </c>
      <c r="N67" t="s">
        <v>84</v>
      </c>
      <c r="O67" t="s">
        <v>84</v>
      </c>
      <c r="P67" t="s">
        <v>84</v>
      </c>
      <c r="Q67" t="s">
        <v>84</v>
      </c>
    </row>
    <row r="68">
      <c r="A68" t="s">
        <v>43</v>
      </c>
      <c r="B68" t="s">
        <v>358</v>
      </c>
      <c r="C68" t="s">
        <v>84</v>
      </c>
      <c r="D68" t="s">
        <v>84</v>
      </c>
      <c r="E68" t="s">
        <v>84</v>
      </c>
      <c r="F68" t="s">
        <v>84</v>
      </c>
      <c r="G68" t="s">
        <v>84</v>
      </c>
      <c r="H68" t="s">
        <v>84</v>
      </c>
      <c r="I68" t="s">
        <v>209</v>
      </c>
      <c r="J68" t="s">
        <v>209</v>
      </c>
      <c r="K68" t="s">
        <v>209</v>
      </c>
      <c r="L68" t="s">
        <v>209</v>
      </c>
      <c r="M68" t="s">
        <v>84</v>
      </c>
      <c r="N68" t="s">
        <v>84</v>
      </c>
      <c r="O68" t="s">
        <v>84</v>
      </c>
      <c r="P68" t="s">
        <v>84</v>
      </c>
      <c r="Q68" t="s">
        <v>84</v>
      </c>
    </row>
    <row r="69">
      <c r="A69" t="s">
        <v>43</v>
      </c>
      <c r="B69" t="s">
        <v>426</v>
      </c>
      <c r="C69" t="s">
        <v>84</v>
      </c>
      <c r="D69" t="s">
        <v>84</v>
      </c>
      <c r="E69" t="s">
        <v>84</v>
      </c>
      <c r="F69" t="s">
        <v>84</v>
      </c>
      <c r="G69" t="s">
        <v>84</v>
      </c>
      <c r="H69" t="s">
        <v>84</v>
      </c>
      <c r="I69" t="s">
        <v>209</v>
      </c>
      <c r="J69" t="s">
        <v>208</v>
      </c>
      <c r="K69" t="s">
        <v>208</v>
      </c>
      <c r="L69" t="s">
        <v>209</v>
      </c>
      <c r="M69" t="s">
        <v>84</v>
      </c>
      <c r="N69" t="s">
        <v>84</v>
      </c>
      <c r="O69" t="s">
        <v>84</v>
      </c>
      <c r="P69" t="s">
        <v>84</v>
      </c>
      <c r="Q69" t="s">
        <v>84</v>
      </c>
    </row>
    <row r="70">
      <c r="A70" t="s">
        <v>43</v>
      </c>
      <c r="B70" t="s">
        <v>474</v>
      </c>
      <c r="C70" t="s">
        <v>84</v>
      </c>
      <c r="D70" t="s">
        <v>84</v>
      </c>
      <c r="E70" t="s">
        <v>84</v>
      </c>
      <c r="F70" t="s">
        <v>84</v>
      </c>
      <c r="G70" t="s">
        <v>84</v>
      </c>
      <c r="H70" t="s">
        <v>84</v>
      </c>
      <c r="I70" t="s">
        <v>84</v>
      </c>
      <c r="J70" t="s">
        <v>84</v>
      </c>
      <c r="K70" t="s">
        <v>208</v>
      </c>
      <c r="L70" t="s">
        <v>84</v>
      </c>
      <c r="M70" t="s">
        <v>84</v>
      </c>
      <c r="N70" t="s">
        <v>84</v>
      </c>
      <c r="O70" t="s">
        <v>84</v>
      </c>
      <c r="P70" t="s">
        <v>84</v>
      </c>
      <c r="Q70" t="s">
        <v>84</v>
      </c>
    </row>
    <row r="71">
      <c r="A71" t="s">
        <v>43</v>
      </c>
      <c r="B71" t="s">
        <v>401</v>
      </c>
      <c r="C71" t="s">
        <v>84</v>
      </c>
      <c r="D71" t="s">
        <v>84</v>
      </c>
      <c r="E71" t="s">
        <v>84</v>
      </c>
      <c r="F71" t="s">
        <v>84</v>
      </c>
      <c r="G71" t="s">
        <v>84</v>
      </c>
      <c r="H71" t="s">
        <v>84</v>
      </c>
      <c r="I71" t="s">
        <v>208</v>
      </c>
      <c r="J71" t="s">
        <v>208</v>
      </c>
      <c r="K71" t="s">
        <v>208</v>
      </c>
      <c r="L71" t="s">
        <v>208</v>
      </c>
      <c r="M71" t="s">
        <v>84</v>
      </c>
      <c r="N71" t="s">
        <v>84</v>
      </c>
      <c r="O71" t="s">
        <v>84</v>
      </c>
      <c r="P71" t="s">
        <v>84</v>
      </c>
      <c r="Q71" t="s">
        <v>84</v>
      </c>
    </row>
    <row r="72">
      <c r="A72" t="s">
        <v>43</v>
      </c>
      <c r="B72" t="s">
        <v>320</v>
      </c>
      <c r="C72" t="s">
        <v>84</v>
      </c>
      <c r="D72" t="s">
        <v>84</v>
      </c>
      <c r="E72" t="s">
        <v>84</v>
      </c>
      <c r="F72" t="s">
        <v>84</v>
      </c>
      <c r="G72" t="s">
        <v>84</v>
      </c>
      <c r="H72" t="s">
        <v>84</v>
      </c>
      <c r="I72" t="s">
        <v>209</v>
      </c>
      <c r="J72" t="s">
        <v>209</v>
      </c>
      <c r="K72" t="s">
        <v>84</v>
      </c>
      <c r="L72" t="s">
        <v>209</v>
      </c>
      <c r="M72" t="s">
        <v>84</v>
      </c>
      <c r="N72" t="s">
        <v>84</v>
      </c>
      <c r="O72" t="s">
        <v>84</v>
      </c>
      <c r="P72" t="s">
        <v>84</v>
      </c>
      <c r="Q72" t="s">
        <v>84</v>
      </c>
    </row>
    <row r="73">
      <c r="A73" t="s">
        <v>43</v>
      </c>
      <c r="B73" t="s">
        <v>429</v>
      </c>
      <c r="C73" t="s">
        <v>84</v>
      </c>
      <c r="D73" t="s">
        <v>84</v>
      </c>
      <c r="E73" t="s">
        <v>84</v>
      </c>
      <c r="F73" t="s">
        <v>84</v>
      </c>
      <c r="G73" t="s">
        <v>84</v>
      </c>
      <c r="H73" t="s">
        <v>84</v>
      </c>
      <c r="I73" t="s">
        <v>84</v>
      </c>
      <c r="J73" t="s">
        <v>209</v>
      </c>
      <c r="K73" t="s">
        <v>84</v>
      </c>
      <c r="L73" t="s">
        <v>84</v>
      </c>
      <c r="M73" t="s">
        <v>84</v>
      </c>
      <c r="N73" t="s">
        <v>84</v>
      </c>
      <c r="O73" t="s">
        <v>84</v>
      </c>
      <c r="P73" t="s">
        <v>84</v>
      </c>
      <c r="Q73" t="s">
        <v>84</v>
      </c>
    </row>
    <row r="74">
      <c r="A74" t="s">
        <v>43</v>
      </c>
      <c r="B74" t="s">
        <v>580</v>
      </c>
      <c r="C74" t="s">
        <v>84</v>
      </c>
      <c r="D74" t="s">
        <v>84</v>
      </c>
      <c r="E74" t="s">
        <v>84</v>
      </c>
      <c r="F74" t="s">
        <v>84</v>
      </c>
      <c r="G74" t="s">
        <v>84</v>
      </c>
      <c r="H74" t="s">
        <v>84</v>
      </c>
      <c r="I74" t="s">
        <v>84</v>
      </c>
      <c r="J74" t="s">
        <v>84</v>
      </c>
      <c r="K74" t="s">
        <v>84</v>
      </c>
      <c r="L74" t="s">
        <v>208</v>
      </c>
      <c r="M74" t="s">
        <v>84</v>
      </c>
      <c r="N74" t="s">
        <v>84</v>
      </c>
      <c r="O74" t="s">
        <v>84</v>
      </c>
      <c r="P74" t="s">
        <v>84</v>
      </c>
      <c r="Q74" t="s">
        <v>84</v>
      </c>
    </row>
    <row r="75">
      <c r="A75" t="s">
        <v>43</v>
      </c>
      <c r="B75" t="s">
        <v>486</v>
      </c>
      <c r="C75" t="s">
        <v>84</v>
      </c>
      <c r="D75" t="s">
        <v>84</v>
      </c>
      <c r="E75" t="s">
        <v>84</v>
      </c>
      <c r="F75" t="s">
        <v>84</v>
      </c>
      <c r="G75" t="s">
        <v>84</v>
      </c>
      <c r="H75" t="s">
        <v>84</v>
      </c>
      <c r="I75" t="s">
        <v>84</v>
      </c>
      <c r="J75" t="s">
        <v>209</v>
      </c>
      <c r="K75" t="s">
        <v>209</v>
      </c>
      <c r="L75" t="s">
        <v>209</v>
      </c>
      <c r="M75" t="s">
        <v>84</v>
      </c>
      <c r="N75" t="s">
        <v>84</v>
      </c>
      <c r="O75" t="s">
        <v>84</v>
      </c>
      <c r="P75" t="s">
        <v>84</v>
      </c>
      <c r="Q75" t="s">
        <v>84</v>
      </c>
    </row>
    <row r="76">
      <c r="A76" t="s">
        <v>43</v>
      </c>
      <c r="B76" t="s">
        <v>508</v>
      </c>
      <c r="C76" t="s">
        <v>84</v>
      </c>
      <c r="D76" t="s">
        <v>84</v>
      </c>
      <c r="E76" t="s">
        <v>84</v>
      </c>
      <c r="F76" t="s">
        <v>84</v>
      </c>
      <c r="G76" t="s">
        <v>84</v>
      </c>
      <c r="H76" t="s">
        <v>84</v>
      </c>
      <c r="I76" t="s">
        <v>208</v>
      </c>
      <c r="J76" t="s">
        <v>226</v>
      </c>
      <c r="K76" t="s">
        <v>226</v>
      </c>
      <c r="L76" t="s">
        <v>208</v>
      </c>
      <c r="M76" t="s">
        <v>84</v>
      </c>
      <c r="N76" t="s">
        <v>84</v>
      </c>
      <c r="O76" t="s">
        <v>84</v>
      </c>
      <c r="P76" t="s">
        <v>84</v>
      </c>
      <c r="Q76" t="s">
        <v>84</v>
      </c>
    </row>
    <row r="77">
      <c r="A77" t="s">
        <v>43</v>
      </c>
      <c r="B77" t="s">
        <v>575</v>
      </c>
      <c r="C77" t="s">
        <v>84</v>
      </c>
      <c r="D77" t="s">
        <v>84</v>
      </c>
      <c r="E77" t="s">
        <v>84</v>
      </c>
      <c r="F77" t="s">
        <v>84</v>
      </c>
      <c r="G77" t="s">
        <v>84</v>
      </c>
      <c r="H77" t="s">
        <v>84</v>
      </c>
      <c r="I77" t="s">
        <v>209</v>
      </c>
      <c r="J77" t="s">
        <v>209</v>
      </c>
      <c r="K77" t="s">
        <v>209</v>
      </c>
      <c r="L77" t="s">
        <v>209</v>
      </c>
      <c r="M77" t="s">
        <v>84</v>
      </c>
      <c r="N77" t="s">
        <v>84</v>
      </c>
      <c r="O77" t="s">
        <v>84</v>
      </c>
      <c r="P77" t="s">
        <v>84</v>
      </c>
      <c r="Q77" t="s">
        <v>84</v>
      </c>
    </row>
    <row r="78">
      <c r="A78" t="s">
        <v>43</v>
      </c>
      <c r="B78" t="s">
        <v>406</v>
      </c>
      <c r="C78" t="s">
        <v>84</v>
      </c>
      <c r="D78" t="s">
        <v>84</v>
      </c>
      <c r="E78" t="s">
        <v>84</v>
      </c>
      <c r="F78" t="s">
        <v>84</v>
      </c>
      <c r="G78" t="s">
        <v>84</v>
      </c>
      <c r="H78" t="s">
        <v>84</v>
      </c>
      <c r="I78" t="s">
        <v>209</v>
      </c>
      <c r="J78" t="s">
        <v>84</v>
      </c>
      <c r="K78" t="s">
        <v>84</v>
      </c>
      <c r="L78" t="s">
        <v>208</v>
      </c>
      <c r="M78" t="s">
        <v>84</v>
      </c>
      <c r="N78" t="s">
        <v>84</v>
      </c>
      <c r="O78" t="s">
        <v>84</v>
      </c>
      <c r="P78" t="s">
        <v>84</v>
      </c>
      <c r="Q78" t="s">
        <v>84</v>
      </c>
    </row>
    <row r="79">
      <c r="A79" t="s">
        <v>43</v>
      </c>
      <c r="B79" t="s">
        <v>296</v>
      </c>
      <c r="C79" t="s">
        <v>84</v>
      </c>
      <c r="D79" t="s">
        <v>84</v>
      </c>
      <c r="E79" t="s">
        <v>84</v>
      </c>
      <c r="F79" t="s">
        <v>84</v>
      </c>
      <c r="G79" t="s">
        <v>84</v>
      </c>
      <c r="H79" t="s">
        <v>84</v>
      </c>
      <c r="I79" t="s">
        <v>208</v>
      </c>
      <c r="J79" t="s">
        <v>208</v>
      </c>
      <c r="K79" t="s">
        <v>208</v>
      </c>
      <c r="L79" t="s">
        <v>208</v>
      </c>
      <c r="M79" t="s">
        <v>84</v>
      </c>
      <c r="N79" t="s">
        <v>84</v>
      </c>
      <c r="O79" t="s">
        <v>84</v>
      </c>
      <c r="P79" t="s">
        <v>84</v>
      </c>
      <c r="Q79" t="s">
        <v>84</v>
      </c>
    </row>
    <row r="80">
      <c r="A80" t="s">
        <v>43</v>
      </c>
      <c r="B80" t="s">
        <v>587</v>
      </c>
      <c r="C80" t="s">
        <v>84</v>
      </c>
      <c r="D80" t="s">
        <v>84</v>
      </c>
      <c r="E80" t="s">
        <v>84</v>
      </c>
      <c r="F80" t="s">
        <v>84</v>
      </c>
      <c r="G80" t="s">
        <v>84</v>
      </c>
      <c r="H80" t="s">
        <v>84</v>
      </c>
      <c r="I80" t="s">
        <v>209</v>
      </c>
      <c r="J80" t="s">
        <v>209</v>
      </c>
      <c r="K80" t="s">
        <v>84</v>
      </c>
      <c r="L80" t="s">
        <v>209</v>
      </c>
      <c r="M80" t="s">
        <v>84</v>
      </c>
      <c r="N80" t="s">
        <v>84</v>
      </c>
      <c r="O80" t="s">
        <v>84</v>
      </c>
      <c r="P80" t="s">
        <v>84</v>
      </c>
      <c r="Q80" t="s">
        <v>84</v>
      </c>
    </row>
    <row r="81">
      <c r="A81" t="s">
        <v>43</v>
      </c>
      <c r="B81" t="s">
        <v>422</v>
      </c>
      <c r="C81" t="s">
        <v>84</v>
      </c>
      <c r="D81" t="s">
        <v>84</v>
      </c>
      <c r="E81" t="s">
        <v>84</v>
      </c>
      <c r="F81" t="s">
        <v>84</v>
      </c>
      <c r="G81" t="s">
        <v>84</v>
      </c>
      <c r="H81" t="s">
        <v>84</v>
      </c>
      <c r="I81" t="s">
        <v>84</v>
      </c>
      <c r="J81" t="s">
        <v>208</v>
      </c>
      <c r="K81" t="s">
        <v>84</v>
      </c>
      <c r="L81" t="s">
        <v>84</v>
      </c>
      <c r="M81" t="s">
        <v>84</v>
      </c>
      <c r="N81" t="s">
        <v>84</v>
      </c>
      <c r="O81" t="s">
        <v>84</v>
      </c>
      <c r="P81" t="s">
        <v>84</v>
      </c>
      <c r="Q81" t="s">
        <v>84</v>
      </c>
    </row>
    <row r="82">
      <c r="A82" t="s">
        <v>43</v>
      </c>
      <c r="B82" t="s">
        <v>364</v>
      </c>
      <c r="C82" t="s">
        <v>84</v>
      </c>
      <c r="D82" t="s">
        <v>84</v>
      </c>
      <c r="E82" t="s">
        <v>84</v>
      </c>
      <c r="F82" t="s">
        <v>84</v>
      </c>
      <c r="G82" t="s">
        <v>84</v>
      </c>
      <c r="H82" t="s">
        <v>84</v>
      </c>
      <c r="I82" t="s">
        <v>84</v>
      </c>
      <c r="J82" t="s">
        <v>209</v>
      </c>
      <c r="K82" t="s">
        <v>84</v>
      </c>
      <c r="L82" t="s">
        <v>209</v>
      </c>
      <c r="M82" t="s">
        <v>84</v>
      </c>
      <c r="N82" t="s">
        <v>84</v>
      </c>
      <c r="O82" t="s">
        <v>84</v>
      </c>
      <c r="P82" t="s">
        <v>84</v>
      </c>
      <c r="Q82" t="s">
        <v>84</v>
      </c>
    </row>
    <row r="83">
      <c r="A83" t="s">
        <v>30</v>
      </c>
      <c r="B83" t="s">
        <v>272</v>
      </c>
      <c r="C83" t="s">
        <v>84</v>
      </c>
      <c r="D83" t="s">
        <v>84</v>
      </c>
      <c r="E83" t="s">
        <v>84</v>
      </c>
      <c r="F83" t="s">
        <v>84</v>
      </c>
      <c r="G83" t="s">
        <v>84</v>
      </c>
      <c r="H83" t="s">
        <v>84</v>
      </c>
      <c r="I83" t="s">
        <v>84</v>
      </c>
      <c r="J83" t="s">
        <v>84</v>
      </c>
      <c r="K83" t="s">
        <v>84</v>
      </c>
      <c r="L83" t="s">
        <v>84</v>
      </c>
      <c r="M83" t="s">
        <v>209</v>
      </c>
      <c r="N83" t="s">
        <v>209</v>
      </c>
      <c r="O83" t="s">
        <v>209</v>
      </c>
      <c r="P83" t="s">
        <v>84</v>
      </c>
      <c r="Q83" t="s">
        <v>209</v>
      </c>
    </row>
    <row r="84">
      <c r="A84" t="s">
        <v>30</v>
      </c>
      <c r="B84" t="s">
        <v>239</v>
      </c>
      <c r="C84" t="s">
        <v>84</v>
      </c>
      <c r="D84" t="s">
        <v>84</v>
      </c>
      <c r="E84" t="s">
        <v>84</v>
      </c>
      <c r="F84" t="s">
        <v>84</v>
      </c>
      <c r="G84" t="s">
        <v>84</v>
      </c>
      <c r="H84" t="s">
        <v>84</v>
      </c>
      <c r="I84" t="s">
        <v>84</v>
      </c>
      <c r="J84" t="s">
        <v>84</v>
      </c>
      <c r="K84" t="s">
        <v>84</v>
      </c>
      <c r="L84" t="s">
        <v>84</v>
      </c>
      <c r="M84" t="s">
        <v>84</v>
      </c>
      <c r="N84" t="s">
        <v>226</v>
      </c>
      <c r="O84" t="s">
        <v>208</v>
      </c>
      <c r="P84" t="s">
        <v>209</v>
      </c>
      <c r="Q84" t="s">
        <v>208</v>
      </c>
    </row>
    <row r="85">
      <c r="A85" t="s">
        <v>30</v>
      </c>
      <c r="B85" t="s">
        <v>306</v>
      </c>
      <c r="C85" t="s">
        <v>84</v>
      </c>
      <c r="D85" t="s">
        <v>84</v>
      </c>
      <c r="E85" t="s">
        <v>84</v>
      </c>
      <c r="F85" t="s">
        <v>84</v>
      </c>
      <c r="G85" t="s">
        <v>84</v>
      </c>
      <c r="H85" t="s">
        <v>84</v>
      </c>
      <c r="I85" t="s">
        <v>84</v>
      </c>
      <c r="J85" t="s">
        <v>84</v>
      </c>
      <c r="K85" t="s">
        <v>84</v>
      </c>
      <c r="L85" t="s">
        <v>84</v>
      </c>
      <c r="M85" t="s">
        <v>84</v>
      </c>
      <c r="N85" t="s">
        <v>84</v>
      </c>
      <c r="O85" t="s">
        <v>209</v>
      </c>
      <c r="P85" t="s">
        <v>84</v>
      </c>
      <c r="Q85" t="s">
        <v>209</v>
      </c>
    </row>
    <row r="86">
      <c r="A86" t="s">
        <v>30</v>
      </c>
      <c r="B86" t="s">
        <v>302</v>
      </c>
      <c r="C86" t="s">
        <v>84</v>
      </c>
      <c r="D86" t="s">
        <v>84</v>
      </c>
      <c r="E86" t="s">
        <v>84</v>
      </c>
      <c r="F86" t="s">
        <v>84</v>
      </c>
      <c r="G86" t="s">
        <v>84</v>
      </c>
      <c r="H86" t="s">
        <v>84</v>
      </c>
      <c r="I86" t="s">
        <v>84</v>
      </c>
      <c r="J86" t="s">
        <v>84</v>
      </c>
      <c r="K86" t="s">
        <v>84</v>
      </c>
      <c r="L86" t="s">
        <v>84</v>
      </c>
      <c r="M86" t="s">
        <v>84</v>
      </c>
      <c r="N86" t="s">
        <v>208</v>
      </c>
      <c r="O86" t="s">
        <v>208</v>
      </c>
      <c r="P86" t="s">
        <v>208</v>
      </c>
      <c r="Q86" t="s">
        <v>84</v>
      </c>
    </row>
    <row r="87">
      <c r="A87" t="s">
        <v>30</v>
      </c>
      <c r="B87" t="s">
        <v>267</v>
      </c>
      <c r="C87" t="s">
        <v>84</v>
      </c>
      <c r="D87" t="s">
        <v>84</v>
      </c>
      <c r="E87" t="s">
        <v>84</v>
      </c>
      <c r="F87" t="s">
        <v>84</v>
      </c>
      <c r="G87" t="s">
        <v>84</v>
      </c>
      <c r="H87" t="s">
        <v>84</v>
      </c>
      <c r="I87" t="s">
        <v>84</v>
      </c>
      <c r="J87" t="s">
        <v>84</v>
      </c>
      <c r="K87" t="s">
        <v>84</v>
      </c>
      <c r="L87" t="s">
        <v>84</v>
      </c>
      <c r="M87" t="s">
        <v>209</v>
      </c>
      <c r="N87" t="s">
        <v>208</v>
      </c>
      <c r="O87" t="s">
        <v>208</v>
      </c>
      <c r="P87" t="s">
        <v>208</v>
      </c>
      <c r="Q87" t="s">
        <v>209</v>
      </c>
    </row>
    <row r="88">
      <c r="A88" t="s">
        <v>30</v>
      </c>
      <c r="B88" t="s">
        <v>353</v>
      </c>
      <c r="C88" t="s">
        <v>84</v>
      </c>
      <c r="D88" t="s">
        <v>84</v>
      </c>
      <c r="E88" t="s">
        <v>84</v>
      </c>
      <c r="F88" t="s">
        <v>84</v>
      </c>
      <c r="G88" t="s">
        <v>84</v>
      </c>
      <c r="H88" t="s">
        <v>84</v>
      </c>
      <c r="I88" t="s">
        <v>84</v>
      </c>
      <c r="J88" t="s">
        <v>84</v>
      </c>
      <c r="K88" t="s">
        <v>84</v>
      </c>
      <c r="L88" t="s">
        <v>84</v>
      </c>
      <c r="M88" t="s">
        <v>84</v>
      </c>
      <c r="N88" t="s">
        <v>84</v>
      </c>
      <c r="O88" t="s">
        <v>209</v>
      </c>
      <c r="P88" t="s">
        <v>209</v>
      </c>
      <c r="Q88" t="s">
        <v>209</v>
      </c>
    </row>
    <row r="89">
      <c r="A89" t="s">
        <v>30</v>
      </c>
      <c r="B89" t="s">
        <v>325</v>
      </c>
      <c r="C89" t="s">
        <v>84</v>
      </c>
      <c r="D89" t="s">
        <v>84</v>
      </c>
      <c r="E89" t="s">
        <v>84</v>
      </c>
      <c r="F89" t="s">
        <v>84</v>
      </c>
      <c r="G89" t="s">
        <v>84</v>
      </c>
      <c r="H89" t="s">
        <v>84</v>
      </c>
      <c r="I89" t="s">
        <v>84</v>
      </c>
      <c r="J89" t="s">
        <v>84</v>
      </c>
      <c r="K89" t="s">
        <v>84</v>
      </c>
      <c r="L89" t="s">
        <v>84</v>
      </c>
      <c r="M89" t="s">
        <v>84</v>
      </c>
      <c r="N89" t="s">
        <v>84</v>
      </c>
      <c r="O89" t="s">
        <v>209</v>
      </c>
      <c r="P89" t="s">
        <v>84</v>
      </c>
      <c r="Q89" t="s">
        <v>209</v>
      </c>
    </row>
    <row r="90">
      <c r="A90" t="s">
        <v>30</v>
      </c>
      <c r="B90" t="s">
        <v>201</v>
      </c>
      <c r="C90" t="s">
        <v>84</v>
      </c>
      <c r="D90" t="s">
        <v>84</v>
      </c>
      <c r="E90" t="s">
        <v>84</v>
      </c>
      <c r="F90" t="s">
        <v>84</v>
      </c>
      <c r="G90" t="s">
        <v>84</v>
      </c>
      <c r="H90" t="s">
        <v>84</v>
      </c>
      <c r="I90" t="s">
        <v>84</v>
      </c>
      <c r="J90" t="s">
        <v>84</v>
      </c>
      <c r="K90" t="s">
        <v>84</v>
      </c>
      <c r="L90" t="s">
        <v>84</v>
      </c>
      <c r="M90" t="s">
        <v>208</v>
      </c>
      <c r="N90" t="s">
        <v>84</v>
      </c>
      <c r="O90" t="s">
        <v>208</v>
      </c>
      <c r="P90" t="s">
        <v>209</v>
      </c>
      <c r="Q90" t="s">
        <v>208</v>
      </c>
    </row>
    <row r="91">
      <c r="A91" t="s">
        <v>30</v>
      </c>
      <c r="B91" t="s">
        <v>262</v>
      </c>
      <c r="C91" t="s">
        <v>84</v>
      </c>
      <c r="D91" t="s">
        <v>84</v>
      </c>
      <c r="E91" t="s">
        <v>84</v>
      </c>
      <c r="F91" t="s">
        <v>84</v>
      </c>
      <c r="G91" t="s">
        <v>84</v>
      </c>
      <c r="H91" t="s">
        <v>84</v>
      </c>
      <c r="I91" t="s">
        <v>84</v>
      </c>
      <c r="J91" t="s">
        <v>84</v>
      </c>
      <c r="K91" t="s">
        <v>84</v>
      </c>
      <c r="L91" t="s">
        <v>84</v>
      </c>
      <c r="M91" t="s">
        <v>209</v>
      </c>
      <c r="N91" t="s">
        <v>84</v>
      </c>
      <c r="O91" t="s">
        <v>209</v>
      </c>
      <c r="P91" t="s">
        <v>84</v>
      </c>
      <c r="Q91" t="s">
        <v>209</v>
      </c>
    </row>
    <row r="92">
      <c r="A92" t="s">
        <v>30</v>
      </c>
      <c r="B92" t="s">
        <v>235</v>
      </c>
      <c r="C92" t="s">
        <v>84</v>
      </c>
      <c r="D92" t="s">
        <v>84</v>
      </c>
      <c r="E92" t="s">
        <v>84</v>
      </c>
      <c r="F92" t="s">
        <v>84</v>
      </c>
      <c r="G92" t="s">
        <v>84</v>
      </c>
      <c r="H92" t="s">
        <v>84</v>
      </c>
      <c r="I92" t="s">
        <v>84</v>
      </c>
      <c r="J92" t="s">
        <v>84</v>
      </c>
      <c r="K92" t="s">
        <v>84</v>
      </c>
      <c r="L92" t="s">
        <v>84</v>
      </c>
      <c r="M92" t="s">
        <v>209</v>
      </c>
      <c r="N92" t="s">
        <v>84</v>
      </c>
      <c r="O92" t="s">
        <v>209</v>
      </c>
      <c r="P92" t="s">
        <v>209</v>
      </c>
      <c r="Q92" t="s">
        <v>208</v>
      </c>
    </row>
    <row r="93">
      <c r="A93" t="s">
        <v>30</v>
      </c>
      <c r="B93" t="s">
        <v>462</v>
      </c>
      <c r="C93" t="s">
        <v>84</v>
      </c>
      <c r="D93" t="s">
        <v>84</v>
      </c>
      <c r="E93" t="s">
        <v>84</v>
      </c>
      <c r="F93" t="s">
        <v>84</v>
      </c>
      <c r="G93" t="s">
        <v>84</v>
      </c>
      <c r="H93" t="s">
        <v>84</v>
      </c>
      <c r="I93" t="s">
        <v>84</v>
      </c>
      <c r="J93" t="s">
        <v>84</v>
      </c>
      <c r="K93" t="s">
        <v>84</v>
      </c>
      <c r="L93" t="s">
        <v>84</v>
      </c>
      <c r="M93" t="s">
        <v>84</v>
      </c>
      <c r="N93" t="s">
        <v>209</v>
      </c>
      <c r="O93" t="s">
        <v>209</v>
      </c>
      <c r="P93" t="s">
        <v>84</v>
      </c>
      <c r="Q93" t="s">
        <v>84</v>
      </c>
    </row>
    <row r="94">
      <c r="A94" t="s">
        <v>30</v>
      </c>
      <c r="B94" t="s">
        <v>258</v>
      </c>
      <c r="C94" t="s">
        <v>84</v>
      </c>
      <c r="D94" t="s">
        <v>84</v>
      </c>
      <c r="E94" t="s">
        <v>84</v>
      </c>
      <c r="F94" t="s">
        <v>84</v>
      </c>
      <c r="G94" t="s">
        <v>84</v>
      </c>
      <c r="H94" t="s">
        <v>84</v>
      </c>
      <c r="I94" t="s">
        <v>84</v>
      </c>
      <c r="J94" t="s">
        <v>84</v>
      </c>
      <c r="K94" t="s">
        <v>84</v>
      </c>
      <c r="L94" t="s">
        <v>84</v>
      </c>
      <c r="M94" t="s">
        <v>84</v>
      </c>
      <c r="N94" t="s">
        <v>84</v>
      </c>
      <c r="O94" t="s">
        <v>226</v>
      </c>
      <c r="P94" t="s">
        <v>209</v>
      </c>
      <c r="Q94" t="s">
        <v>84</v>
      </c>
    </row>
    <row r="95">
      <c r="A95" t="s">
        <v>30</v>
      </c>
      <c r="B95" t="s">
        <v>451</v>
      </c>
      <c r="C95" t="s">
        <v>84</v>
      </c>
      <c r="D95" t="s">
        <v>84</v>
      </c>
      <c r="E95" t="s">
        <v>84</v>
      </c>
      <c r="F95" t="s">
        <v>84</v>
      </c>
      <c r="G95" t="s">
        <v>84</v>
      </c>
      <c r="H95" t="s">
        <v>84</v>
      </c>
      <c r="I95" t="s">
        <v>84</v>
      </c>
      <c r="J95" t="s">
        <v>84</v>
      </c>
      <c r="K95" t="s">
        <v>84</v>
      </c>
      <c r="L95" t="s">
        <v>84</v>
      </c>
      <c r="M95" t="s">
        <v>84</v>
      </c>
      <c r="N95" t="s">
        <v>208</v>
      </c>
      <c r="O95" t="s">
        <v>84</v>
      </c>
      <c r="P95" t="s">
        <v>84</v>
      </c>
      <c r="Q95" t="s">
        <v>84</v>
      </c>
    </row>
    <row r="96">
      <c r="A96" t="s">
        <v>30</v>
      </c>
      <c r="B96" t="s">
        <v>498</v>
      </c>
      <c r="C96" t="s">
        <v>84</v>
      </c>
      <c r="D96" t="s">
        <v>84</v>
      </c>
      <c r="E96" t="s">
        <v>84</v>
      </c>
      <c r="F96" t="s">
        <v>84</v>
      </c>
      <c r="G96" t="s">
        <v>84</v>
      </c>
      <c r="H96" t="s">
        <v>84</v>
      </c>
      <c r="I96" t="s">
        <v>84</v>
      </c>
      <c r="J96" t="s">
        <v>84</v>
      </c>
      <c r="K96" t="s">
        <v>84</v>
      </c>
      <c r="L96" t="s">
        <v>84</v>
      </c>
      <c r="M96" t="s">
        <v>209</v>
      </c>
      <c r="N96" t="s">
        <v>209</v>
      </c>
      <c r="O96" t="s">
        <v>209</v>
      </c>
      <c r="P96" t="s">
        <v>209</v>
      </c>
      <c r="Q96" t="s">
        <v>209</v>
      </c>
    </row>
    <row r="97">
      <c r="A97" t="s">
        <v>30</v>
      </c>
      <c r="B97" t="s">
        <v>492</v>
      </c>
      <c r="C97" t="s">
        <v>84</v>
      </c>
      <c r="D97" t="s">
        <v>84</v>
      </c>
      <c r="E97" t="s">
        <v>84</v>
      </c>
      <c r="F97" t="s">
        <v>84</v>
      </c>
      <c r="G97" t="s">
        <v>84</v>
      </c>
      <c r="H97" t="s">
        <v>84</v>
      </c>
      <c r="I97" t="s">
        <v>84</v>
      </c>
      <c r="J97" t="s">
        <v>84</v>
      </c>
      <c r="K97" t="s">
        <v>84</v>
      </c>
      <c r="L97" t="s">
        <v>84</v>
      </c>
      <c r="M97" t="s">
        <v>209</v>
      </c>
      <c r="N97" t="s">
        <v>209</v>
      </c>
      <c r="O97" t="s">
        <v>209</v>
      </c>
      <c r="P97" t="s">
        <v>209</v>
      </c>
      <c r="Q97" t="s">
        <v>209</v>
      </c>
    </row>
    <row r="98">
      <c r="A98" t="s">
        <v>30</v>
      </c>
      <c r="B98" t="s">
        <v>361</v>
      </c>
      <c r="C98" t="s">
        <v>84</v>
      </c>
      <c r="D98" t="s">
        <v>84</v>
      </c>
      <c r="E98" t="s">
        <v>84</v>
      </c>
      <c r="F98" t="s">
        <v>84</v>
      </c>
      <c r="G98" t="s">
        <v>84</v>
      </c>
      <c r="H98" t="s">
        <v>84</v>
      </c>
      <c r="I98" t="s">
        <v>84</v>
      </c>
      <c r="J98" t="s">
        <v>84</v>
      </c>
      <c r="K98" t="s">
        <v>84</v>
      </c>
      <c r="L98" t="s">
        <v>84</v>
      </c>
      <c r="M98" t="s">
        <v>209</v>
      </c>
      <c r="N98" t="s">
        <v>84</v>
      </c>
      <c r="O98" t="s">
        <v>209</v>
      </c>
      <c r="P98" t="s">
        <v>84</v>
      </c>
      <c r="Q98" t="s">
        <v>209</v>
      </c>
    </row>
    <row r="99">
      <c r="A99" t="s">
        <v>30</v>
      </c>
      <c r="B99" t="s">
        <v>228</v>
      </c>
      <c r="C99" t="s">
        <v>84</v>
      </c>
      <c r="D99" t="s">
        <v>84</v>
      </c>
      <c r="E99" t="s">
        <v>84</v>
      </c>
      <c r="F99" t="s">
        <v>84</v>
      </c>
      <c r="G99" t="s">
        <v>84</v>
      </c>
      <c r="H99" t="s">
        <v>84</v>
      </c>
      <c r="I99" t="s">
        <v>84</v>
      </c>
      <c r="J99" t="s">
        <v>84</v>
      </c>
      <c r="K99" t="s">
        <v>84</v>
      </c>
      <c r="L99" t="s">
        <v>84</v>
      </c>
      <c r="M99" t="s">
        <v>84</v>
      </c>
      <c r="N99" t="s">
        <v>208</v>
      </c>
      <c r="O99" t="s">
        <v>208</v>
      </c>
      <c r="P99" t="s">
        <v>208</v>
      </c>
      <c r="Q99" t="s">
        <v>209</v>
      </c>
    </row>
    <row r="100">
      <c r="A100" t="s">
        <v>30</v>
      </c>
      <c r="B100" t="s">
        <v>344</v>
      </c>
      <c r="C100" t="s">
        <v>84</v>
      </c>
      <c r="D100" t="s">
        <v>84</v>
      </c>
      <c r="E100" t="s">
        <v>84</v>
      </c>
      <c r="F100" t="s">
        <v>84</v>
      </c>
      <c r="G100" t="s">
        <v>84</v>
      </c>
      <c r="H100" t="s">
        <v>84</v>
      </c>
      <c r="I100" t="s">
        <v>84</v>
      </c>
      <c r="J100" t="s">
        <v>84</v>
      </c>
      <c r="K100" t="s">
        <v>84</v>
      </c>
      <c r="L100" t="s">
        <v>84</v>
      </c>
      <c r="M100" t="s">
        <v>84</v>
      </c>
      <c r="N100" t="s">
        <v>84</v>
      </c>
      <c r="O100" t="s">
        <v>209</v>
      </c>
      <c r="P100" t="s">
        <v>84</v>
      </c>
      <c r="Q100" t="s">
        <v>209</v>
      </c>
    </row>
    <row r="101">
      <c r="A101" t="s">
        <v>30</v>
      </c>
      <c r="B101" t="s">
        <v>314</v>
      </c>
      <c r="C101" t="s">
        <v>84</v>
      </c>
      <c r="D101" t="s">
        <v>84</v>
      </c>
      <c r="E101" t="s">
        <v>84</v>
      </c>
      <c r="F101" t="s">
        <v>84</v>
      </c>
      <c r="G101" t="s">
        <v>84</v>
      </c>
      <c r="H101" t="s">
        <v>84</v>
      </c>
      <c r="I101" t="s">
        <v>84</v>
      </c>
      <c r="J101" t="s">
        <v>84</v>
      </c>
      <c r="K101" t="s">
        <v>84</v>
      </c>
      <c r="L101" t="s">
        <v>84</v>
      </c>
      <c r="M101" t="s">
        <v>84</v>
      </c>
      <c r="N101" t="s">
        <v>84</v>
      </c>
      <c r="O101" t="s">
        <v>209</v>
      </c>
      <c r="P101" t="s">
        <v>209</v>
      </c>
      <c r="Q101" t="s">
        <v>209</v>
      </c>
    </row>
    <row r="102">
      <c r="A102" t="s">
        <v>30</v>
      </c>
      <c r="B102" t="s">
        <v>283</v>
      </c>
      <c r="C102" t="s">
        <v>84</v>
      </c>
      <c r="D102" t="s">
        <v>84</v>
      </c>
      <c r="E102" t="s">
        <v>84</v>
      </c>
      <c r="F102" t="s">
        <v>84</v>
      </c>
      <c r="G102" t="s">
        <v>84</v>
      </c>
      <c r="H102" t="s">
        <v>84</v>
      </c>
      <c r="I102" t="s">
        <v>84</v>
      </c>
      <c r="J102" t="s">
        <v>84</v>
      </c>
      <c r="K102" t="s">
        <v>84</v>
      </c>
      <c r="L102" t="s">
        <v>84</v>
      </c>
      <c r="M102" t="s">
        <v>209</v>
      </c>
      <c r="N102" t="s">
        <v>84</v>
      </c>
      <c r="O102" t="s">
        <v>209</v>
      </c>
      <c r="P102" t="s">
        <v>84</v>
      </c>
      <c r="Q102" t="s">
        <v>209</v>
      </c>
    </row>
    <row r="103">
      <c r="A103" t="s">
        <v>30</v>
      </c>
      <c r="B103" t="s">
        <v>215</v>
      </c>
      <c r="C103" t="s">
        <v>84</v>
      </c>
      <c r="D103" t="s">
        <v>84</v>
      </c>
      <c r="E103" t="s">
        <v>84</v>
      </c>
      <c r="F103" t="s">
        <v>84</v>
      </c>
      <c r="G103" t="s">
        <v>84</v>
      </c>
      <c r="H103" t="s">
        <v>84</v>
      </c>
      <c r="I103" t="s">
        <v>84</v>
      </c>
      <c r="J103" t="s">
        <v>84</v>
      </c>
      <c r="K103" t="s">
        <v>84</v>
      </c>
      <c r="L103" t="s">
        <v>84</v>
      </c>
      <c r="M103" t="s">
        <v>209</v>
      </c>
      <c r="N103" t="s">
        <v>84</v>
      </c>
      <c r="O103" t="s">
        <v>209</v>
      </c>
      <c r="P103" t="s">
        <v>84</v>
      </c>
      <c r="Q103" t="s">
        <v>209</v>
      </c>
    </row>
    <row r="104">
      <c r="A104" t="s">
        <v>30</v>
      </c>
      <c r="B104" t="s">
        <v>316</v>
      </c>
      <c r="C104" t="s">
        <v>84</v>
      </c>
      <c r="D104" t="s">
        <v>84</v>
      </c>
      <c r="E104" t="s">
        <v>84</v>
      </c>
      <c r="F104" t="s">
        <v>84</v>
      </c>
      <c r="G104" t="s">
        <v>84</v>
      </c>
      <c r="H104" t="s">
        <v>84</v>
      </c>
      <c r="I104" t="s">
        <v>84</v>
      </c>
      <c r="J104" t="s">
        <v>84</v>
      </c>
      <c r="K104" t="s">
        <v>84</v>
      </c>
      <c r="L104" t="s">
        <v>84</v>
      </c>
      <c r="M104" t="s">
        <v>84</v>
      </c>
      <c r="N104" t="s">
        <v>84</v>
      </c>
      <c r="O104" t="s">
        <v>209</v>
      </c>
      <c r="P104" t="s">
        <v>84</v>
      </c>
      <c r="Q104" t="s">
        <v>209</v>
      </c>
    </row>
    <row r="105">
      <c r="A105" t="s">
        <v>30</v>
      </c>
      <c r="B105" t="s">
        <v>338</v>
      </c>
      <c r="C105" t="s">
        <v>84</v>
      </c>
      <c r="D105" t="s">
        <v>84</v>
      </c>
      <c r="E105" t="s">
        <v>84</v>
      </c>
      <c r="F105" t="s">
        <v>84</v>
      </c>
      <c r="G105" t="s">
        <v>84</v>
      </c>
      <c r="H105" t="s">
        <v>84</v>
      </c>
      <c r="I105" t="s">
        <v>84</v>
      </c>
      <c r="J105" t="s">
        <v>84</v>
      </c>
      <c r="K105" t="s">
        <v>84</v>
      </c>
      <c r="L105" t="s">
        <v>84</v>
      </c>
      <c r="M105" t="s">
        <v>84</v>
      </c>
      <c r="N105" t="s">
        <v>84</v>
      </c>
      <c r="O105" t="s">
        <v>209</v>
      </c>
      <c r="P105" t="s">
        <v>84</v>
      </c>
      <c r="Q105" t="s">
        <v>209</v>
      </c>
    </row>
    <row r="106">
      <c r="A106" t="s">
        <v>30</v>
      </c>
      <c r="B106" t="s">
        <v>276</v>
      </c>
      <c r="C106" t="s">
        <v>84</v>
      </c>
      <c r="D106" t="s">
        <v>84</v>
      </c>
      <c r="E106" t="s">
        <v>84</v>
      </c>
      <c r="F106" t="s">
        <v>84</v>
      </c>
      <c r="G106" t="s">
        <v>84</v>
      </c>
      <c r="H106" t="s">
        <v>84</v>
      </c>
      <c r="I106" t="s">
        <v>84</v>
      </c>
      <c r="J106" t="s">
        <v>84</v>
      </c>
      <c r="K106" t="s">
        <v>84</v>
      </c>
      <c r="L106" t="s">
        <v>84</v>
      </c>
      <c r="M106" t="s">
        <v>84</v>
      </c>
      <c r="N106" t="s">
        <v>209</v>
      </c>
      <c r="O106" t="s">
        <v>209</v>
      </c>
      <c r="P106" t="s">
        <v>208</v>
      </c>
      <c r="Q106" t="s">
        <v>84</v>
      </c>
    </row>
    <row r="107">
      <c r="A107" t="s">
        <v>30</v>
      </c>
      <c r="B107" t="s">
        <v>310</v>
      </c>
      <c r="C107" t="s">
        <v>84</v>
      </c>
      <c r="D107" t="s">
        <v>84</v>
      </c>
      <c r="E107" t="s">
        <v>84</v>
      </c>
      <c r="F107" t="s">
        <v>84</v>
      </c>
      <c r="G107" t="s">
        <v>84</v>
      </c>
      <c r="H107" t="s">
        <v>84</v>
      </c>
      <c r="I107" t="s">
        <v>84</v>
      </c>
      <c r="J107" t="s">
        <v>84</v>
      </c>
      <c r="K107" t="s">
        <v>84</v>
      </c>
      <c r="L107" t="s">
        <v>84</v>
      </c>
      <c r="M107" t="s">
        <v>84</v>
      </c>
      <c r="N107" t="s">
        <v>84</v>
      </c>
      <c r="O107" t="s">
        <v>209</v>
      </c>
      <c r="P107" t="s">
        <v>209</v>
      </c>
      <c r="Q107" t="s">
        <v>209</v>
      </c>
    </row>
    <row r="108">
      <c r="A108" t="s">
        <v>30</v>
      </c>
      <c r="B108" t="s">
        <v>358</v>
      </c>
      <c r="C108" t="s">
        <v>84</v>
      </c>
      <c r="D108" t="s">
        <v>84</v>
      </c>
      <c r="E108" t="s">
        <v>84</v>
      </c>
      <c r="F108" t="s">
        <v>84</v>
      </c>
      <c r="G108" t="s">
        <v>84</v>
      </c>
      <c r="H108" t="s">
        <v>84</v>
      </c>
      <c r="I108" t="s">
        <v>84</v>
      </c>
      <c r="J108" t="s">
        <v>84</v>
      </c>
      <c r="K108" t="s">
        <v>84</v>
      </c>
      <c r="L108" t="s">
        <v>84</v>
      </c>
      <c r="M108" t="s">
        <v>209</v>
      </c>
      <c r="N108" t="s">
        <v>209</v>
      </c>
      <c r="O108" t="s">
        <v>209</v>
      </c>
      <c r="P108" t="s">
        <v>209</v>
      </c>
      <c r="Q108" t="s">
        <v>209</v>
      </c>
    </row>
    <row r="109">
      <c r="A109" t="s">
        <v>30</v>
      </c>
      <c r="B109" t="s">
        <v>474</v>
      </c>
      <c r="C109" t="s">
        <v>84</v>
      </c>
      <c r="D109" t="s">
        <v>84</v>
      </c>
      <c r="E109" t="s">
        <v>84</v>
      </c>
      <c r="F109" t="s">
        <v>84</v>
      </c>
      <c r="G109" t="s">
        <v>84</v>
      </c>
      <c r="H109" t="s">
        <v>84</v>
      </c>
      <c r="I109" t="s">
        <v>84</v>
      </c>
      <c r="J109" t="s">
        <v>84</v>
      </c>
      <c r="K109" t="s">
        <v>84</v>
      </c>
      <c r="L109" t="s">
        <v>84</v>
      </c>
      <c r="M109" t="s">
        <v>84</v>
      </c>
      <c r="N109" t="s">
        <v>84</v>
      </c>
      <c r="O109" t="s">
        <v>209</v>
      </c>
      <c r="P109" t="s">
        <v>84</v>
      </c>
      <c r="Q109" t="s">
        <v>84</v>
      </c>
    </row>
    <row r="110">
      <c r="A110" t="s">
        <v>30</v>
      </c>
      <c r="B110" t="s">
        <v>401</v>
      </c>
      <c r="C110" t="s">
        <v>84</v>
      </c>
      <c r="D110" t="s">
        <v>84</v>
      </c>
      <c r="E110" t="s">
        <v>84</v>
      </c>
      <c r="F110" t="s">
        <v>84</v>
      </c>
      <c r="G110" t="s">
        <v>84</v>
      </c>
      <c r="H110" t="s">
        <v>84</v>
      </c>
      <c r="I110" t="s">
        <v>84</v>
      </c>
      <c r="J110" t="s">
        <v>84</v>
      </c>
      <c r="K110" t="s">
        <v>84</v>
      </c>
      <c r="L110" t="s">
        <v>84</v>
      </c>
      <c r="M110" t="s">
        <v>208</v>
      </c>
      <c r="N110" t="s">
        <v>208</v>
      </c>
      <c r="O110" t="s">
        <v>208</v>
      </c>
      <c r="P110" t="s">
        <v>208</v>
      </c>
      <c r="Q110" t="s">
        <v>208</v>
      </c>
    </row>
    <row r="111">
      <c r="A111" t="s">
        <v>30</v>
      </c>
      <c r="B111" t="s">
        <v>320</v>
      </c>
      <c r="C111" t="s">
        <v>84</v>
      </c>
      <c r="D111" t="s">
        <v>84</v>
      </c>
      <c r="E111" t="s">
        <v>84</v>
      </c>
      <c r="F111" t="s">
        <v>84</v>
      </c>
      <c r="G111" t="s">
        <v>84</v>
      </c>
      <c r="H111" t="s">
        <v>84</v>
      </c>
      <c r="I111" t="s">
        <v>84</v>
      </c>
      <c r="J111" t="s">
        <v>84</v>
      </c>
      <c r="K111" t="s">
        <v>84</v>
      </c>
      <c r="L111" t="s">
        <v>84</v>
      </c>
      <c r="M111" t="s">
        <v>84</v>
      </c>
      <c r="N111" t="s">
        <v>84</v>
      </c>
      <c r="O111" t="s">
        <v>209</v>
      </c>
      <c r="P111" t="s">
        <v>84</v>
      </c>
      <c r="Q111" t="s">
        <v>209</v>
      </c>
    </row>
    <row r="112">
      <c r="A112" t="s">
        <v>30</v>
      </c>
      <c r="B112" t="s">
        <v>247</v>
      </c>
      <c r="C112" t="s">
        <v>84</v>
      </c>
      <c r="D112" t="s">
        <v>84</v>
      </c>
      <c r="E112" t="s">
        <v>84</v>
      </c>
      <c r="F112" t="s">
        <v>84</v>
      </c>
      <c r="G112" t="s">
        <v>84</v>
      </c>
      <c r="H112" t="s">
        <v>84</v>
      </c>
      <c r="I112" t="s">
        <v>84</v>
      </c>
      <c r="J112" t="s">
        <v>84</v>
      </c>
      <c r="K112" t="s">
        <v>84</v>
      </c>
      <c r="L112" t="s">
        <v>84</v>
      </c>
      <c r="M112" t="s">
        <v>226</v>
      </c>
      <c r="N112" t="s">
        <v>84</v>
      </c>
      <c r="O112" t="s">
        <v>84</v>
      </c>
      <c r="P112" t="s">
        <v>84</v>
      </c>
      <c r="Q112" t="s">
        <v>84</v>
      </c>
    </row>
    <row r="113">
      <c r="A113" t="s">
        <v>30</v>
      </c>
      <c r="B113" t="s">
        <v>486</v>
      </c>
      <c r="C113" t="s">
        <v>84</v>
      </c>
      <c r="D113" t="s">
        <v>84</v>
      </c>
      <c r="E113" t="s">
        <v>84</v>
      </c>
      <c r="F113" t="s">
        <v>84</v>
      </c>
      <c r="G113" t="s">
        <v>84</v>
      </c>
      <c r="H113" t="s">
        <v>84</v>
      </c>
      <c r="I113" t="s">
        <v>84</v>
      </c>
      <c r="J113" t="s">
        <v>84</v>
      </c>
      <c r="K113" t="s">
        <v>84</v>
      </c>
      <c r="L113" t="s">
        <v>84</v>
      </c>
      <c r="M113" t="s">
        <v>84</v>
      </c>
      <c r="N113" t="s">
        <v>209</v>
      </c>
      <c r="O113" t="s">
        <v>209</v>
      </c>
      <c r="P113" t="s">
        <v>209</v>
      </c>
      <c r="Q113" t="s">
        <v>209</v>
      </c>
    </row>
    <row r="114">
      <c r="A114" t="s">
        <v>30</v>
      </c>
      <c r="B114" t="s">
        <v>287</v>
      </c>
      <c r="C114" t="s">
        <v>84</v>
      </c>
      <c r="D114" t="s">
        <v>84</v>
      </c>
      <c r="E114" t="s">
        <v>84</v>
      </c>
      <c r="F114" t="s">
        <v>84</v>
      </c>
      <c r="G114" t="s">
        <v>84</v>
      </c>
      <c r="H114" t="s">
        <v>84</v>
      </c>
      <c r="I114" t="s">
        <v>84</v>
      </c>
      <c r="J114" t="s">
        <v>84</v>
      </c>
      <c r="K114" t="s">
        <v>84</v>
      </c>
      <c r="L114" t="s">
        <v>84</v>
      </c>
      <c r="M114" t="s">
        <v>209</v>
      </c>
      <c r="N114" t="s">
        <v>84</v>
      </c>
      <c r="O114" t="s">
        <v>209</v>
      </c>
      <c r="P114" t="s">
        <v>84</v>
      </c>
      <c r="Q114" t="s">
        <v>209</v>
      </c>
    </row>
    <row r="115">
      <c r="A115" t="s">
        <v>30</v>
      </c>
      <c r="B115" t="s">
        <v>291</v>
      </c>
      <c r="C115" t="s">
        <v>84</v>
      </c>
      <c r="D115" t="s">
        <v>84</v>
      </c>
      <c r="E115" t="s">
        <v>84</v>
      </c>
      <c r="F115" t="s">
        <v>84</v>
      </c>
      <c r="G115" t="s">
        <v>84</v>
      </c>
      <c r="H115" t="s">
        <v>84</v>
      </c>
      <c r="I115" t="s">
        <v>84</v>
      </c>
      <c r="J115" t="s">
        <v>84</v>
      </c>
      <c r="K115" t="s">
        <v>84</v>
      </c>
      <c r="L115" t="s">
        <v>84</v>
      </c>
      <c r="M115" t="s">
        <v>209</v>
      </c>
      <c r="N115" t="s">
        <v>84</v>
      </c>
      <c r="O115" t="s">
        <v>209</v>
      </c>
      <c r="P115" t="s">
        <v>84</v>
      </c>
      <c r="Q115" t="s">
        <v>209</v>
      </c>
    </row>
    <row r="116">
      <c r="A116" t="s">
        <v>30</v>
      </c>
      <c r="B116" t="s">
        <v>243</v>
      </c>
      <c r="C116" t="s">
        <v>84</v>
      </c>
      <c r="D116" t="s">
        <v>84</v>
      </c>
      <c r="E116" t="s">
        <v>84</v>
      </c>
      <c r="F116" t="s">
        <v>84</v>
      </c>
      <c r="G116" t="s">
        <v>84</v>
      </c>
      <c r="H116" t="s">
        <v>84</v>
      </c>
      <c r="I116" t="s">
        <v>84</v>
      </c>
      <c r="J116" t="s">
        <v>84</v>
      </c>
      <c r="K116" t="s">
        <v>84</v>
      </c>
      <c r="L116" t="s">
        <v>84</v>
      </c>
      <c r="M116" t="s">
        <v>84</v>
      </c>
      <c r="N116" t="s">
        <v>84</v>
      </c>
      <c r="O116" t="s">
        <v>209</v>
      </c>
      <c r="P116" t="s">
        <v>84</v>
      </c>
      <c r="Q116" t="s">
        <v>84</v>
      </c>
    </row>
    <row r="117">
      <c r="A117" t="s">
        <v>30</v>
      </c>
      <c r="B117" t="s">
        <v>406</v>
      </c>
      <c r="C117" t="s">
        <v>84</v>
      </c>
      <c r="D117" t="s">
        <v>84</v>
      </c>
      <c r="E117" t="s">
        <v>84</v>
      </c>
      <c r="F117" t="s">
        <v>84</v>
      </c>
      <c r="G117" t="s">
        <v>84</v>
      </c>
      <c r="H117" t="s">
        <v>84</v>
      </c>
      <c r="I117" t="s">
        <v>84</v>
      </c>
      <c r="J117" t="s">
        <v>84</v>
      </c>
      <c r="K117" t="s">
        <v>84</v>
      </c>
      <c r="L117" t="s">
        <v>84</v>
      </c>
      <c r="M117" t="s">
        <v>208</v>
      </c>
      <c r="N117" t="s">
        <v>209</v>
      </c>
      <c r="O117" t="s">
        <v>208</v>
      </c>
      <c r="P117" t="s">
        <v>208</v>
      </c>
      <c r="Q117" t="s">
        <v>208</v>
      </c>
    </row>
    <row r="118">
      <c r="A118" t="s">
        <v>30</v>
      </c>
      <c r="B118" t="s">
        <v>223</v>
      </c>
      <c r="C118" t="s">
        <v>84</v>
      </c>
      <c r="D118" t="s">
        <v>84</v>
      </c>
      <c r="E118" t="s">
        <v>84</v>
      </c>
      <c r="F118" t="s">
        <v>84</v>
      </c>
      <c r="G118" t="s">
        <v>84</v>
      </c>
      <c r="H118" t="s">
        <v>84</v>
      </c>
      <c r="I118" t="s">
        <v>84</v>
      </c>
      <c r="J118" t="s">
        <v>84</v>
      </c>
      <c r="K118" t="s">
        <v>84</v>
      </c>
      <c r="L118" t="s">
        <v>84</v>
      </c>
      <c r="M118" t="s">
        <v>84</v>
      </c>
      <c r="N118" t="s">
        <v>226</v>
      </c>
      <c r="O118" t="s">
        <v>208</v>
      </c>
      <c r="P118" t="s">
        <v>208</v>
      </c>
      <c r="Q118" t="s">
        <v>209</v>
      </c>
    </row>
    <row r="119">
      <c r="A119" t="s">
        <v>30</v>
      </c>
      <c r="B119" t="s">
        <v>280</v>
      </c>
      <c r="C119" t="s">
        <v>84</v>
      </c>
      <c r="D119" t="s">
        <v>84</v>
      </c>
      <c r="E119" t="s">
        <v>84</v>
      </c>
      <c r="F119" t="s">
        <v>84</v>
      </c>
      <c r="G119" t="s">
        <v>84</v>
      </c>
      <c r="H119" t="s">
        <v>84</v>
      </c>
      <c r="I119" t="s">
        <v>84</v>
      </c>
      <c r="J119" t="s">
        <v>84</v>
      </c>
      <c r="K119" t="s">
        <v>84</v>
      </c>
      <c r="L119" t="s">
        <v>84</v>
      </c>
      <c r="M119" t="s">
        <v>209</v>
      </c>
      <c r="N119" t="s">
        <v>84</v>
      </c>
      <c r="O119" t="s">
        <v>209</v>
      </c>
      <c r="P119" t="s">
        <v>84</v>
      </c>
      <c r="Q119" t="s">
        <v>209</v>
      </c>
    </row>
    <row r="120">
      <c r="A120" t="s">
        <v>30</v>
      </c>
      <c r="B120" t="s">
        <v>219</v>
      </c>
      <c r="C120" t="s">
        <v>84</v>
      </c>
      <c r="D120" t="s">
        <v>84</v>
      </c>
      <c r="E120" t="s">
        <v>84</v>
      </c>
      <c r="F120" t="s">
        <v>84</v>
      </c>
      <c r="G120" t="s">
        <v>84</v>
      </c>
      <c r="H120" t="s">
        <v>84</v>
      </c>
      <c r="I120" t="s">
        <v>84</v>
      </c>
      <c r="J120" t="s">
        <v>84</v>
      </c>
      <c r="K120" t="s">
        <v>84</v>
      </c>
      <c r="L120" t="s">
        <v>84</v>
      </c>
      <c r="M120" t="s">
        <v>84</v>
      </c>
      <c r="N120" t="s">
        <v>208</v>
      </c>
      <c r="O120" t="s">
        <v>208</v>
      </c>
      <c r="P120" t="s">
        <v>208</v>
      </c>
      <c r="Q120" t="s">
        <v>84</v>
      </c>
    </row>
    <row r="121">
      <c r="A121" t="s">
        <v>30</v>
      </c>
      <c r="B121" t="s">
        <v>296</v>
      </c>
      <c r="C121" t="s">
        <v>84</v>
      </c>
      <c r="D121" t="s">
        <v>84</v>
      </c>
      <c r="E121" t="s">
        <v>84</v>
      </c>
      <c r="F121" t="s">
        <v>84</v>
      </c>
      <c r="G121" t="s">
        <v>84</v>
      </c>
      <c r="H121" t="s">
        <v>84</v>
      </c>
      <c r="I121" t="s">
        <v>84</v>
      </c>
      <c r="J121" t="s">
        <v>84</v>
      </c>
      <c r="K121" t="s">
        <v>84</v>
      </c>
      <c r="L121" t="s">
        <v>84</v>
      </c>
      <c r="M121" t="s">
        <v>208</v>
      </c>
      <c r="N121" t="s">
        <v>208</v>
      </c>
      <c r="O121" t="s">
        <v>208</v>
      </c>
      <c r="P121" t="s">
        <v>208</v>
      </c>
      <c r="Q121" t="s">
        <v>208</v>
      </c>
    </row>
    <row r="122">
      <c r="A122" t="s">
        <v>30</v>
      </c>
      <c r="B122" t="s">
        <v>457</v>
      </c>
      <c r="C122" t="s">
        <v>84</v>
      </c>
      <c r="D122" t="s">
        <v>84</v>
      </c>
      <c r="E122" t="s">
        <v>84</v>
      </c>
      <c r="F122" t="s">
        <v>84</v>
      </c>
      <c r="G122" t="s">
        <v>84</v>
      </c>
      <c r="H122" t="s">
        <v>84</v>
      </c>
      <c r="I122" t="s">
        <v>84</v>
      </c>
      <c r="J122" t="s">
        <v>84</v>
      </c>
      <c r="K122" t="s">
        <v>84</v>
      </c>
      <c r="L122" t="s">
        <v>84</v>
      </c>
      <c r="M122" t="s">
        <v>84</v>
      </c>
      <c r="N122" t="s">
        <v>209</v>
      </c>
      <c r="O122" t="s">
        <v>84</v>
      </c>
      <c r="P122" t="s">
        <v>84</v>
      </c>
      <c r="Q122" t="s">
        <v>84</v>
      </c>
    </row>
    <row r="123">
      <c r="A123" t="s">
        <v>30</v>
      </c>
      <c r="B123" t="s">
        <v>364</v>
      </c>
      <c r="C123" t="s">
        <v>84</v>
      </c>
      <c r="D123" t="s">
        <v>84</v>
      </c>
      <c r="E123" t="s">
        <v>84</v>
      </c>
      <c r="F123" t="s">
        <v>84</v>
      </c>
      <c r="G123" t="s">
        <v>84</v>
      </c>
      <c r="H123" t="s">
        <v>84</v>
      </c>
      <c r="I123" t="s">
        <v>84</v>
      </c>
      <c r="J123" t="s">
        <v>84</v>
      </c>
      <c r="K123" t="s">
        <v>84</v>
      </c>
      <c r="L123" t="s">
        <v>84</v>
      </c>
      <c r="M123" t="s">
        <v>84</v>
      </c>
      <c r="N123" t="s">
        <v>84</v>
      </c>
      <c r="O123" t="s">
        <v>209</v>
      </c>
      <c r="P123" t="s">
        <v>209</v>
      </c>
      <c r="Q123" t="s">
        <v>84</v>
      </c>
    </row>
    <row r="124">
      <c r="A124" t="s">
        <v>30</v>
      </c>
      <c r="B124" t="s">
        <v>211</v>
      </c>
      <c r="C124" t="s">
        <v>84</v>
      </c>
      <c r="D124" t="s">
        <v>84</v>
      </c>
      <c r="E124" t="s">
        <v>84</v>
      </c>
      <c r="F124" t="s">
        <v>84</v>
      </c>
      <c r="G124" t="s">
        <v>84</v>
      </c>
      <c r="H124" t="s">
        <v>84</v>
      </c>
      <c r="I124" t="s">
        <v>84</v>
      </c>
      <c r="J124" t="s">
        <v>84</v>
      </c>
      <c r="K124" t="s">
        <v>84</v>
      </c>
      <c r="L124" t="s">
        <v>84</v>
      </c>
      <c r="M124" t="s">
        <v>209</v>
      </c>
      <c r="N124" t="s">
        <v>84</v>
      </c>
      <c r="O124" t="s">
        <v>209</v>
      </c>
      <c r="P124" t="s">
        <v>84</v>
      </c>
      <c r="Q124" t="s">
        <v>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11.71" hidden="0" customWidth="1"/>
    <col min="4" max="4" width="11.71" hidden="0" customWidth="1"/>
    <col min="5" max="5" width="21.71" hidden="0" customWidth="1"/>
    <col min="6" max="6" width="25.71" hidden="0" customWidth="1"/>
    <col min="7" max="7" width="11.71" hidden="0" customWidth="1"/>
    <col min="8" max="8" width="15.71" hidden="0" customWidth="1"/>
  </cols>
  <sheetData>
    <row r="1">
      <c r="A1" s="16" t="s">
        <v>23</v>
      </c>
      <c r="B1" s="16" t="s">
        <v>24</v>
      </c>
      <c r="C1" s="16" t="s">
        <v>875</v>
      </c>
      <c r="D1" s="16" t="s">
        <v>745</v>
      </c>
      <c r="E1" s="16" t="s">
        <v>876</v>
      </c>
      <c r="F1" s="16" t="s">
        <v>877</v>
      </c>
      <c r="G1" s="16" t="s">
        <v>878</v>
      </c>
      <c r="H1" s="16" t="s">
        <v>879</v>
      </c>
    </row>
    <row r="2">
      <c r="A2" t="s">
        <v>30</v>
      </c>
      <c r="B2" t="s">
        <v>31</v>
      </c>
      <c r="C2" t="n">
        <v>2021</v>
      </c>
      <c r="D2" t="n">
        <v>187991.539726032</v>
      </c>
      <c r="E2" t="n">
        <v>1</v>
      </c>
      <c r="F2" t="n">
        <v>1</v>
      </c>
      <c r="G2" t="n">
        <v>1</v>
      </c>
      <c r="H2" t="n">
        <v>1</v>
      </c>
    </row>
    <row r="3">
      <c r="A3" t="s">
        <v>30</v>
      </c>
      <c r="B3" t="s">
        <v>31</v>
      </c>
      <c r="C3" t="n">
        <v>2022</v>
      </c>
      <c r="D3" t="n">
        <v>199698.501369894</v>
      </c>
      <c r="E3" t="n">
        <v>1</v>
      </c>
      <c r="F3" t="n">
        <v>1</v>
      </c>
      <c r="G3" t="n">
        <v>1</v>
      </c>
      <c r="H3" t="n">
        <v>1</v>
      </c>
    </row>
    <row r="4">
      <c r="A4" t="s">
        <v>30</v>
      </c>
      <c r="B4" t="s">
        <v>31</v>
      </c>
      <c r="C4" t="n">
        <v>2023</v>
      </c>
      <c r="D4" t="n">
        <v>199681.852054827</v>
      </c>
      <c r="E4" t="n">
        <v>0.999798024657168</v>
      </c>
      <c r="F4" t="n">
        <v>0.998999387144239</v>
      </c>
      <c r="G4" t="n">
        <v>1.00100161508469</v>
      </c>
      <c r="H4" t="n">
        <v>0.999201201149399</v>
      </c>
    </row>
    <row r="5">
      <c r="A5" t="s">
        <v>30</v>
      </c>
      <c r="B5" t="s">
        <v>31</v>
      </c>
      <c r="C5" t="n">
        <v>2024</v>
      </c>
      <c r="D5" t="n">
        <v>199785.630137017</v>
      </c>
      <c r="E5" t="n">
        <v>0.995777262566459</v>
      </c>
      <c r="F5" t="n">
        <v>0.967810726906933</v>
      </c>
      <c r="G5" t="n">
        <v>1.03325988460155</v>
      </c>
      <c r="H5" t="n">
        <v>0.971914868203109</v>
      </c>
    </row>
    <row r="6">
      <c r="A6" t="s">
        <v>30</v>
      </c>
      <c r="B6" t="s">
        <v>32</v>
      </c>
      <c r="C6" t="n">
        <v>2021</v>
      </c>
      <c r="D6" t="n">
        <v>187991.539726032</v>
      </c>
      <c r="E6" t="n">
        <v>1</v>
      </c>
      <c r="F6" t="n">
        <v>1</v>
      </c>
      <c r="G6" t="n">
        <v>1</v>
      </c>
      <c r="H6" t="n">
        <v>1</v>
      </c>
    </row>
    <row r="7">
      <c r="A7" t="s">
        <v>30</v>
      </c>
      <c r="B7" t="s">
        <v>32</v>
      </c>
      <c r="C7" t="n">
        <v>2022</v>
      </c>
      <c r="D7" t="n">
        <v>199698.501369894</v>
      </c>
      <c r="E7" t="n">
        <v>1</v>
      </c>
      <c r="F7" t="n">
        <v>1</v>
      </c>
      <c r="G7" t="n">
        <v>1</v>
      </c>
      <c r="H7" t="n">
        <v>1</v>
      </c>
    </row>
    <row r="8">
      <c r="A8" t="s">
        <v>30</v>
      </c>
      <c r="B8" t="s">
        <v>32</v>
      </c>
      <c r="C8" t="n">
        <v>2023</v>
      </c>
      <c r="D8" t="n">
        <v>199681.852054827</v>
      </c>
      <c r="E8" t="n">
        <v>0.999319253890091</v>
      </c>
      <c r="F8" t="n">
        <v>0.99856858647571</v>
      </c>
      <c r="G8" t="n">
        <v>1.00143346540606</v>
      </c>
      <c r="H8" t="n">
        <v>0.999248821223589</v>
      </c>
    </row>
    <row r="9">
      <c r="A9" t="s">
        <v>30</v>
      </c>
      <c r="B9" t="s">
        <v>32</v>
      </c>
      <c r="C9" t="n">
        <v>2024</v>
      </c>
      <c r="D9" t="n">
        <v>199785.630137017</v>
      </c>
      <c r="E9" t="n">
        <v>0.99237278570847</v>
      </c>
      <c r="F9" t="n">
        <v>0.938605762241161</v>
      </c>
      <c r="G9" t="n">
        <v>1.06541003713023</v>
      </c>
      <c r="H9" t="n">
        <v>0.945819732018424</v>
      </c>
    </row>
    <row r="10">
      <c r="A10" t="s">
        <v>30</v>
      </c>
      <c r="B10" t="s">
        <v>33</v>
      </c>
      <c r="C10" t="n">
        <v>2021</v>
      </c>
      <c r="D10" t="n">
        <v>187991.539726032</v>
      </c>
      <c r="E10" t="n">
        <v>0.999748651447553</v>
      </c>
      <c r="F10" t="n">
        <v>0.998184241033137</v>
      </c>
      <c r="G10" t="n">
        <v>1.0018190619449</v>
      </c>
      <c r="H10" t="n">
        <v>0.998435196274432</v>
      </c>
    </row>
    <row r="11">
      <c r="A11" t="s">
        <v>30</v>
      </c>
      <c r="B11" t="s">
        <v>33</v>
      </c>
      <c r="C11" t="n">
        <v>2022</v>
      </c>
      <c r="D11" t="n">
        <v>199698.501369894</v>
      </c>
      <c r="E11" t="n">
        <v>0.995992838776051</v>
      </c>
      <c r="F11" t="n">
        <v>0.990913876656044</v>
      </c>
      <c r="G11" t="n">
        <v>1.00916943798851</v>
      </c>
      <c r="H11" t="n">
        <v>0.994900603777183</v>
      </c>
    </row>
    <row r="12">
      <c r="A12" t="s">
        <v>30</v>
      </c>
      <c r="B12" t="s">
        <v>33</v>
      </c>
      <c r="C12" t="n">
        <v>2023</v>
      </c>
      <c r="D12" t="n">
        <v>199681.852054827</v>
      </c>
      <c r="E12" t="n">
        <v>0.953617340334936</v>
      </c>
      <c r="F12" t="n">
        <v>0.940337234916003</v>
      </c>
      <c r="G12" t="n">
        <v>1.0634482639511</v>
      </c>
      <c r="H12" t="n">
        <v>0.986073968187</v>
      </c>
    </row>
    <row r="13">
      <c r="A13" t="s">
        <v>30</v>
      </c>
      <c r="B13" t="s">
        <v>33</v>
      </c>
      <c r="C13" t="n">
        <v>2024</v>
      </c>
      <c r="D13" t="n">
        <v>199785.630137017</v>
      </c>
      <c r="E13" t="n">
        <v>0.625517364086913</v>
      </c>
      <c r="F13" t="n">
        <v>0.562273563941666</v>
      </c>
      <c r="G13" t="n">
        <v>1.77849371574536</v>
      </c>
      <c r="H13" t="n">
        <v>0.898893613868632</v>
      </c>
    </row>
    <row r="14">
      <c r="A14" t="s">
        <v>30</v>
      </c>
      <c r="B14" t="s">
        <v>34</v>
      </c>
      <c r="C14" t="n">
        <v>2021</v>
      </c>
      <c r="D14" t="n">
        <v>187991.539726032</v>
      </c>
      <c r="E14" t="n">
        <v>1</v>
      </c>
      <c r="F14" t="n">
        <v>1</v>
      </c>
      <c r="G14" t="n">
        <v>1</v>
      </c>
      <c r="H14" t="n">
        <v>1</v>
      </c>
    </row>
    <row r="15">
      <c r="A15" t="s">
        <v>30</v>
      </c>
      <c r="B15" t="s">
        <v>34</v>
      </c>
      <c r="C15" t="n">
        <v>2022</v>
      </c>
      <c r="D15" t="n">
        <v>199698.501369894</v>
      </c>
      <c r="E15" t="n">
        <v>1</v>
      </c>
      <c r="F15" t="n">
        <v>1</v>
      </c>
      <c r="G15" t="n">
        <v>1</v>
      </c>
      <c r="H15" t="n">
        <v>1</v>
      </c>
    </row>
    <row r="16">
      <c r="A16" t="s">
        <v>30</v>
      </c>
      <c r="B16" t="s">
        <v>34</v>
      </c>
      <c r="C16" t="n">
        <v>2023</v>
      </c>
      <c r="D16" t="n">
        <v>199681.852054827</v>
      </c>
      <c r="E16" t="n">
        <v>0.999820612371201</v>
      </c>
      <c r="F16" t="n">
        <v>0.999056089578731</v>
      </c>
      <c r="G16" t="n">
        <v>1.00094480222994</v>
      </c>
      <c r="H16" t="n">
        <v>0.999235340036992</v>
      </c>
    </row>
    <row r="17">
      <c r="A17" t="s">
        <v>30</v>
      </c>
      <c r="B17" t="s">
        <v>34</v>
      </c>
      <c r="C17" t="n">
        <v>2024</v>
      </c>
      <c r="D17" t="n">
        <v>199785.630137017</v>
      </c>
      <c r="E17" t="n">
        <v>0.996143537387917</v>
      </c>
      <c r="F17" t="n">
        <v>0.981399072808334</v>
      </c>
      <c r="G17" t="n">
        <v>1.01895347948357</v>
      </c>
      <c r="H17" t="n">
        <v>0.985198453810938</v>
      </c>
    </row>
    <row r="18">
      <c r="A18" t="s">
        <v>30</v>
      </c>
      <c r="B18" t="s">
        <v>35</v>
      </c>
      <c r="C18" t="n">
        <v>2021</v>
      </c>
      <c r="D18" t="n">
        <v>187991.539726032</v>
      </c>
      <c r="E18" t="n">
        <v>1</v>
      </c>
      <c r="F18" t="n">
        <v>1</v>
      </c>
      <c r="G18" t="n">
        <v>1</v>
      </c>
      <c r="H18" t="n">
        <v>1</v>
      </c>
    </row>
    <row r="19">
      <c r="A19" t="s">
        <v>30</v>
      </c>
      <c r="B19" t="s">
        <v>35</v>
      </c>
      <c r="C19" t="n">
        <v>2022</v>
      </c>
      <c r="D19" t="n">
        <v>199698.501369894</v>
      </c>
      <c r="E19" t="n">
        <v>1</v>
      </c>
      <c r="F19" t="n">
        <v>1</v>
      </c>
      <c r="G19" t="n">
        <v>1</v>
      </c>
      <c r="H19" t="n">
        <v>1</v>
      </c>
    </row>
    <row r="20">
      <c r="A20" t="s">
        <v>30</v>
      </c>
      <c r="B20" t="s">
        <v>35</v>
      </c>
      <c r="C20" t="n">
        <v>2023</v>
      </c>
      <c r="D20" t="n">
        <v>199681.852054827</v>
      </c>
      <c r="E20" t="n">
        <v>0.99968428083437</v>
      </c>
      <c r="F20" t="n">
        <v>0.99822201360621</v>
      </c>
      <c r="G20" t="n">
        <v>1.00178115326005</v>
      </c>
      <c r="H20" t="n">
        <v>0.998537270960249</v>
      </c>
    </row>
    <row r="21">
      <c r="A21" t="s">
        <v>30</v>
      </c>
      <c r="B21" t="s">
        <v>35</v>
      </c>
      <c r="C21" t="n">
        <v>2024</v>
      </c>
      <c r="D21" t="n">
        <v>199785.630137017</v>
      </c>
      <c r="E21" t="n">
        <v>0.99363052322392</v>
      </c>
      <c r="F21" t="n">
        <v>0.973965363428178</v>
      </c>
      <c r="G21" t="n">
        <v>1.02673055690624</v>
      </c>
      <c r="H21" t="n">
        <v>0.980208780491226</v>
      </c>
    </row>
    <row r="22">
      <c r="A22" t="s">
        <v>36</v>
      </c>
      <c r="B22" t="s">
        <v>37</v>
      </c>
      <c r="C22" t="n">
        <v>2021</v>
      </c>
      <c r="D22" t="n">
        <v>140782.928767127</v>
      </c>
      <c r="E22" t="n">
        <v>1</v>
      </c>
      <c r="F22" t="n">
        <v>1</v>
      </c>
      <c r="G22" t="n">
        <v>1</v>
      </c>
      <c r="H22" t="n">
        <v>1</v>
      </c>
    </row>
    <row r="23">
      <c r="A23" t="s">
        <v>36</v>
      </c>
      <c r="B23" t="s">
        <v>37</v>
      </c>
      <c r="C23" t="n">
        <v>2022</v>
      </c>
      <c r="D23" t="n">
        <v>149872.432876719</v>
      </c>
      <c r="E23" t="n">
        <v>1</v>
      </c>
      <c r="F23" t="n">
        <v>1</v>
      </c>
      <c r="G23" t="n">
        <v>1</v>
      </c>
      <c r="H23" t="n">
        <v>1</v>
      </c>
    </row>
    <row r="24">
      <c r="A24" t="s">
        <v>36</v>
      </c>
      <c r="B24" t="s">
        <v>37</v>
      </c>
      <c r="C24" t="n">
        <v>2023</v>
      </c>
      <c r="D24" t="n">
        <v>149987.295890423</v>
      </c>
      <c r="E24" t="n">
        <v>0.999535183911231</v>
      </c>
      <c r="F24" t="n">
        <v>0.998097923263448</v>
      </c>
      <c r="G24" t="n">
        <v>1.00190570152709</v>
      </c>
      <c r="H24" t="n">
        <v>0.998562070979674</v>
      </c>
    </row>
    <row r="25">
      <c r="A25" t="s">
        <v>36</v>
      </c>
      <c r="B25" t="s">
        <v>37</v>
      </c>
      <c r="C25" t="n">
        <v>2024</v>
      </c>
      <c r="D25" t="n">
        <v>149917.523287682</v>
      </c>
      <c r="E25" t="n">
        <v>0.9947508235431</v>
      </c>
      <c r="F25" t="n">
        <v>0.963891749269285</v>
      </c>
      <c r="G25" t="n">
        <v>1.03746089823685</v>
      </c>
      <c r="H25" t="n">
        <v>0.968978086226758</v>
      </c>
    </row>
    <row r="26">
      <c r="A26" t="s">
        <v>36</v>
      </c>
      <c r="B26" t="s">
        <v>38</v>
      </c>
      <c r="C26" t="n">
        <v>2021</v>
      </c>
      <c r="D26" t="n">
        <v>140782.928767127</v>
      </c>
      <c r="E26" t="n">
        <v>1</v>
      </c>
      <c r="F26" t="n">
        <v>1</v>
      </c>
      <c r="G26" t="n">
        <v>1</v>
      </c>
      <c r="H26" t="n">
        <v>1</v>
      </c>
    </row>
    <row r="27">
      <c r="A27" t="s">
        <v>36</v>
      </c>
      <c r="B27" t="s">
        <v>38</v>
      </c>
      <c r="C27" t="n">
        <v>2022</v>
      </c>
      <c r="D27" t="n">
        <v>149872.432876719</v>
      </c>
      <c r="E27" t="n">
        <v>1</v>
      </c>
      <c r="F27" t="n">
        <v>1</v>
      </c>
      <c r="G27" t="n">
        <v>1</v>
      </c>
      <c r="H27" t="n">
        <v>1</v>
      </c>
    </row>
    <row r="28">
      <c r="A28" t="s">
        <v>36</v>
      </c>
      <c r="B28" t="s">
        <v>38</v>
      </c>
      <c r="C28" t="n">
        <v>2023</v>
      </c>
      <c r="D28" t="n">
        <v>149987.295890423</v>
      </c>
      <c r="E28" t="n">
        <v>0.999851235527116</v>
      </c>
      <c r="F28" t="n">
        <v>0.999020378812952</v>
      </c>
      <c r="G28" t="n">
        <v>1.00098058178574</v>
      </c>
      <c r="H28" t="n">
        <v>0.999169019665484</v>
      </c>
    </row>
    <row r="29">
      <c r="A29" t="s">
        <v>36</v>
      </c>
      <c r="B29" t="s">
        <v>38</v>
      </c>
      <c r="C29" t="n">
        <v>2024</v>
      </c>
      <c r="D29" t="n">
        <v>149917.523287682</v>
      </c>
      <c r="E29" t="n">
        <v>0.995849379191295</v>
      </c>
      <c r="F29" t="n">
        <v>0.965051239333228</v>
      </c>
      <c r="G29" t="n">
        <v>1.03621440939335</v>
      </c>
      <c r="H29" t="n">
        <v>0.969073495950686</v>
      </c>
    </row>
    <row r="30">
      <c r="A30" t="s">
        <v>36</v>
      </c>
      <c r="B30" t="s">
        <v>39</v>
      </c>
      <c r="C30" t="n">
        <v>2021</v>
      </c>
      <c r="D30" t="n">
        <v>140782.928767127</v>
      </c>
      <c r="E30" t="n">
        <v>1</v>
      </c>
      <c r="F30" t="n">
        <v>1</v>
      </c>
      <c r="G30" t="n">
        <v>1</v>
      </c>
      <c r="H30" t="n">
        <v>1</v>
      </c>
    </row>
    <row r="31">
      <c r="A31" t="s">
        <v>36</v>
      </c>
      <c r="B31" t="s">
        <v>39</v>
      </c>
      <c r="C31" t="n">
        <v>2022</v>
      </c>
      <c r="D31" t="n">
        <v>149872.432876719</v>
      </c>
      <c r="E31" t="n">
        <v>1</v>
      </c>
      <c r="F31" t="n">
        <v>1</v>
      </c>
      <c r="G31" t="n">
        <v>1</v>
      </c>
      <c r="H31" t="n">
        <v>1</v>
      </c>
    </row>
    <row r="32">
      <c r="A32" t="s">
        <v>36</v>
      </c>
      <c r="B32" t="s">
        <v>39</v>
      </c>
      <c r="C32" t="n">
        <v>2023</v>
      </c>
      <c r="D32" t="n">
        <v>149987.295890423</v>
      </c>
      <c r="E32" t="n">
        <v>0.999603253354683</v>
      </c>
      <c r="F32" t="n">
        <v>0.998555511317921</v>
      </c>
      <c r="G32" t="n">
        <v>1.00144657824799</v>
      </c>
      <c r="H32" t="n">
        <v>0.998951842110111</v>
      </c>
    </row>
    <row r="33">
      <c r="A33" t="s">
        <v>36</v>
      </c>
      <c r="B33" t="s">
        <v>39</v>
      </c>
      <c r="C33" t="n">
        <v>2024</v>
      </c>
      <c r="D33" t="n">
        <v>149917.523287682</v>
      </c>
      <c r="E33" t="n">
        <v>0.993956545991974</v>
      </c>
      <c r="F33" t="n">
        <v>0.954239051978239</v>
      </c>
      <c r="G33" t="n">
        <v>1.04795543415132</v>
      </c>
      <c r="H33" t="n">
        <v>0.960041015702456</v>
      </c>
    </row>
    <row r="34">
      <c r="A34" t="s">
        <v>36</v>
      </c>
      <c r="B34" t="s">
        <v>40</v>
      </c>
      <c r="C34" t="n">
        <v>2021</v>
      </c>
      <c r="D34" t="n">
        <v>140782.928767127</v>
      </c>
      <c r="E34" t="n">
        <v>1</v>
      </c>
      <c r="F34" t="n">
        <v>1</v>
      </c>
      <c r="G34" t="n">
        <v>1</v>
      </c>
      <c r="H34" t="n">
        <v>1</v>
      </c>
    </row>
    <row r="35">
      <c r="A35" t="s">
        <v>36</v>
      </c>
      <c r="B35" t="s">
        <v>40</v>
      </c>
      <c r="C35" t="n">
        <v>2022</v>
      </c>
      <c r="D35" t="n">
        <v>149872.432876719</v>
      </c>
      <c r="E35" t="n">
        <v>0.999994474049211</v>
      </c>
      <c r="F35" t="n">
        <v>0.999813492176201</v>
      </c>
      <c r="G35" t="n">
        <v>1.00018654261546</v>
      </c>
      <c r="H35" t="n">
        <v>0.999819017126888</v>
      </c>
    </row>
    <row r="36">
      <c r="A36" t="s">
        <v>36</v>
      </c>
      <c r="B36" t="s">
        <v>40</v>
      </c>
      <c r="C36" t="n">
        <v>2023</v>
      </c>
      <c r="D36" t="n">
        <v>149987.295890423</v>
      </c>
      <c r="E36" t="n">
        <v>0.985466090599609</v>
      </c>
      <c r="F36" t="n">
        <v>0.984207540514765</v>
      </c>
      <c r="G36" t="n">
        <v>1.0160458631286</v>
      </c>
      <c r="H36" t="n">
        <v>0.998722888492208</v>
      </c>
    </row>
    <row r="37">
      <c r="A37" t="s">
        <v>36</v>
      </c>
      <c r="B37" t="s">
        <v>40</v>
      </c>
      <c r="C37" t="n">
        <v>2024</v>
      </c>
      <c r="D37" t="n">
        <v>149917.523287682</v>
      </c>
      <c r="E37" t="n">
        <v>0.751467703428901</v>
      </c>
      <c r="F37" t="n">
        <v>0.669752392613555</v>
      </c>
      <c r="G37" t="n">
        <v>1.4930891043147</v>
      </c>
      <c r="H37" t="n">
        <v>0.891259051530113</v>
      </c>
    </row>
    <row r="38">
      <c r="A38" t="s">
        <v>36</v>
      </c>
      <c r="B38" t="s">
        <v>41</v>
      </c>
      <c r="C38" t="n">
        <v>2021</v>
      </c>
      <c r="D38" t="n">
        <v>140782.928767127</v>
      </c>
      <c r="E38" t="n">
        <v>1</v>
      </c>
      <c r="F38" t="n">
        <v>1</v>
      </c>
      <c r="G38" t="n">
        <v>1</v>
      </c>
      <c r="H38" t="n">
        <v>1</v>
      </c>
    </row>
    <row r="39">
      <c r="A39" t="s">
        <v>36</v>
      </c>
      <c r="B39" t="s">
        <v>41</v>
      </c>
      <c r="C39" t="n">
        <v>2022</v>
      </c>
      <c r="D39" t="n">
        <v>149872.432876719</v>
      </c>
      <c r="E39" t="n">
        <v>1</v>
      </c>
      <c r="F39" t="n">
        <v>1</v>
      </c>
      <c r="G39" t="n">
        <v>1</v>
      </c>
      <c r="H39" t="n">
        <v>1</v>
      </c>
    </row>
    <row r="40">
      <c r="A40" t="s">
        <v>36</v>
      </c>
      <c r="B40" t="s">
        <v>41</v>
      </c>
      <c r="C40" t="n">
        <v>2023</v>
      </c>
      <c r="D40" t="n">
        <v>149987.295890423</v>
      </c>
      <c r="E40" t="n">
        <v>0.999846585083156</v>
      </c>
      <c r="F40" t="n">
        <v>0.998881390218545</v>
      </c>
      <c r="G40" t="n">
        <v>1.00111986247057</v>
      </c>
      <c r="H40" t="n">
        <v>0.999034657037378</v>
      </c>
    </row>
    <row r="41">
      <c r="A41" t="s">
        <v>36</v>
      </c>
      <c r="B41" t="s">
        <v>41</v>
      </c>
      <c r="C41" t="n">
        <v>2024</v>
      </c>
      <c r="D41" t="n">
        <v>149917.523287682</v>
      </c>
      <c r="E41" t="n">
        <v>0.995990633119983</v>
      </c>
      <c r="F41" t="n">
        <v>0.981406756399856</v>
      </c>
      <c r="G41" t="n">
        <v>1.01894550193271</v>
      </c>
      <c r="H41" t="n">
        <v>0.985357415787695</v>
      </c>
    </row>
    <row r="42">
      <c r="A42" t="s">
        <v>36</v>
      </c>
      <c r="B42" t="s">
        <v>42</v>
      </c>
      <c r="C42" t="n">
        <v>2021</v>
      </c>
      <c r="D42" t="n">
        <v>140782.928767127</v>
      </c>
      <c r="E42" t="n">
        <v>1</v>
      </c>
      <c r="F42" t="n">
        <v>1</v>
      </c>
      <c r="G42" t="n">
        <v>1</v>
      </c>
      <c r="H42" t="n">
        <v>1</v>
      </c>
    </row>
    <row r="43">
      <c r="A43" t="s">
        <v>36</v>
      </c>
      <c r="B43" t="s">
        <v>42</v>
      </c>
      <c r="C43" t="n">
        <v>2022</v>
      </c>
      <c r="D43" t="n">
        <v>149872.432876719</v>
      </c>
      <c r="E43" t="n">
        <v>1</v>
      </c>
      <c r="F43" t="n">
        <v>1</v>
      </c>
      <c r="G43" t="n">
        <v>1</v>
      </c>
      <c r="H43" t="n">
        <v>1</v>
      </c>
    </row>
    <row r="44">
      <c r="A44" t="s">
        <v>36</v>
      </c>
      <c r="B44" t="s">
        <v>42</v>
      </c>
      <c r="C44" t="n">
        <v>2023</v>
      </c>
      <c r="D44" t="n">
        <v>149987.295890423</v>
      </c>
      <c r="E44" t="n">
        <v>0.999778719450479</v>
      </c>
      <c r="F44" t="n">
        <v>0.998867183230314</v>
      </c>
      <c r="G44" t="n">
        <v>1.00113410149888</v>
      </c>
      <c r="H44" t="n">
        <v>0.999088262029956</v>
      </c>
    </row>
    <row r="45">
      <c r="A45" t="s">
        <v>36</v>
      </c>
      <c r="B45" t="s">
        <v>42</v>
      </c>
      <c r="C45" t="n">
        <v>2024</v>
      </c>
      <c r="D45" t="n">
        <v>149917.523287682</v>
      </c>
      <c r="E45" t="n">
        <v>0.9956129392949</v>
      </c>
      <c r="F45" t="n">
        <v>0.968535981447297</v>
      </c>
      <c r="G45" t="n">
        <v>1.03248616381364</v>
      </c>
      <c r="H45" t="n">
        <v>0.972803730467003</v>
      </c>
    </row>
    <row r="46">
      <c r="A46" t="s">
        <v>43</v>
      </c>
      <c r="B46" t="s">
        <v>34</v>
      </c>
      <c r="C46" t="n">
        <v>2021</v>
      </c>
      <c r="D46" t="n">
        <v>140931.380821922</v>
      </c>
      <c r="E46" t="n">
        <v>1</v>
      </c>
      <c r="F46" t="n">
        <v>1</v>
      </c>
      <c r="G46" t="n">
        <v>1</v>
      </c>
      <c r="H46" t="n">
        <v>1</v>
      </c>
    </row>
    <row r="47">
      <c r="A47" t="s">
        <v>43</v>
      </c>
      <c r="B47" t="s">
        <v>34</v>
      </c>
      <c r="C47" t="n">
        <v>2022</v>
      </c>
      <c r="D47" t="n">
        <v>149986.191780834</v>
      </c>
      <c r="E47" t="n">
        <v>1</v>
      </c>
      <c r="F47" t="n">
        <v>1</v>
      </c>
      <c r="G47" t="n">
        <v>1</v>
      </c>
      <c r="H47" t="n">
        <v>1</v>
      </c>
    </row>
    <row r="48">
      <c r="A48" t="s">
        <v>43</v>
      </c>
      <c r="B48" t="s">
        <v>34</v>
      </c>
      <c r="C48" t="n">
        <v>2023</v>
      </c>
      <c r="D48" t="n">
        <v>149974.947945218</v>
      </c>
      <c r="E48" t="n">
        <v>0.999868202982783</v>
      </c>
      <c r="F48" t="n">
        <v>0.999005910659992</v>
      </c>
      <c r="G48" t="n">
        <v>1.00099507853697</v>
      </c>
      <c r="H48" t="n">
        <v>0.999137594014673</v>
      </c>
    </row>
    <row r="49">
      <c r="A49" t="s">
        <v>43</v>
      </c>
      <c r="B49" t="s">
        <v>34</v>
      </c>
      <c r="C49" t="n">
        <v>2024</v>
      </c>
      <c r="D49" t="n">
        <v>149966.764383576</v>
      </c>
      <c r="E49" t="n">
        <v>0.996554427148128</v>
      </c>
      <c r="F49" t="n">
        <v>0.981900867867868</v>
      </c>
      <c r="G49" t="n">
        <v>1.01843274888985</v>
      </c>
      <c r="H49" t="n">
        <v>0.985295776245564</v>
      </c>
    </row>
    <row r="50">
      <c r="A50" t="s">
        <v>43</v>
      </c>
      <c r="B50" t="s">
        <v>39</v>
      </c>
      <c r="C50" t="n">
        <v>2021</v>
      </c>
      <c r="D50" t="n">
        <v>140931.380821922</v>
      </c>
      <c r="E50" t="n">
        <v>1</v>
      </c>
      <c r="F50" t="n">
        <v>1</v>
      </c>
      <c r="G50" t="n">
        <v>1</v>
      </c>
      <c r="H50" t="n">
        <v>1</v>
      </c>
    </row>
    <row r="51">
      <c r="A51" t="s">
        <v>43</v>
      </c>
      <c r="B51" t="s">
        <v>39</v>
      </c>
      <c r="C51" t="n">
        <v>2022</v>
      </c>
      <c r="D51" t="n">
        <v>149986.191780834</v>
      </c>
      <c r="E51" t="n">
        <v>1</v>
      </c>
      <c r="F51" t="n">
        <v>1</v>
      </c>
      <c r="G51" t="n">
        <v>1</v>
      </c>
      <c r="H51" t="n">
        <v>1</v>
      </c>
    </row>
    <row r="52">
      <c r="A52" t="s">
        <v>43</v>
      </c>
      <c r="B52" t="s">
        <v>39</v>
      </c>
      <c r="C52" t="n">
        <v>2023</v>
      </c>
      <c r="D52" t="n">
        <v>149974.947945218</v>
      </c>
      <c r="E52" t="n">
        <v>0.999332668985426</v>
      </c>
      <c r="F52" t="n">
        <v>0.998487937523477</v>
      </c>
      <c r="G52" t="n">
        <v>1.00151435227177</v>
      </c>
      <c r="H52" t="n">
        <v>0.999154704446112</v>
      </c>
    </row>
    <row r="53">
      <c r="A53" t="s">
        <v>43</v>
      </c>
      <c r="B53" t="s">
        <v>39</v>
      </c>
      <c r="C53" t="n">
        <v>2024</v>
      </c>
      <c r="D53" t="n">
        <v>149966.764383576</v>
      </c>
      <c r="E53" t="n">
        <v>0.992403027145662</v>
      </c>
      <c r="F53" t="n">
        <v>0.949840660140175</v>
      </c>
      <c r="G53" t="n">
        <v>1.05280816242634</v>
      </c>
      <c r="H53" t="n">
        <v>0.957111812599056</v>
      </c>
    </row>
    <row r="54">
      <c r="A54" t="s">
        <v>43</v>
      </c>
      <c r="B54" t="s">
        <v>42</v>
      </c>
      <c r="C54" t="n">
        <v>2021</v>
      </c>
      <c r="D54" t="n">
        <v>140931.380821922</v>
      </c>
      <c r="E54" t="n">
        <v>1</v>
      </c>
      <c r="F54" t="n">
        <v>1</v>
      </c>
      <c r="G54" t="n">
        <v>1</v>
      </c>
      <c r="H54" t="n">
        <v>1</v>
      </c>
    </row>
    <row r="55">
      <c r="A55" t="s">
        <v>43</v>
      </c>
      <c r="B55" t="s">
        <v>42</v>
      </c>
      <c r="C55" t="n">
        <v>2022</v>
      </c>
      <c r="D55" t="n">
        <v>149986.191780834</v>
      </c>
      <c r="E55" t="n">
        <v>1</v>
      </c>
      <c r="F55" t="n">
        <v>1</v>
      </c>
      <c r="G55" t="n">
        <v>1</v>
      </c>
      <c r="H55" t="n">
        <v>1</v>
      </c>
    </row>
    <row r="56">
      <c r="A56" t="s">
        <v>43</v>
      </c>
      <c r="B56" t="s">
        <v>42</v>
      </c>
      <c r="C56" t="n">
        <v>2023</v>
      </c>
      <c r="D56" t="n">
        <v>149974.947945218</v>
      </c>
      <c r="E56" t="n">
        <v>0.999816906158697</v>
      </c>
      <c r="F56" t="n">
        <v>0.998543276260512</v>
      </c>
      <c r="G56" t="n">
        <v>1.00145884887928</v>
      </c>
      <c r="H56" t="n">
        <v>0.998726136865321</v>
      </c>
    </row>
    <row r="57">
      <c r="A57" t="s">
        <v>43</v>
      </c>
      <c r="B57" t="s">
        <v>42</v>
      </c>
      <c r="C57" t="n">
        <v>2024</v>
      </c>
      <c r="D57" t="n">
        <v>149966.764383576</v>
      </c>
      <c r="E57" t="n">
        <v>0.995154142974546</v>
      </c>
      <c r="F57" t="n">
        <v>0.96586697180878</v>
      </c>
      <c r="G57" t="n">
        <v>1.03533926429568</v>
      </c>
      <c r="H57" t="n">
        <v>0.970570216310183</v>
      </c>
    </row>
    <row r="58">
      <c r="A58" t="s">
        <v>43</v>
      </c>
      <c r="B58" t="s">
        <v>38</v>
      </c>
      <c r="C58" t="n">
        <v>2021</v>
      </c>
      <c r="D58" t="n">
        <v>140931.380821922</v>
      </c>
      <c r="E58" t="n">
        <v>1</v>
      </c>
      <c r="F58" t="n">
        <v>1</v>
      </c>
      <c r="G58" t="n">
        <v>1</v>
      </c>
      <c r="H58" t="n">
        <v>1</v>
      </c>
    </row>
    <row r="59">
      <c r="A59" t="s">
        <v>43</v>
      </c>
      <c r="B59" t="s">
        <v>38</v>
      </c>
      <c r="C59" t="n">
        <v>2022</v>
      </c>
      <c r="D59" t="n">
        <v>149986.191780834</v>
      </c>
      <c r="E59" t="n">
        <v>1</v>
      </c>
      <c r="F59" t="n">
        <v>1</v>
      </c>
      <c r="G59" t="n">
        <v>1</v>
      </c>
      <c r="H59" t="n">
        <v>1</v>
      </c>
    </row>
    <row r="60">
      <c r="A60" t="s">
        <v>43</v>
      </c>
      <c r="B60" t="s">
        <v>38</v>
      </c>
      <c r="C60" t="n">
        <v>2023</v>
      </c>
      <c r="D60" t="n">
        <v>149974.947945218</v>
      </c>
      <c r="E60" t="n">
        <v>0.999560104420892</v>
      </c>
      <c r="F60" t="n">
        <v>0.997359974337267</v>
      </c>
      <c r="G60" t="n">
        <v>1.00264701384722</v>
      </c>
      <c r="H60" t="n">
        <v>0.997798901662947</v>
      </c>
    </row>
    <row r="61">
      <c r="A61" t="s">
        <v>43</v>
      </c>
      <c r="B61" t="s">
        <v>38</v>
      </c>
      <c r="C61" t="n">
        <v>2024</v>
      </c>
      <c r="D61" t="n">
        <v>149966.764383576</v>
      </c>
      <c r="E61" t="n">
        <v>0.98932185588503</v>
      </c>
      <c r="F61" t="n">
        <v>0.963823781354314</v>
      </c>
      <c r="G61" t="n">
        <v>1.03753405896963</v>
      </c>
      <c r="H61" t="n">
        <v>0.974226714613612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12.71" hidden="0" customWidth="1"/>
    <col min="4" max="4" width="18.71" hidden="0" customWidth="1"/>
    <col min="5" max="5" width="8.71" hidden="0" customWidth="1"/>
    <col min="6" max="6" width="11.71" hidden="0" customWidth="1"/>
    <col min="7" max="7" width="11.71" hidden="0" customWidth="1"/>
    <col min="8" max="8" width="5.71" hidden="0" customWidth="1"/>
    <col min="9" max="9" width="18.71" hidden="0" customWidth="1"/>
  </cols>
  <sheetData>
    <row r="1">
      <c r="A1" s="16" t="s">
        <v>23</v>
      </c>
      <c r="B1" s="16" t="s">
        <v>24</v>
      </c>
      <c r="C1" s="16" t="s">
        <v>880</v>
      </c>
      <c r="D1" s="16" t="s">
        <v>881</v>
      </c>
      <c r="E1" s="16" t="s">
        <v>882</v>
      </c>
      <c r="F1" s="16" t="s">
        <v>883</v>
      </c>
      <c r="G1" s="16" t="s">
        <v>884</v>
      </c>
      <c r="H1" s="16" t="s">
        <v>885</v>
      </c>
      <c r="I1" s="16" t="s">
        <v>886</v>
      </c>
    </row>
    <row r="2">
      <c r="A2" t="s">
        <v>30</v>
      </c>
      <c r="B2" t="s">
        <v>31</v>
      </c>
      <c r="C2" s="17" t="n">
        <v>44197</v>
      </c>
      <c r="D2" t="n">
        <v>15</v>
      </c>
      <c r="E2" t="n">
        <v>2778</v>
      </c>
      <c r="F2" t="n">
        <v>1</v>
      </c>
      <c r="G2" t="n">
        <v>1</v>
      </c>
      <c r="H2" t="n">
        <v>0</v>
      </c>
      <c r="I2" t="n">
        <v>1.13120143454872</v>
      </c>
    </row>
    <row r="3">
      <c r="A3" t="s">
        <v>30</v>
      </c>
      <c r="B3" t="s">
        <v>31</v>
      </c>
      <c r="C3" s="17" t="n">
        <v>44287</v>
      </c>
      <c r="D3" t="n">
        <v>14</v>
      </c>
      <c r="E3" t="n">
        <v>2875</v>
      </c>
      <c r="F3" t="n">
        <v>1</v>
      </c>
      <c r="G3" t="n">
        <v>1</v>
      </c>
      <c r="H3" t="n">
        <v>1</v>
      </c>
      <c r="I3" t="n">
        <v>1.00002359380898</v>
      </c>
    </row>
    <row r="4">
      <c r="A4" t="s">
        <v>30</v>
      </c>
      <c r="B4" t="s">
        <v>31</v>
      </c>
      <c r="C4" s="17" t="n">
        <v>44378</v>
      </c>
      <c r="D4" t="n">
        <v>13</v>
      </c>
      <c r="E4" t="n">
        <v>3055</v>
      </c>
      <c r="F4" t="n">
        <v>1</v>
      </c>
      <c r="G4" t="n">
        <v>1</v>
      </c>
      <c r="H4" t="n">
        <v>2</v>
      </c>
      <c r="I4" t="n">
        <v>1</v>
      </c>
    </row>
    <row r="5">
      <c r="A5" t="s">
        <v>30</v>
      </c>
      <c r="B5" t="s">
        <v>31</v>
      </c>
      <c r="C5" s="17" t="n">
        <v>44470</v>
      </c>
      <c r="D5" t="n">
        <v>12</v>
      </c>
      <c r="E5" t="n">
        <v>3272</v>
      </c>
      <c r="F5" t="n">
        <v>1</v>
      </c>
      <c r="G5" t="n">
        <v>1</v>
      </c>
      <c r="H5" t="n">
        <v>3</v>
      </c>
      <c r="I5" t="n">
        <v>1.00027314195187</v>
      </c>
    </row>
    <row r="6">
      <c r="A6" t="s">
        <v>30</v>
      </c>
      <c r="B6" t="s">
        <v>31</v>
      </c>
      <c r="C6" s="17" t="n">
        <v>44562</v>
      </c>
      <c r="D6" t="n">
        <v>11</v>
      </c>
      <c r="E6" t="n">
        <v>3139</v>
      </c>
      <c r="F6" t="n">
        <v>1</v>
      </c>
      <c r="G6" t="n">
        <v>1</v>
      </c>
      <c r="H6" t="n">
        <v>4</v>
      </c>
      <c r="I6" t="n">
        <v>1.00214784320745</v>
      </c>
    </row>
    <row r="7">
      <c r="A7" t="s">
        <v>30</v>
      </c>
      <c r="B7" t="s">
        <v>31</v>
      </c>
      <c r="C7" s="17" t="n">
        <v>44652</v>
      </c>
      <c r="D7" t="n">
        <v>10</v>
      </c>
      <c r="E7" t="n">
        <v>3210</v>
      </c>
      <c r="F7" t="n">
        <v>1</v>
      </c>
      <c r="G7" t="n">
        <v>1</v>
      </c>
      <c r="H7" t="n">
        <v>5</v>
      </c>
      <c r="I7" t="n">
        <v>1.00091533180778</v>
      </c>
    </row>
    <row r="8">
      <c r="A8" t="s">
        <v>30</v>
      </c>
      <c r="B8" t="s">
        <v>31</v>
      </c>
      <c r="C8" s="17" t="n">
        <v>44743</v>
      </c>
      <c r="D8" t="n">
        <v>9</v>
      </c>
      <c r="E8" t="n">
        <v>3165</v>
      </c>
      <c r="F8" t="n">
        <v>1</v>
      </c>
      <c r="G8" t="n">
        <v>1</v>
      </c>
      <c r="H8" t="n">
        <v>6</v>
      </c>
      <c r="I8" t="n">
        <v>1</v>
      </c>
    </row>
    <row r="9">
      <c r="A9" t="s">
        <v>30</v>
      </c>
      <c r="B9" t="s">
        <v>31</v>
      </c>
      <c r="C9" s="17" t="n">
        <v>44835</v>
      </c>
      <c r="D9" t="n">
        <v>8</v>
      </c>
      <c r="E9" t="n">
        <v>3357</v>
      </c>
      <c r="F9" t="n">
        <v>1</v>
      </c>
      <c r="G9" t="n">
        <v>1</v>
      </c>
      <c r="H9" t="n">
        <v>7</v>
      </c>
      <c r="I9" t="n">
        <v>1</v>
      </c>
    </row>
    <row r="10">
      <c r="A10" t="s">
        <v>30</v>
      </c>
      <c r="B10" t="s">
        <v>31</v>
      </c>
      <c r="C10" s="17" t="n">
        <v>44927</v>
      </c>
      <c r="D10" t="n">
        <v>7</v>
      </c>
      <c r="E10" t="n">
        <v>2864</v>
      </c>
      <c r="F10" t="n">
        <v>1</v>
      </c>
      <c r="G10" t="n">
        <v>1</v>
      </c>
      <c r="H10" t="n">
        <v>8</v>
      </c>
      <c r="I10" t="n">
        <v>1</v>
      </c>
    </row>
    <row r="11">
      <c r="A11" t="s">
        <v>30</v>
      </c>
      <c r="B11" t="s">
        <v>31</v>
      </c>
      <c r="C11" s="17" t="n">
        <v>45017</v>
      </c>
      <c r="D11" t="n">
        <v>6</v>
      </c>
      <c r="E11" t="n">
        <v>2903</v>
      </c>
      <c r="F11" t="n">
        <v>1</v>
      </c>
      <c r="G11" t="n">
        <v>1</v>
      </c>
      <c r="H11" t="n">
        <v>9</v>
      </c>
      <c r="I11" t="n">
        <v>1</v>
      </c>
    </row>
    <row r="12">
      <c r="A12" t="s">
        <v>30</v>
      </c>
      <c r="B12" t="s">
        <v>31</v>
      </c>
      <c r="C12" s="17" t="n">
        <v>45108</v>
      </c>
      <c r="D12" t="n">
        <v>5</v>
      </c>
      <c r="E12" t="n">
        <v>3004</v>
      </c>
      <c r="F12" t="n">
        <v>1.00091533180778</v>
      </c>
      <c r="G12" t="n">
        <v>0.999085505258345</v>
      </c>
      <c r="H12" t="n">
        <v>10</v>
      </c>
      <c r="I12" t="n">
        <v>1</v>
      </c>
    </row>
    <row r="13">
      <c r="A13" t="s">
        <v>30</v>
      </c>
      <c r="B13" t="s">
        <v>31</v>
      </c>
      <c r="C13" s="17" t="n">
        <v>45200</v>
      </c>
      <c r="D13" t="n">
        <v>4</v>
      </c>
      <c r="E13" t="n">
        <v>3099</v>
      </c>
      <c r="F13" t="n">
        <v>1.00306514100443</v>
      </c>
      <c r="G13" t="n">
        <v>0.996944225375669</v>
      </c>
      <c r="H13" t="n">
        <v>11</v>
      </c>
      <c r="I13" t="n">
        <v>1</v>
      </c>
    </row>
    <row r="14">
      <c r="A14" t="s">
        <v>30</v>
      </c>
      <c r="B14" t="s">
        <v>31</v>
      </c>
      <c r="C14" s="17" t="n">
        <v>45292</v>
      </c>
      <c r="D14" t="n">
        <v>3</v>
      </c>
      <c r="E14" t="n">
        <v>2885</v>
      </c>
      <c r="F14" t="n">
        <v>1.0033391201749</v>
      </c>
      <c r="G14" t="n">
        <v>0.996671992442277</v>
      </c>
      <c r="H14" t="n">
        <v>12</v>
      </c>
      <c r="I14" t="n">
        <v>1</v>
      </c>
    </row>
    <row r="15">
      <c r="A15" t="s">
        <v>30</v>
      </c>
      <c r="B15" t="s">
        <v>31</v>
      </c>
      <c r="C15" s="17" t="n">
        <v>45383</v>
      </c>
      <c r="D15" t="n">
        <v>2</v>
      </c>
      <c r="E15" t="n">
        <v>2889</v>
      </c>
      <c r="F15" t="n">
        <v>1.0033391201749</v>
      </c>
      <c r="G15" t="n">
        <v>0.996671992442277</v>
      </c>
      <c r="H15" t="n">
        <v>13</v>
      </c>
      <c r="I15" t="n">
        <v>1</v>
      </c>
    </row>
    <row r="16">
      <c r="A16" t="s">
        <v>30</v>
      </c>
      <c r="B16" t="s">
        <v>31</v>
      </c>
      <c r="C16" s="17" t="n">
        <v>45474</v>
      </c>
      <c r="D16" t="n">
        <v>1</v>
      </c>
      <c r="E16" t="n">
        <v>3036</v>
      </c>
      <c r="F16" t="n">
        <v>1.00336279276645</v>
      </c>
      <c r="G16" t="n">
        <v>0.996648477708469</v>
      </c>
      <c r="H16" t="n">
        <v>14</v>
      </c>
      <c r="I16" t="n">
        <v>1</v>
      </c>
    </row>
    <row r="17">
      <c r="A17" t="s">
        <v>30</v>
      </c>
      <c r="B17" t="s">
        <v>31</v>
      </c>
      <c r="C17" s="17" t="n">
        <v>45566</v>
      </c>
      <c r="D17" t="n">
        <v>0</v>
      </c>
      <c r="E17" t="n">
        <v>2727</v>
      </c>
      <c r="F17" t="n">
        <v>1.13500543055021</v>
      </c>
      <c r="G17" t="n">
        <v>0.881053053213352</v>
      </c>
      <c r="H17" t="n">
        <v>15</v>
      </c>
      <c r="I17"/>
    </row>
    <row r="18">
      <c r="A18" t="s">
        <v>30</v>
      </c>
      <c r="B18" t="s">
        <v>32</v>
      </c>
      <c r="C18" s="17" t="n">
        <v>44197</v>
      </c>
      <c r="D18" t="n">
        <v>15</v>
      </c>
      <c r="E18" t="n">
        <v>1826</v>
      </c>
      <c r="F18" t="n">
        <v>1</v>
      </c>
      <c r="G18" t="n">
        <v>1</v>
      </c>
      <c r="H18" t="n">
        <v>0</v>
      </c>
      <c r="I18" t="n">
        <v>1.2922688310075</v>
      </c>
    </row>
    <row r="19">
      <c r="A19" t="s">
        <v>30</v>
      </c>
      <c r="B19" t="s">
        <v>32</v>
      </c>
      <c r="C19" s="17" t="n">
        <v>44287</v>
      </c>
      <c r="D19" t="n">
        <v>14</v>
      </c>
      <c r="E19" t="n">
        <v>2006</v>
      </c>
      <c r="F19" t="n">
        <v>1</v>
      </c>
      <c r="G19" t="n">
        <v>1</v>
      </c>
      <c r="H19" t="n">
        <v>1</v>
      </c>
      <c r="I19" t="n">
        <v>1.00244061737307</v>
      </c>
    </row>
    <row r="20">
      <c r="A20" t="s">
        <v>30</v>
      </c>
      <c r="B20" t="s">
        <v>32</v>
      </c>
      <c r="C20" s="17" t="n">
        <v>44378</v>
      </c>
      <c r="D20" t="n">
        <v>13</v>
      </c>
      <c r="E20" t="n">
        <v>2083</v>
      </c>
      <c r="F20" t="n">
        <v>1</v>
      </c>
      <c r="G20" t="n">
        <v>1</v>
      </c>
      <c r="H20" t="n">
        <v>2</v>
      </c>
      <c r="I20" t="n">
        <v>1.00003685820648</v>
      </c>
    </row>
    <row r="21">
      <c r="A21" t="s">
        <v>30</v>
      </c>
      <c r="B21" t="s">
        <v>32</v>
      </c>
      <c r="C21" s="17" t="n">
        <v>44470</v>
      </c>
      <c r="D21" t="n">
        <v>12</v>
      </c>
      <c r="E21" t="n">
        <v>2264</v>
      </c>
      <c r="F21" t="n">
        <v>1</v>
      </c>
      <c r="G21" t="n">
        <v>1</v>
      </c>
      <c r="H21" t="n">
        <v>3</v>
      </c>
      <c r="I21" t="n">
        <v>1.00027727164699</v>
      </c>
    </row>
    <row r="22">
      <c r="A22" t="s">
        <v>30</v>
      </c>
      <c r="B22" t="s">
        <v>32</v>
      </c>
      <c r="C22" s="17" t="n">
        <v>44562</v>
      </c>
      <c r="D22" t="n">
        <v>11</v>
      </c>
      <c r="E22" t="n">
        <v>2080</v>
      </c>
      <c r="F22" t="n">
        <v>1</v>
      </c>
      <c r="G22" t="n">
        <v>1</v>
      </c>
      <c r="H22" t="n">
        <v>4</v>
      </c>
      <c r="I22" t="n">
        <v>1.0020810752222</v>
      </c>
    </row>
    <row r="23">
      <c r="A23" t="s">
        <v>30</v>
      </c>
      <c r="B23" t="s">
        <v>32</v>
      </c>
      <c r="C23" s="17" t="n">
        <v>44652</v>
      </c>
      <c r="D23" t="n">
        <v>10</v>
      </c>
      <c r="E23" t="n">
        <v>2178</v>
      </c>
      <c r="F23" t="n">
        <v>1</v>
      </c>
      <c r="G23" t="n">
        <v>1</v>
      </c>
      <c r="H23" t="n">
        <v>5</v>
      </c>
      <c r="I23" t="n">
        <v>1.00156956004756</v>
      </c>
    </row>
    <row r="24">
      <c r="A24" t="s">
        <v>30</v>
      </c>
      <c r="B24" t="s">
        <v>32</v>
      </c>
      <c r="C24" s="17" t="n">
        <v>44743</v>
      </c>
      <c r="D24" t="n">
        <v>9</v>
      </c>
      <c r="E24" t="n">
        <v>2227</v>
      </c>
      <c r="F24" t="n">
        <v>1</v>
      </c>
      <c r="G24" t="n">
        <v>1</v>
      </c>
      <c r="H24" t="n">
        <v>6</v>
      </c>
      <c r="I24" t="n">
        <v>1.00015812776724</v>
      </c>
    </row>
    <row r="25">
      <c r="A25" t="s">
        <v>30</v>
      </c>
      <c r="B25" t="s">
        <v>32</v>
      </c>
      <c r="C25" s="17" t="n">
        <v>44835</v>
      </c>
      <c r="D25" t="n">
        <v>8</v>
      </c>
      <c r="E25" t="n">
        <v>2316</v>
      </c>
      <c r="F25" t="n">
        <v>1</v>
      </c>
      <c r="G25" t="n">
        <v>1</v>
      </c>
      <c r="H25" t="n">
        <v>7</v>
      </c>
      <c r="I25" t="n">
        <v>1</v>
      </c>
    </row>
    <row r="26">
      <c r="A26" t="s">
        <v>30</v>
      </c>
      <c r="B26" t="s">
        <v>32</v>
      </c>
      <c r="C26" s="17" t="n">
        <v>44927</v>
      </c>
      <c r="D26" t="n">
        <v>7</v>
      </c>
      <c r="E26" t="n">
        <v>1995</v>
      </c>
      <c r="F26" t="n">
        <v>1</v>
      </c>
      <c r="G26" t="n">
        <v>1</v>
      </c>
      <c r="H26" t="n">
        <v>8</v>
      </c>
      <c r="I26" t="n">
        <v>1</v>
      </c>
    </row>
    <row r="27">
      <c r="A27" t="s">
        <v>30</v>
      </c>
      <c r="B27" t="s">
        <v>32</v>
      </c>
      <c r="C27" s="17" t="n">
        <v>45017</v>
      </c>
      <c r="D27" t="n">
        <v>6</v>
      </c>
      <c r="E27" t="n">
        <v>2086</v>
      </c>
      <c r="F27" t="n">
        <v>1.00015812776724</v>
      </c>
      <c r="G27" t="n">
        <v>0.999841897233201</v>
      </c>
      <c r="H27" t="n">
        <v>9</v>
      </c>
      <c r="I27" t="n">
        <v>1</v>
      </c>
    </row>
    <row r="28">
      <c r="A28" t="s">
        <v>30</v>
      </c>
      <c r="B28" t="s">
        <v>32</v>
      </c>
      <c r="C28" s="17" t="n">
        <v>45108</v>
      </c>
      <c r="D28" t="n">
        <v>5</v>
      </c>
      <c r="E28" t="n">
        <v>2088</v>
      </c>
      <c r="F28" t="n">
        <v>1.00172793600582</v>
      </c>
      <c r="G28" t="n">
        <v>0.998275044606708</v>
      </c>
      <c r="H28" t="n">
        <v>10</v>
      </c>
      <c r="I28" t="n">
        <v>1</v>
      </c>
    </row>
    <row r="29">
      <c r="A29" t="s">
        <v>30</v>
      </c>
      <c r="B29" t="s">
        <v>32</v>
      </c>
      <c r="C29" s="17" t="n">
        <v>45200</v>
      </c>
      <c r="D29" t="n">
        <v>4</v>
      </c>
      <c r="E29" t="n">
        <v>2188</v>
      </c>
      <c r="F29" t="n">
        <v>1.00381260719283</v>
      </c>
      <c r="G29" t="n">
        <v>0.996201873571312</v>
      </c>
      <c r="H29" t="n">
        <v>11</v>
      </c>
      <c r="I29" t="n">
        <v>1</v>
      </c>
    </row>
    <row r="30">
      <c r="A30" t="s">
        <v>30</v>
      </c>
      <c r="B30" t="s">
        <v>32</v>
      </c>
      <c r="C30" s="17" t="n">
        <v>45292</v>
      </c>
      <c r="D30" t="n">
        <v>3</v>
      </c>
      <c r="E30" t="n">
        <v>1886</v>
      </c>
      <c r="F30" t="n">
        <v>1.0040909359677</v>
      </c>
      <c r="G30" t="n">
        <v>0.995925731603427</v>
      </c>
      <c r="H30" t="n">
        <v>12</v>
      </c>
      <c r="I30" t="n">
        <v>1</v>
      </c>
    </row>
    <row r="31">
      <c r="A31" t="s">
        <v>30</v>
      </c>
      <c r="B31" t="s">
        <v>32</v>
      </c>
      <c r="C31" s="17" t="n">
        <v>45383</v>
      </c>
      <c r="D31" t="n">
        <v>2</v>
      </c>
      <c r="E31" t="n">
        <v>2031</v>
      </c>
      <c r="F31" t="n">
        <v>1.00412794495874</v>
      </c>
      <c r="G31" t="n">
        <v>0.995889024920115</v>
      </c>
      <c r="H31" t="n">
        <v>13</v>
      </c>
      <c r="I31" t="n">
        <v>1</v>
      </c>
    </row>
    <row r="32">
      <c r="A32" t="s">
        <v>30</v>
      </c>
      <c r="B32" t="s">
        <v>32</v>
      </c>
      <c r="C32" s="17" t="n">
        <v>45474</v>
      </c>
      <c r="D32" t="n">
        <v>1</v>
      </c>
      <c r="E32" t="n">
        <v>2116</v>
      </c>
      <c r="F32" t="n">
        <v>1.00657863706599</v>
      </c>
      <c r="G32" t="n">
        <v>0.993464358547119</v>
      </c>
      <c r="H32" t="n">
        <v>14</v>
      </c>
      <c r="I32" t="n">
        <v>1</v>
      </c>
    </row>
    <row r="33">
      <c r="A33" t="s">
        <v>30</v>
      </c>
      <c r="B33" t="s">
        <v>32</v>
      </c>
      <c r="C33" s="17" t="n">
        <v>45566</v>
      </c>
      <c r="D33" t="n">
        <v>0</v>
      </c>
      <c r="E33" t="n">
        <v>1593</v>
      </c>
      <c r="F33" t="n">
        <v>1.30077019863839</v>
      </c>
      <c r="G33" t="n">
        <v>0.768775300238869</v>
      </c>
      <c r="H33" t="n">
        <v>15</v>
      </c>
      <c r="I33"/>
    </row>
    <row r="34">
      <c r="A34" t="s">
        <v>30</v>
      </c>
      <c r="B34" t="s">
        <v>33</v>
      </c>
      <c r="C34" s="17" t="n">
        <v>44197</v>
      </c>
      <c r="D34" t="n">
        <v>15</v>
      </c>
      <c r="E34" t="n">
        <v>517</v>
      </c>
      <c r="F34" t="n">
        <v>1</v>
      </c>
      <c r="G34" t="n">
        <v>1</v>
      </c>
      <c r="H34" t="n">
        <v>0</v>
      </c>
      <c r="I34" t="n">
        <v>2.50331925165963</v>
      </c>
    </row>
    <row r="35">
      <c r="A35" t="s">
        <v>30</v>
      </c>
      <c r="B35" t="s">
        <v>33</v>
      </c>
      <c r="C35" s="17" t="n">
        <v>44287</v>
      </c>
      <c r="D35" t="n">
        <v>14</v>
      </c>
      <c r="E35" t="n">
        <v>500</v>
      </c>
      <c r="F35" t="n">
        <v>1.00193798449612</v>
      </c>
      <c r="G35" t="n">
        <v>0.998065764023211</v>
      </c>
      <c r="H35" t="n">
        <v>1</v>
      </c>
      <c r="I35" t="n">
        <v>1.37250324254215</v>
      </c>
    </row>
    <row r="36">
      <c r="A36" t="s">
        <v>30</v>
      </c>
      <c r="B36" t="s">
        <v>33</v>
      </c>
      <c r="C36" s="17" t="n">
        <v>44378</v>
      </c>
      <c r="D36" t="n">
        <v>13</v>
      </c>
      <c r="E36" t="n">
        <v>556</v>
      </c>
      <c r="F36" t="n">
        <v>1.00193798449612</v>
      </c>
      <c r="G36" t="n">
        <v>0.998065764023211</v>
      </c>
      <c r="H36" t="n">
        <v>2</v>
      </c>
      <c r="I36" t="n">
        <v>1.16434202546998</v>
      </c>
    </row>
    <row r="37">
      <c r="A37" t="s">
        <v>30</v>
      </c>
      <c r="B37" t="s">
        <v>33</v>
      </c>
      <c r="C37" s="17" t="n">
        <v>44470</v>
      </c>
      <c r="D37" t="n">
        <v>12</v>
      </c>
      <c r="E37" t="n">
        <v>571</v>
      </c>
      <c r="F37" t="n">
        <v>1.0032143386165</v>
      </c>
      <c r="G37" t="n">
        <v>0.996795960252189</v>
      </c>
      <c r="H37" t="n">
        <v>3</v>
      </c>
      <c r="I37" t="n">
        <v>1.08372354373478</v>
      </c>
    </row>
    <row r="38">
      <c r="A38" t="s">
        <v>30</v>
      </c>
      <c r="B38" t="s">
        <v>33</v>
      </c>
      <c r="C38" s="17" t="n">
        <v>44562</v>
      </c>
      <c r="D38" t="n">
        <v>11</v>
      </c>
      <c r="E38" t="n">
        <v>495</v>
      </c>
      <c r="F38" t="n">
        <v>1.00509213803366</v>
      </c>
      <c r="G38" t="n">
        <v>0.994933660466571</v>
      </c>
      <c r="H38" t="n">
        <v>4</v>
      </c>
      <c r="I38" t="n">
        <v>1.04641509433962</v>
      </c>
    </row>
    <row r="39">
      <c r="A39" t="s">
        <v>30</v>
      </c>
      <c r="B39" t="s">
        <v>33</v>
      </c>
      <c r="C39" s="17" t="n">
        <v>44652</v>
      </c>
      <c r="D39" t="n">
        <v>10</v>
      </c>
      <c r="E39" t="n">
        <v>533</v>
      </c>
      <c r="F39" t="n">
        <v>1.00700514172234</v>
      </c>
      <c r="G39" t="n">
        <v>0.993043588923131</v>
      </c>
      <c r="H39" t="n">
        <v>5</v>
      </c>
      <c r="I39" t="n">
        <v>1.03051455923414</v>
      </c>
    </row>
    <row r="40">
      <c r="A40" t="s">
        <v>30</v>
      </c>
      <c r="B40" t="s">
        <v>33</v>
      </c>
      <c r="C40" s="17" t="n">
        <v>44743</v>
      </c>
      <c r="D40" t="n">
        <v>9</v>
      </c>
      <c r="E40" t="n">
        <v>540</v>
      </c>
      <c r="F40" t="n">
        <v>1.01020198344209</v>
      </c>
      <c r="G40" t="n">
        <v>0.98990104592021</v>
      </c>
      <c r="H40" t="n">
        <v>6</v>
      </c>
      <c r="I40" t="n">
        <v>1.01487389523604</v>
      </c>
    </row>
    <row r="41">
      <c r="A41" t="s">
        <v>30</v>
      </c>
      <c r="B41" t="s">
        <v>33</v>
      </c>
      <c r="C41" s="17" t="n">
        <v>44835</v>
      </c>
      <c r="D41" t="n">
        <v>8</v>
      </c>
      <c r="E41" t="n">
        <v>573</v>
      </c>
      <c r="F41" t="n">
        <v>1.0143252568439</v>
      </c>
      <c r="G41" t="n">
        <v>0.985877057928664</v>
      </c>
      <c r="H41" t="n">
        <v>7</v>
      </c>
      <c r="I41" t="n">
        <v>1.010225921522</v>
      </c>
    </row>
    <row r="42">
      <c r="A42" t="s">
        <v>30</v>
      </c>
      <c r="B42" t="s">
        <v>33</v>
      </c>
      <c r="C42" s="17" t="n">
        <v>44927</v>
      </c>
      <c r="D42" t="n">
        <v>7</v>
      </c>
      <c r="E42" t="n">
        <v>503</v>
      </c>
      <c r="F42" t="n">
        <v>1.02469766731816</v>
      </c>
      <c r="G42" t="n">
        <v>0.97589760560029</v>
      </c>
      <c r="H42" t="n">
        <v>8</v>
      </c>
      <c r="I42" t="n">
        <v>1.00408163265306</v>
      </c>
    </row>
    <row r="43">
      <c r="A43" t="s">
        <v>30</v>
      </c>
      <c r="B43" t="s">
        <v>33</v>
      </c>
      <c r="C43" s="17" t="n">
        <v>45017</v>
      </c>
      <c r="D43" t="n">
        <v>6</v>
      </c>
      <c r="E43" t="n">
        <v>528</v>
      </c>
      <c r="F43" t="n">
        <v>1.03993891307047</v>
      </c>
      <c r="G43" t="n">
        <v>0.961594943156275</v>
      </c>
      <c r="H43" t="n">
        <v>9</v>
      </c>
      <c r="I43" t="n">
        <v>1.0031746031746</v>
      </c>
    </row>
    <row r="44">
      <c r="A44" t="s">
        <v>30</v>
      </c>
      <c r="B44" t="s">
        <v>33</v>
      </c>
      <c r="C44" s="17" t="n">
        <v>45108</v>
      </c>
      <c r="D44" t="n">
        <v>5</v>
      </c>
      <c r="E44" t="n">
        <v>532</v>
      </c>
      <c r="F44" t="n">
        <v>1.07167219063325</v>
      </c>
      <c r="G44" t="n">
        <v>0.933121162180291</v>
      </c>
      <c r="H44" t="n">
        <v>10</v>
      </c>
      <c r="I44" t="n">
        <v>1.00190331176247</v>
      </c>
    </row>
    <row r="45">
      <c r="A45" t="s">
        <v>30</v>
      </c>
      <c r="B45" t="s">
        <v>33</v>
      </c>
      <c r="C45" s="17" t="n">
        <v>45200</v>
      </c>
      <c r="D45" t="n">
        <v>4</v>
      </c>
      <c r="E45" t="n">
        <v>486</v>
      </c>
      <c r="F45" t="n">
        <v>1.12141395646264</v>
      </c>
      <c r="G45" t="n">
        <v>0.891731366670672</v>
      </c>
      <c r="H45" t="n">
        <v>11</v>
      </c>
      <c r="I45" t="n">
        <v>1.00187178287319</v>
      </c>
    </row>
    <row r="46">
      <c r="A46" t="s">
        <v>30</v>
      </c>
      <c r="B46" t="s">
        <v>33</v>
      </c>
      <c r="C46" s="17" t="n">
        <v>45292</v>
      </c>
      <c r="D46" t="n">
        <v>3</v>
      </c>
      <c r="E46" t="n">
        <v>421</v>
      </c>
      <c r="F46" t="n">
        <v>1.21530270689134</v>
      </c>
      <c r="G46" t="n">
        <v>0.822840263853217</v>
      </c>
      <c r="H46" t="n">
        <v>12</v>
      </c>
      <c r="I46" t="n">
        <v>1.00127388535032</v>
      </c>
    </row>
    <row r="47">
      <c r="A47" t="s">
        <v>30</v>
      </c>
      <c r="B47" t="s">
        <v>33</v>
      </c>
      <c r="C47" s="17" t="n">
        <v>45383</v>
      </c>
      <c r="D47" t="n">
        <v>2</v>
      </c>
      <c r="E47" t="n">
        <v>344</v>
      </c>
      <c r="F47" t="n">
        <v>1.41502801530102</v>
      </c>
      <c r="G47" t="n">
        <v>0.706699789111435</v>
      </c>
      <c r="H47" t="n">
        <v>13</v>
      </c>
      <c r="I47" t="n">
        <v>1</v>
      </c>
    </row>
    <row r="48">
      <c r="A48" t="s">
        <v>30</v>
      </c>
      <c r="B48" t="s">
        <v>33</v>
      </c>
      <c r="C48" s="17" t="n">
        <v>45474</v>
      </c>
      <c r="D48" t="n">
        <v>1</v>
      </c>
      <c r="E48" t="n">
        <v>293</v>
      </c>
      <c r="F48" t="n">
        <v>1.94213053928863</v>
      </c>
      <c r="G48" t="n">
        <v>0.514898447746094</v>
      </c>
      <c r="H48" t="n">
        <v>14</v>
      </c>
      <c r="I48" t="n">
        <v>1.00193798449612</v>
      </c>
    </row>
    <row r="49">
      <c r="A49" t="s">
        <v>30</v>
      </c>
      <c r="B49" t="s">
        <v>33</v>
      </c>
      <c r="C49" s="17" t="n">
        <v>45566</v>
      </c>
      <c r="D49" t="n">
        <v>0</v>
      </c>
      <c r="E49" t="n">
        <v>120</v>
      </c>
      <c r="F49" t="n">
        <v>4.86177276823732</v>
      </c>
      <c r="G49" t="n">
        <v>0.205686289275621</v>
      </c>
      <c r="H49" t="n">
        <v>15</v>
      </c>
      <c r="I49"/>
    </row>
    <row r="50">
      <c r="A50" t="s">
        <v>30</v>
      </c>
      <c r="B50" t="s">
        <v>34</v>
      </c>
      <c r="C50" s="17" t="n">
        <v>44197</v>
      </c>
      <c r="D50" t="n">
        <v>15</v>
      </c>
      <c r="E50" t="n">
        <v>356</v>
      </c>
      <c r="F50" t="n">
        <v>1</v>
      </c>
      <c r="G50" t="n">
        <v>1</v>
      </c>
      <c r="H50" t="n">
        <v>0</v>
      </c>
      <c r="I50" t="n">
        <v>1.06435459940653</v>
      </c>
    </row>
    <row r="51">
      <c r="A51" t="s">
        <v>30</v>
      </c>
      <c r="B51" t="s">
        <v>34</v>
      </c>
      <c r="C51" s="17" t="n">
        <v>44287</v>
      </c>
      <c r="D51" t="n">
        <v>14</v>
      </c>
      <c r="E51" t="n">
        <v>363</v>
      </c>
      <c r="F51" t="n">
        <v>1</v>
      </c>
      <c r="G51" t="n">
        <v>1</v>
      </c>
      <c r="H51" t="n">
        <v>1</v>
      </c>
      <c r="I51" t="n">
        <v>1</v>
      </c>
    </row>
    <row r="52">
      <c r="A52" t="s">
        <v>30</v>
      </c>
      <c r="B52" t="s">
        <v>34</v>
      </c>
      <c r="C52" s="17" t="n">
        <v>44378</v>
      </c>
      <c r="D52" t="n">
        <v>13</v>
      </c>
      <c r="E52" t="n">
        <v>379</v>
      </c>
      <c r="F52" t="n">
        <v>1</v>
      </c>
      <c r="G52" t="n">
        <v>1</v>
      </c>
      <c r="H52" t="n">
        <v>2</v>
      </c>
      <c r="I52" t="n">
        <v>1</v>
      </c>
    </row>
    <row r="53">
      <c r="A53" t="s">
        <v>30</v>
      </c>
      <c r="B53" t="s">
        <v>34</v>
      </c>
      <c r="C53" s="17" t="n">
        <v>44470</v>
      </c>
      <c r="D53" t="n">
        <v>12</v>
      </c>
      <c r="E53" t="n">
        <v>381</v>
      </c>
      <c r="F53" t="n">
        <v>1</v>
      </c>
      <c r="G53" t="n">
        <v>1</v>
      </c>
      <c r="H53" t="n">
        <v>3</v>
      </c>
      <c r="I53" t="n">
        <v>1.00086937622256</v>
      </c>
    </row>
    <row r="54">
      <c r="A54" t="s">
        <v>30</v>
      </c>
      <c r="B54" t="s">
        <v>34</v>
      </c>
      <c r="C54" s="17" t="n">
        <v>44562</v>
      </c>
      <c r="D54" t="n">
        <v>11</v>
      </c>
      <c r="E54" t="n">
        <v>377</v>
      </c>
      <c r="F54" t="n">
        <v>1</v>
      </c>
      <c r="G54" t="n">
        <v>1</v>
      </c>
      <c r="H54" t="n">
        <v>4</v>
      </c>
      <c r="I54" t="n">
        <v>1.00165602081855</v>
      </c>
    </row>
    <row r="55">
      <c r="A55" t="s">
        <v>30</v>
      </c>
      <c r="B55" t="s">
        <v>34</v>
      </c>
      <c r="C55" s="17" t="n">
        <v>44652</v>
      </c>
      <c r="D55" t="n">
        <v>10</v>
      </c>
      <c r="E55" t="n">
        <v>400</v>
      </c>
      <c r="F55" t="n">
        <v>1</v>
      </c>
      <c r="G55" t="n">
        <v>1</v>
      </c>
      <c r="H55" t="n">
        <v>5</v>
      </c>
      <c r="I55" t="n">
        <v>1.00104794341106</v>
      </c>
    </row>
    <row r="56">
      <c r="A56" t="s">
        <v>30</v>
      </c>
      <c r="B56" t="s">
        <v>34</v>
      </c>
      <c r="C56" s="17" t="n">
        <v>44743</v>
      </c>
      <c r="D56" t="n">
        <v>9</v>
      </c>
      <c r="E56" t="n">
        <v>378</v>
      </c>
      <c r="F56" t="n">
        <v>1</v>
      </c>
      <c r="G56" t="n">
        <v>1</v>
      </c>
      <c r="H56" t="n">
        <v>6</v>
      </c>
      <c r="I56" t="n">
        <v>1</v>
      </c>
    </row>
    <row r="57">
      <c r="A57" t="s">
        <v>30</v>
      </c>
      <c r="B57" t="s">
        <v>34</v>
      </c>
      <c r="C57" s="17" t="n">
        <v>44835</v>
      </c>
      <c r="D57" t="n">
        <v>8</v>
      </c>
      <c r="E57" t="n">
        <v>381</v>
      </c>
      <c r="F57" t="n">
        <v>1</v>
      </c>
      <c r="G57" t="n">
        <v>1</v>
      </c>
      <c r="H57" t="n">
        <v>7</v>
      </c>
      <c r="I57" t="n">
        <v>1</v>
      </c>
    </row>
    <row r="58">
      <c r="A58" t="s">
        <v>30</v>
      </c>
      <c r="B58" t="s">
        <v>34</v>
      </c>
      <c r="C58" s="17" t="n">
        <v>44927</v>
      </c>
      <c r="D58" t="n">
        <v>7</v>
      </c>
      <c r="E58" t="n">
        <v>370</v>
      </c>
      <c r="F58" t="n">
        <v>1</v>
      </c>
      <c r="G58" t="n">
        <v>1</v>
      </c>
      <c r="H58" t="n">
        <v>8</v>
      </c>
      <c r="I58" t="n">
        <v>1</v>
      </c>
    </row>
    <row r="59">
      <c r="A59" t="s">
        <v>30</v>
      </c>
      <c r="B59" t="s">
        <v>34</v>
      </c>
      <c r="C59" s="17" t="n">
        <v>45017</v>
      </c>
      <c r="D59" t="n">
        <v>6</v>
      </c>
      <c r="E59" t="n">
        <v>436</v>
      </c>
      <c r="F59" t="n">
        <v>1</v>
      </c>
      <c r="G59" t="n">
        <v>1</v>
      </c>
      <c r="H59" t="n">
        <v>9</v>
      </c>
      <c r="I59" t="n">
        <v>1</v>
      </c>
    </row>
    <row r="60">
      <c r="A60" t="s">
        <v>30</v>
      </c>
      <c r="B60" t="s">
        <v>34</v>
      </c>
      <c r="C60" s="17" t="n">
        <v>45108</v>
      </c>
      <c r="D60" t="n">
        <v>5</v>
      </c>
      <c r="E60" t="n">
        <v>417</v>
      </c>
      <c r="F60" t="n">
        <v>1.00104794341106</v>
      </c>
      <c r="G60" t="n">
        <v>0.998953153624706</v>
      </c>
      <c r="H60" t="n">
        <v>10</v>
      </c>
      <c r="I60" t="n">
        <v>1</v>
      </c>
    </row>
    <row r="61">
      <c r="A61" t="s">
        <v>30</v>
      </c>
      <c r="B61" t="s">
        <v>34</v>
      </c>
      <c r="C61" s="17" t="n">
        <v>45200</v>
      </c>
      <c r="D61" t="n">
        <v>4</v>
      </c>
      <c r="E61" t="n">
        <v>378</v>
      </c>
      <c r="F61" t="n">
        <v>1.00270569964571</v>
      </c>
      <c r="G61" t="n">
        <v>0.997301601410399</v>
      </c>
      <c r="H61" t="n">
        <v>11</v>
      </c>
      <c r="I61" t="n">
        <v>1</v>
      </c>
    </row>
    <row r="62">
      <c r="A62" t="s">
        <v>30</v>
      </c>
      <c r="B62" t="s">
        <v>34</v>
      </c>
      <c r="C62" s="17" t="n">
        <v>45292</v>
      </c>
      <c r="D62" t="n">
        <v>3</v>
      </c>
      <c r="E62" t="n">
        <v>381</v>
      </c>
      <c r="F62" t="n">
        <v>1.00357742813921</v>
      </c>
      <c r="G62" t="n">
        <v>0.996435324232193</v>
      </c>
      <c r="H62" t="n">
        <v>12</v>
      </c>
      <c r="I62" t="n">
        <v>1</v>
      </c>
    </row>
    <row r="63">
      <c r="A63" t="s">
        <v>30</v>
      </c>
      <c r="B63" t="s">
        <v>34</v>
      </c>
      <c r="C63" s="17" t="n">
        <v>45383</v>
      </c>
      <c r="D63" t="n">
        <v>2</v>
      </c>
      <c r="E63" t="n">
        <v>381</v>
      </c>
      <c r="F63" t="n">
        <v>1.00357742813921</v>
      </c>
      <c r="G63" t="n">
        <v>0.996435324232193</v>
      </c>
      <c r="H63" t="n">
        <v>13</v>
      </c>
      <c r="I63" t="n">
        <v>1</v>
      </c>
    </row>
    <row r="64">
      <c r="A64" t="s">
        <v>30</v>
      </c>
      <c r="B64" t="s">
        <v>34</v>
      </c>
      <c r="C64" s="17" t="n">
        <v>45474</v>
      </c>
      <c r="D64" t="n">
        <v>1</v>
      </c>
      <c r="E64" t="n">
        <v>376</v>
      </c>
      <c r="F64" t="n">
        <v>1.00357742813921</v>
      </c>
      <c r="G64" t="n">
        <v>0.996435324232193</v>
      </c>
      <c r="H64" t="n">
        <v>14</v>
      </c>
      <c r="I64" t="n">
        <v>1</v>
      </c>
    </row>
    <row r="65">
      <c r="A65" t="s">
        <v>30</v>
      </c>
      <c r="B65" t="s">
        <v>34</v>
      </c>
      <c r="C65" s="17" t="n">
        <v>45566</v>
      </c>
      <c r="D65" t="n">
        <v>0</v>
      </c>
      <c r="E65" t="n">
        <v>365</v>
      </c>
      <c r="F65" t="n">
        <v>1.06816225150054</v>
      </c>
      <c r="G65" t="n">
        <v>0.936187361606549</v>
      </c>
      <c r="H65" t="n">
        <v>15</v>
      </c>
      <c r="I65"/>
    </row>
    <row r="66">
      <c r="A66" t="s">
        <v>30</v>
      </c>
      <c r="B66" t="s">
        <v>35</v>
      </c>
      <c r="C66" s="17" t="n">
        <v>44197</v>
      </c>
      <c r="D66" t="n">
        <v>15</v>
      </c>
      <c r="E66" t="n">
        <v>828</v>
      </c>
      <c r="F66" t="n">
        <v>1</v>
      </c>
      <c r="G66" t="n">
        <v>1</v>
      </c>
      <c r="H66" t="n">
        <v>0</v>
      </c>
      <c r="I66" t="n">
        <v>1.08853118712274</v>
      </c>
    </row>
    <row r="67">
      <c r="A67" t="s">
        <v>30</v>
      </c>
      <c r="B67" t="s">
        <v>35</v>
      </c>
      <c r="C67" s="17" t="n">
        <v>44287</v>
      </c>
      <c r="D67" t="n">
        <v>14</v>
      </c>
      <c r="E67" t="n">
        <v>868</v>
      </c>
      <c r="F67" t="n">
        <v>1</v>
      </c>
      <c r="G67" t="n">
        <v>1</v>
      </c>
      <c r="H67" t="n">
        <v>1</v>
      </c>
      <c r="I67" t="n">
        <v>1</v>
      </c>
    </row>
    <row r="68">
      <c r="A68" t="s">
        <v>30</v>
      </c>
      <c r="B68" t="s">
        <v>35</v>
      </c>
      <c r="C68" s="17" t="n">
        <v>44378</v>
      </c>
      <c r="D68" t="n">
        <v>13</v>
      </c>
      <c r="E68" t="n">
        <v>879</v>
      </c>
      <c r="F68" t="n">
        <v>1</v>
      </c>
      <c r="G68" t="n">
        <v>1</v>
      </c>
      <c r="H68" t="n">
        <v>2</v>
      </c>
      <c r="I68" t="n">
        <v>1</v>
      </c>
    </row>
    <row r="69">
      <c r="A69" t="s">
        <v>30</v>
      </c>
      <c r="B69" t="s">
        <v>35</v>
      </c>
      <c r="C69" s="17" t="n">
        <v>44470</v>
      </c>
      <c r="D69" t="n">
        <v>12</v>
      </c>
      <c r="E69" t="n">
        <v>997</v>
      </c>
      <c r="F69" t="n">
        <v>1</v>
      </c>
      <c r="G69" t="n">
        <v>1</v>
      </c>
      <c r="H69" t="n">
        <v>3</v>
      </c>
      <c r="I69" t="n">
        <v>1.00060537922684</v>
      </c>
    </row>
    <row r="70">
      <c r="A70" t="s">
        <v>30</v>
      </c>
      <c r="B70" t="s">
        <v>35</v>
      </c>
      <c r="C70" s="17" t="n">
        <v>44562</v>
      </c>
      <c r="D70" t="n">
        <v>11</v>
      </c>
      <c r="E70" t="n">
        <v>973</v>
      </c>
      <c r="F70" t="n">
        <v>1</v>
      </c>
      <c r="G70" t="n">
        <v>1</v>
      </c>
      <c r="H70" t="n">
        <v>4</v>
      </c>
      <c r="I70" t="n">
        <v>1.00347088314693</v>
      </c>
    </row>
    <row r="71">
      <c r="A71" t="s">
        <v>30</v>
      </c>
      <c r="B71" t="s">
        <v>35</v>
      </c>
      <c r="C71" s="17" t="n">
        <v>44652</v>
      </c>
      <c r="D71" t="n">
        <v>10</v>
      </c>
      <c r="E71" t="n">
        <v>949</v>
      </c>
      <c r="F71" t="n">
        <v>1</v>
      </c>
      <c r="G71" t="n">
        <v>1</v>
      </c>
      <c r="H71" t="n">
        <v>5</v>
      </c>
      <c r="I71" t="n">
        <v>1.00180428783698</v>
      </c>
    </row>
    <row r="72">
      <c r="A72" t="s">
        <v>30</v>
      </c>
      <c r="B72" t="s">
        <v>35</v>
      </c>
      <c r="C72" s="17" t="n">
        <v>44743</v>
      </c>
      <c r="D72" t="n">
        <v>9</v>
      </c>
      <c r="E72" t="n">
        <v>996</v>
      </c>
      <c r="F72" t="n">
        <v>1</v>
      </c>
      <c r="G72" t="n">
        <v>1</v>
      </c>
      <c r="H72" t="n">
        <v>6</v>
      </c>
      <c r="I72" t="n">
        <v>1</v>
      </c>
    </row>
    <row r="73">
      <c r="A73" t="s">
        <v>30</v>
      </c>
      <c r="B73" t="s">
        <v>35</v>
      </c>
      <c r="C73" s="17" t="n">
        <v>44835</v>
      </c>
      <c r="D73" t="n">
        <v>8</v>
      </c>
      <c r="E73" t="n">
        <v>1021</v>
      </c>
      <c r="F73" t="n">
        <v>1</v>
      </c>
      <c r="G73" t="n">
        <v>1</v>
      </c>
      <c r="H73" t="n">
        <v>7</v>
      </c>
      <c r="I73" t="n">
        <v>1</v>
      </c>
    </row>
    <row r="74">
      <c r="A74" t="s">
        <v>30</v>
      </c>
      <c r="B74" t="s">
        <v>35</v>
      </c>
      <c r="C74" s="17" t="n">
        <v>44927</v>
      </c>
      <c r="D74" t="n">
        <v>7</v>
      </c>
      <c r="E74" t="n">
        <v>929</v>
      </c>
      <c r="F74" t="n">
        <v>1</v>
      </c>
      <c r="G74" t="n">
        <v>1</v>
      </c>
      <c r="H74" t="n">
        <v>8</v>
      </c>
      <c r="I74" t="n">
        <v>1</v>
      </c>
    </row>
    <row r="75">
      <c r="A75" t="s">
        <v>30</v>
      </c>
      <c r="B75" t="s">
        <v>35</v>
      </c>
      <c r="C75" s="17" t="n">
        <v>45017</v>
      </c>
      <c r="D75" t="n">
        <v>6</v>
      </c>
      <c r="E75" t="n">
        <v>999</v>
      </c>
      <c r="F75" t="n">
        <v>1</v>
      </c>
      <c r="G75" t="n">
        <v>1</v>
      </c>
      <c r="H75" t="n">
        <v>9</v>
      </c>
      <c r="I75" t="n">
        <v>1</v>
      </c>
    </row>
    <row r="76">
      <c r="A76" t="s">
        <v>30</v>
      </c>
      <c r="B76" t="s">
        <v>35</v>
      </c>
      <c r="C76" s="17" t="n">
        <v>45108</v>
      </c>
      <c r="D76" t="n">
        <v>5</v>
      </c>
      <c r="E76" t="n">
        <v>986</v>
      </c>
      <c r="F76" t="n">
        <v>1.00180428783698</v>
      </c>
      <c r="G76" t="n">
        <v>0.998198961754423</v>
      </c>
      <c r="H76" t="n">
        <v>10</v>
      </c>
      <c r="I76" t="n">
        <v>1</v>
      </c>
    </row>
    <row r="77">
      <c r="A77" t="s">
        <v>30</v>
      </c>
      <c r="B77" t="s">
        <v>35</v>
      </c>
      <c r="C77" s="17" t="n">
        <v>45200</v>
      </c>
      <c r="D77" t="n">
        <v>4</v>
      </c>
      <c r="E77" t="n">
        <v>1198</v>
      </c>
      <c r="F77" t="n">
        <v>1.00528143345616</v>
      </c>
      <c r="G77" t="n">
        <v>0.994746313539285</v>
      </c>
      <c r="H77" t="n">
        <v>11</v>
      </c>
      <c r="I77" t="n">
        <v>1</v>
      </c>
    </row>
    <row r="78">
      <c r="A78" t="s">
        <v>30</v>
      </c>
      <c r="B78" t="s">
        <v>35</v>
      </c>
      <c r="C78" s="17" t="n">
        <v>45292</v>
      </c>
      <c r="D78" t="n">
        <v>3</v>
      </c>
      <c r="E78" t="n">
        <v>1024</v>
      </c>
      <c r="F78" t="n">
        <v>1.0058900099531</v>
      </c>
      <c r="G78" t="n">
        <v>0.994144479123142</v>
      </c>
      <c r="H78" t="n">
        <v>12</v>
      </c>
      <c r="I78" t="n">
        <v>1</v>
      </c>
    </row>
    <row r="79">
      <c r="A79" t="s">
        <v>30</v>
      </c>
      <c r="B79" t="s">
        <v>35</v>
      </c>
      <c r="C79" s="17" t="n">
        <v>45383</v>
      </c>
      <c r="D79" t="n">
        <v>2</v>
      </c>
      <c r="E79" t="n">
        <v>966</v>
      </c>
      <c r="F79" t="n">
        <v>1.0058900099531</v>
      </c>
      <c r="G79" t="n">
        <v>0.994144479123142</v>
      </c>
      <c r="H79" t="n">
        <v>13</v>
      </c>
      <c r="I79" t="n">
        <v>1</v>
      </c>
    </row>
    <row r="80">
      <c r="A80" t="s">
        <v>30</v>
      </c>
      <c r="B80" t="s">
        <v>35</v>
      </c>
      <c r="C80" s="17" t="n">
        <v>45474</v>
      </c>
      <c r="D80" t="n">
        <v>1</v>
      </c>
      <c r="E80" t="n">
        <v>1054</v>
      </c>
      <c r="F80" t="n">
        <v>1.0058900099531</v>
      </c>
      <c r="G80" t="n">
        <v>0.994144479123142</v>
      </c>
      <c r="H80" t="n">
        <v>14</v>
      </c>
      <c r="I80" t="n">
        <v>1</v>
      </c>
    </row>
    <row r="81">
      <c r="A81" t="s">
        <v>30</v>
      </c>
      <c r="B81" t="s">
        <v>35</v>
      </c>
      <c r="C81" s="17" t="n">
        <v>45566</v>
      </c>
      <c r="D81" t="n">
        <v>0</v>
      </c>
      <c r="E81" t="n">
        <v>976</v>
      </c>
      <c r="F81" t="n">
        <v>1.09494264664915</v>
      </c>
      <c r="G81" t="n">
        <v>0.913289844961555</v>
      </c>
      <c r="H81" t="n">
        <v>15</v>
      </c>
      <c r="I81"/>
    </row>
    <row r="82">
      <c r="A82" t="s">
        <v>36</v>
      </c>
      <c r="B82" t="s">
        <v>37</v>
      </c>
      <c r="C82" s="17" t="n">
        <v>44197</v>
      </c>
      <c r="D82" t="n">
        <v>15</v>
      </c>
      <c r="E82" t="n">
        <v>511</v>
      </c>
      <c r="F82" t="n">
        <v>1</v>
      </c>
      <c r="G82" t="n">
        <v>1</v>
      </c>
      <c r="H82" t="n">
        <v>0</v>
      </c>
      <c r="I82" t="n">
        <v>1.14046351393674</v>
      </c>
    </row>
    <row r="83">
      <c r="A83" t="s">
        <v>36</v>
      </c>
      <c r="B83" t="s">
        <v>37</v>
      </c>
      <c r="C83" s="17" t="n">
        <v>44287</v>
      </c>
      <c r="D83" t="n">
        <v>14</v>
      </c>
      <c r="E83" t="n">
        <v>384</v>
      </c>
      <c r="F83" t="n">
        <v>1</v>
      </c>
      <c r="G83" t="n">
        <v>1</v>
      </c>
      <c r="H83" t="n">
        <v>1</v>
      </c>
      <c r="I83" t="n">
        <v>1.00029019152641</v>
      </c>
    </row>
    <row r="84">
      <c r="A84" t="s">
        <v>36</v>
      </c>
      <c r="B84" t="s">
        <v>37</v>
      </c>
      <c r="C84" s="17" t="n">
        <v>44378</v>
      </c>
      <c r="D84" t="n">
        <v>13</v>
      </c>
      <c r="E84" t="n">
        <v>397</v>
      </c>
      <c r="F84" t="n">
        <v>1</v>
      </c>
      <c r="G84" t="n">
        <v>1</v>
      </c>
      <c r="H84" t="n">
        <v>2</v>
      </c>
      <c r="I84" t="n">
        <v>1</v>
      </c>
    </row>
    <row r="85">
      <c r="A85" t="s">
        <v>36</v>
      </c>
      <c r="B85" t="s">
        <v>37</v>
      </c>
      <c r="C85" s="17" t="n">
        <v>44470</v>
      </c>
      <c r="D85" t="n">
        <v>12</v>
      </c>
      <c r="E85" t="n">
        <v>480</v>
      </c>
      <c r="F85" t="n">
        <v>1</v>
      </c>
      <c r="G85" t="n">
        <v>1</v>
      </c>
      <c r="H85" t="n">
        <v>3</v>
      </c>
      <c r="I85" t="n">
        <v>1.00017120356103</v>
      </c>
    </row>
    <row r="86">
      <c r="A86" t="s">
        <v>36</v>
      </c>
      <c r="B86" t="s">
        <v>37</v>
      </c>
      <c r="C86" s="17" t="n">
        <v>44562</v>
      </c>
      <c r="D86" t="n">
        <v>11</v>
      </c>
      <c r="E86" t="n">
        <v>585</v>
      </c>
      <c r="F86" t="n">
        <v>1</v>
      </c>
      <c r="G86" t="n">
        <v>1</v>
      </c>
      <c r="H86" t="n">
        <v>4</v>
      </c>
      <c r="I86" t="n">
        <v>1.00292568753657</v>
      </c>
    </row>
    <row r="87">
      <c r="A87" t="s">
        <v>36</v>
      </c>
      <c r="B87" t="s">
        <v>37</v>
      </c>
      <c r="C87" s="17" t="n">
        <v>44652</v>
      </c>
      <c r="D87" t="n">
        <v>10</v>
      </c>
      <c r="E87" t="n">
        <v>406</v>
      </c>
      <c r="F87" t="n">
        <v>1</v>
      </c>
      <c r="G87" t="n">
        <v>1</v>
      </c>
      <c r="H87" t="n">
        <v>5</v>
      </c>
      <c r="I87" t="n">
        <v>1.00232263513514</v>
      </c>
    </row>
    <row r="88">
      <c r="A88" t="s">
        <v>36</v>
      </c>
      <c r="B88" t="s">
        <v>37</v>
      </c>
      <c r="C88" s="17" t="n">
        <v>44743</v>
      </c>
      <c r="D88" t="n">
        <v>9</v>
      </c>
      <c r="E88" t="n">
        <v>417</v>
      </c>
      <c r="F88" t="n">
        <v>1</v>
      </c>
      <c r="G88" t="n">
        <v>1</v>
      </c>
      <c r="H88" t="n">
        <v>6</v>
      </c>
      <c r="I88" t="n">
        <v>1</v>
      </c>
    </row>
    <row r="89">
      <c r="A89" t="s">
        <v>36</v>
      </c>
      <c r="B89" t="s">
        <v>37</v>
      </c>
      <c r="C89" s="17" t="n">
        <v>44835</v>
      </c>
      <c r="D89" t="n">
        <v>8</v>
      </c>
      <c r="E89" t="n">
        <v>557</v>
      </c>
      <c r="F89" t="n">
        <v>1</v>
      </c>
      <c r="G89" t="n">
        <v>1</v>
      </c>
      <c r="H89" t="n">
        <v>7</v>
      </c>
      <c r="I89" t="n">
        <v>1</v>
      </c>
    </row>
    <row r="90">
      <c r="A90" t="s">
        <v>36</v>
      </c>
      <c r="B90" t="s">
        <v>37</v>
      </c>
      <c r="C90" s="17" t="n">
        <v>44927</v>
      </c>
      <c r="D90" t="n">
        <v>7</v>
      </c>
      <c r="E90" t="n">
        <v>582</v>
      </c>
      <c r="F90" t="n">
        <v>1</v>
      </c>
      <c r="G90" t="n">
        <v>1</v>
      </c>
      <c r="H90" t="n">
        <v>8</v>
      </c>
      <c r="I90" t="n">
        <v>1</v>
      </c>
    </row>
    <row r="91">
      <c r="A91" t="s">
        <v>36</v>
      </c>
      <c r="B91" t="s">
        <v>37</v>
      </c>
      <c r="C91" s="17" t="n">
        <v>45017</v>
      </c>
      <c r="D91" t="n">
        <v>6</v>
      </c>
      <c r="E91" t="n">
        <v>428</v>
      </c>
      <c r="F91" t="n">
        <v>1</v>
      </c>
      <c r="G91" t="n">
        <v>1</v>
      </c>
      <c r="H91" t="n">
        <v>9</v>
      </c>
      <c r="I91" t="n">
        <v>1</v>
      </c>
    </row>
    <row r="92">
      <c r="A92" t="s">
        <v>36</v>
      </c>
      <c r="B92" t="s">
        <v>37</v>
      </c>
      <c r="C92" s="17" t="n">
        <v>45108</v>
      </c>
      <c r="D92" t="n">
        <v>5</v>
      </c>
      <c r="E92" t="n">
        <v>406</v>
      </c>
      <c r="F92" t="n">
        <v>1.00232263513514</v>
      </c>
      <c r="G92" t="n">
        <v>0.997682746998104</v>
      </c>
      <c r="H92" t="n">
        <v>10</v>
      </c>
      <c r="I92" t="n">
        <v>1</v>
      </c>
    </row>
    <row r="93">
      <c r="A93" t="s">
        <v>36</v>
      </c>
      <c r="B93" t="s">
        <v>37</v>
      </c>
      <c r="C93" s="17" t="n">
        <v>45200</v>
      </c>
      <c r="D93" t="n">
        <v>4</v>
      </c>
      <c r="E93" t="n">
        <v>715</v>
      </c>
      <c r="F93" t="n">
        <v>1.00525511797637</v>
      </c>
      <c r="G93" t="n">
        <v>0.994772353920513</v>
      </c>
      <c r="H93" t="n">
        <v>11</v>
      </c>
      <c r="I93" t="n">
        <v>1</v>
      </c>
    </row>
    <row r="94">
      <c r="A94" t="s">
        <v>36</v>
      </c>
      <c r="B94" t="s">
        <v>37</v>
      </c>
      <c r="C94" s="17" t="n">
        <v>45292</v>
      </c>
      <c r="D94" t="n">
        <v>3</v>
      </c>
      <c r="E94" t="n">
        <v>636</v>
      </c>
      <c r="F94" t="n">
        <v>1.00542722123232</v>
      </c>
      <c r="G94" t="n">
        <v>0.994602074503546</v>
      </c>
      <c r="H94" t="n">
        <v>12</v>
      </c>
      <c r="I94" t="n">
        <v>1</v>
      </c>
    </row>
    <row r="95">
      <c r="A95" t="s">
        <v>36</v>
      </c>
      <c r="B95" t="s">
        <v>37</v>
      </c>
      <c r="C95" s="17" t="n">
        <v>45383</v>
      </c>
      <c r="D95" t="n">
        <v>2</v>
      </c>
      <c r="E95" t="n">
        <v>417</v>
      </c>
      <c r="F95" t="n">
        <v>1.00542722123232</v>
      </c>
      <c r="G95" t="n">
        <v>0.994602074503546</v>
      </c>
      <c r="H95" t="n">
        <v>13</v>
      </c>
      <c r="I95" t="n">
        <v>1</v>
      </c>
    </row>
    <row r="96">
      <c r="A96" t="s">
        <v>36</v>
      </c>
      <c r="B96" t="s">
        <v>37</v>
      </c>
      <c r="C96" s="17" t="n">
        <v>45474</v>
      </c>
      <c r="D96" t="n">
        <v>1</v>
      </c>
      <c r="E96" t="n">
        <v>391</v>
      </c>
      <c r="F96" t="n">
        <v>1.00571898769234</v>
      </c>
      <c r="G96" t="n">
        <v>0.994313533141636</v>
      </c>
      <c r="H96" t="n">
        <v>14</v>
      </c>
      <c r="I96" t="n">
        <v>1</v>
      </c>
    </row>
    <row r="97">
      <c r="A97" t="s">
        <v>36</v>
      </c>
      <c r="B97" t="s">
        <v>37</v>
      </c>
      <c r="C97" s="17" t="n">
        <v>45566</v>
      </c>
      <c r="D97" t="n">
        <v>0</v>
      </c>
      <c r="E97" t="n">
        <v>450</v>
      </c>
      <c r="F97" t="n">
        <v>1.1469858107365</v>
      </c>
      <c r="G97" t="n">
        <v>0.871850366969997</v>
      </c>
      <c r="H97" t="n">
        <v>15</v>
      </c>
      <c r="I97"/>
    </row>
    <row r="98">
      <c r="A98" t="s">
        <v>36</v>
      </c>
      <c r="B98" t="s">
        <v>38</v>
      </c>
      <c r="C98" s="17" t="n">
        <v>44197</v>
      </c>
      <c r="D98" t="n">
        <v>15</v>
      </c>
      <c r="E98" t="n">
        <v>130</v>
      </c>
      <c r="F98" t="n">
        <v>1</v>
      </c>
      <c r="G98" t="n">
        <v>1</v>
      </c>
      <c r="H98" t="n">
        <v>0</v>
      </c>
      <c r="I98" t="n">
        <v>1.14277958740499</v>
      </c>
    </row>
    <row r="99">
      <c r="A99" t="s">
        <v>36</v>
      </c>
      <c r="B99" t="s">
        <v>38</v>
      </c>
      <c r="C99" s="17" t="n">
        <v>44287</v>
      </c>
      <c r="D99" t="n">
        <v>14</v>
      </c>
      <c r="E99" t="n">
        <v>130</v>
      </c>
      <c r="F99" t="n">
        <v>1</v>
      </c>
      <c r="G99" t="n">
        <v>1</v>
      </c>
      <c r="H99" t="n">
        <v>1</v>
      </c>
      <c r="I99" t="n">
        <v>1</v>
      </c>
    </row>
    <row r="100">
      <c r="A100" t="s">
        <v>36</v>
      </c>
      <c r="B100" t="s">
        <v>38</v>
      </c>
      <c r="C100" s="17" t="n">
        <v>44378</v>
      </c>
      <c r="D100" t="n">
        <v>13</v>
      </c>
      <c r="E100" t="n">
        <v>158</v>
      </c>
      <c r="F100" t="n">
        <v>1</v>
      </c>
      <c r="G100" t="n">
        <v>1</v>
      </c>
      <c r="H100" t="n">
        <v>2</v>
      </c>
      <c r="I100" t="n">
        <v>1</v>
      </c>
    </row>
    <row r="101">
      <c r="A101" t="s">
        <v>36</v>
      </c>
      <c r="B101" t="s">
        <v>38</v>
      </c>
      <c r="C101" s="17" t="n">
        <v>44470</v>
      </c>
      <c r="D101" t="n">
        <v>12</v>
      </c>
      <c r="E101" t="n">
        <v>136</v>
      </c>
      <c r="F101" t="n">
        <v>1</v>
      </c>
      <c r="G101" t="n">
        <v>1</v>
      </c>
      <c r="H101" t="n">
        <v>3</v>
      </c>
      <c r="I101" t="n">
        <v>1</v>
      </c>
    </row>
    <row r="102">
      <c r="A102" t="s">
        <v>36</v>
      </c>
      <c r="B102" t="s">
        <v>38</v>
      </c>
      <c r="C102" s="17" t="n">
        <v>44562</v>
      </c>
      <c r="D102" t="n">
        <v>11</v>
      </c>
      <c r="E102" t="n">
        <v>134</v>
      </c>
      <c r="F102" t="n">
        <v>1</v>
      </c>
      <c r="G102" t="n">
        <v>1</v>
      </c>
      <c r="H102" t="n">
        <v>4</v>
      </c>
      <c r="I102" t="n">
        <v>1.00390117035111</v>
      </c>
    </row>
    <row r="103">
      <c r="A103" t="s">
        <v>36</v>
      </c>
      <c r="B103" t="s">
        <v>38</v>
      </c>
      <c r="C103" s="17" t="n">
        <v>44652</v>
      </c>
      <c r="D103" t="n">
        <v>10</v>
      </c>
      <c r="E103" t="n">
        <v>145</v>
      </c>
      <c r="F103" t="n">
        <v>1</v>
      </c>
      <c r="G103" t="n">
        <v>1</v>
      </c>
      <c r="H103" t="n">
        <v>5</v>
      </c>
      <c r="I103" t="n">
        <v>1</v>
      </c>
    </row>
    <row r="104">
      <c r="A104" t="s">
        <v>36</v>
      </c>
      <c r="B104" t="s">
        <v>38</v>
      </c>
      <c r="C104" s="17" t="n">
        <v>44743</v>
      </c>
      <c r="D104" t="n">
        <v>9</v>
      </c>
      <c r="E104" t="n">
        <v>160</v>
      </c>
      <c r="F104" t="n">
        <v>1</v>
      </c>
      <c r="G104" t="n">
        <v>1</v>
      </c>
      <c r="H104" t="n">
        <v>6</v>
      </c>
      <c r="I104" t="n">
        <v>1</v>
      </c>
    </row>
    <row r="105">
      <c r="A105" t="s">
        <v>36</v>
      </c>
      <c r="B105" t="s">
        <v>38</v>
      </c>
      <c r="C105" s="17" t="n">
        <v>44835</v>
      </c>
      <c r="D105" t="n">
        <v>8</v>
      </c>
      <c r="E105" t="n">
        <v>146</v>
      </c>
      <c r="F105" t="n">
        <v>1</v>
      </c>
      <c r="G105" t="n">
        <v>1</v>
      </c>
      <c r="H105" t="n">
        <v>7</v>
      </c>
      <c r="I105" t="n">
        <v>1</v>
      </c>
    </row>
    <row r="106">
      <c r="A106" t="s">
        <v>36</v>
      </c>
      <c r="B106" t="s">
        <v>38</v>
      </c>
      <c r="C106" s="17" t="n">
        <v>44927</v>
      </c>
      <c r="D106" t="n">
        <v>7</v>
      </c>
      <c r="E106" t="n">
        <v>126</v>
      </c>
      <c r="F106" t="n">
        <v>1</v>
      </c>
      <c r="G106" t="n">
        <v>1</v>
      </c>
      <c r="H106" t="n">
        <v>8</v>
      </c>
      <c r="I106" t="n">
        <v>1</v>
      </c>
    </row>
    <row r="107">
      <c r="A107" t="s">
        <v>36</v>
      </c>
      <c r="B107" t="s">
        <v>38</v>
      </c>
      <c r="C107" s="17" t="n">
        <v>45017</v>
      </c>
      <c r="D107" t="n">
        <v>6</v>
      </c>
      <c r="E107" t="n">
        <v>134</v>
      </c>
      <c r="F107" t="n">
        <v>1</v>
      </c>
      <c r="G107" t="n">
        <v>1</v>
      </c>
      <c r="H107" t="n">
        <v>9</v>
      </c>
      <c r="I107" t="n">
        <v>1</v>
      </c>
    </row>
    <row r="108">
      <c r="A108" t="s">
        <v>36</v>
      </c>
      <c r="B108" t="s">
        <v>38</v>
      </c>
      <c r="C108" s="17" t="n">
        <v>45108</v>
      </c>
      <c r="D108" t="n">
        <v>5</v>
      </c>
      <c r="E108" t="n">
        <v>145</v>
      </c>
      <c r="F108" t="n">
        <v>1</v>
      </c>
      <c r="G108" t="n">
        <v>1</v>
      </c>
      <c r="H108" t="n">
        <v>10</v>
      </c>
      <c r="I108" t="n">
        <v>1</v>
      </c>
    </row>
    <row r="109">
      <c r="A109" t="s">
        <v>36</v>
      </c>
      <c r="B109" t="s">
        <v>38</v>
      </c>
      <c r="C109" s="17" t="n">
        <v>45200</v>
      </c>
      <c r="D109" t="n">
        <v>4</v>
      </c>
      <c r="E109" t="n">
        <v>145</v>
      </c>
      <c r="F109" t="n">
        <v>1.00390117035111</v>
      </c>
      <c r="G109" t="n">
        <v>0.996113989637306</v>
      </c>
      <c r="H109" t="n">
        <v>11</v>
      </c>
      <c r="I109" t="n">
        <v>1</v>
      </c>
    </row>
    <row r="110">
      <c r="A110" t="s">
        <v>36</v>
      </c>
      <c r="B110" t="s">
        <v>38</v>
      </c>
      <c r="C110" s="17" t="n">
        <v>45292</v>
      </c>
      <c r="D110" t="n">
        <v>3</v>
      </c>
      <c r="E110" t="n">
        <v>147</v>
      </c>
      <c r="F110" t="n">
        <v>1.00390117035111</v>
      </c>
      <c r="G110" t="n">
        <v>0.996113989637306</v>
      </c>
      <c r="H110" t="n">
        <v>12</v>
      </c>
      <c r="I110" t="n">
        <v>1</v>
      </c>
    </row>
    <row r="111">
      <c r="A111" t="s">
        <v>36</v>
      </c>
      <c r="B111" t="s">
        <v>38</v>
      </c>
      <c r="C111" s="17" t="n">
        <v>45383</v>
      </c>
      <c r="D111" t="n">
        <v>2</v>
      </c>
      <c r="E111" t="n">
        <v>137</v>
      </c>
      <c r="F111" t="n">
        <v>1.00390117035111</v>
      </c>
      <c r="G111" t="n">
        <v>0.996113989637306</v>
      </c>
      <c r="H111" t="n">
        <v>13</v>
      </c>
      <c r="I111" t="n">
        <v>1</v>
      </c>
    </row>
    <row r="112">
      <c r="A112" t="s">
        <v>36</v>
      </c>
      <c r="B112" t="s">
        <v>38</v>
      </c>
      <c r="C112" s="17" t="n">
        <v>45474</v>
      </c>
      <c r="D112" t="n">
        <v>1</v>
      </c>
      <c r="E112" t="n">
        <v>138</v>
      </c>
      <c r="F112" t="n">
        <v>1.00390117035111</v>
      </c>
      <c r="G112" t="n">
        <v>0.996113989637306</v>
      </c>
      <c r="H112" t="n">
        <v>14</v>
      </c>
      <c r="I112" t="n">
        <v>1</v>
      </c>
    </row>
    <row r="113">
      <c r="A113" t="s">
        <v>36</v>
      </c>
      <c r="B113" t="s">
        <v>38</v>
      </c>
      <c r="C113" s="17" t="n">
        <v>45566</v>
      </c>
      <c r="D113" t="n">
        <v>0</v>
      </c>
      <c r="E113" t="n">
        <v>108</v>
      </c>
      <c r="F113" t="n">
        <v>1.14723776524923</v>
      </c>
      <c r="G113" t="n">
        <v>0.871658892594735</v>
      </c>
      <c r="H113" t="n">
        <v>15</v>
      </c>
      <c r="I113"/>
    </row>
    <row r="114">
      <c r="A114" t="s">
        <v>36</v>
      </c>
      <c r="B114" t="s">
        <v>39</v>
      </c>
      <c r="C114" s="17" t="n">
        <v>44197</v>
      </c>
      <c r="D114" t="n">
        <v>15</v>
      </c>
      <c r="E114" t="n">
        <v>736</v>
      </c>
      <c r="F114" t="n">
        <v>1</v>
      </c>
      <c r="G114" t="n">
        <v>1</v>
      </c>
      <c r="H114" t="n">
        <v>0</v>
      </c>
      <c r="I114" t="n">
        <v>1.19964417333842</v>
      </c>
    </row>
    <row r="115">
      <c r="A115" t="s">
        <v>36</v>
      </c>
      <c r="B115" t="s">
        <v>39</v>
      </c>
      <c r="C115" s="17" t="n">
        <v>44287</v>
      </c>
      <c r="D115" t="n">
        <v>14</v>
      </c>
      <c r="E115" t="n">
        <v>510</v>
      </c>
      <c r="F115" t="n">
        <v>1</v>
      </c>
      <c r="G115" t="n">
        <v>1</v>
      </c>
      <c r="H115" t="n">
        <v>1</v>
      </c>
      <c r="I115" t="n">
        <v>1.00011304544427</v>
      </c>
    </row>
    <row r="116">
      <c r="A116" t="s">
        <v>36</v>
      </c>
      <c r="B116" t="s">
        <v>39</v>
      </c>
      <c r="C116" s="17" t="n">
        <v>44378</v>
      </c>
      <c r="D116" t="n">
        <v>13</v>
      </c>
      <c r="E116" t="n">
        <v>554</v>
      </c>
      <c r="F116" t="n">
        <v>1</v>
      </c>
      <c r="G116" t="n">
        <v>1</v>
      </c>
      <c r="H116" t="n">
        <v>2</v>
      </c>
      <c r="I116" t="n">
        <v>1</v>
      </c>
    </row>
    <row r="117">
      <c r="A117" t="s">
        <v>36</v>
      </c>
      <c r="B117" t="s">
        <v>39</v>
      </c>
      <c r="C117" s="17" t="n">
        <v>44470</v>
      </c>
      <c r="D117" t="n">
        <v>12</v>
      </c>
      <c r="E117" t="n">
        <v>677</v>
      </c>
      <c r="F117" t="n">
        <v>1</v>
      </c>
      <c r="G117" t="n">
        <v>1</v>
      </c>
      <c r="H117" t="n">
        <v>3</v>
      </c>
      <c r="I117" t="n">
        <v>1.00053490238032</v>
      </c>
    </row>
    <row r="118">
      <c r="A118" t="s">
        <v>36</v>
      </c>
      <c r="B118" t="s">
        <v>39</v>
      </c>
      <c r="C118" s="17" t="n">
        <v>44562</v>
      </c>
      <c r="D118" t="n">
        <v>11</v>
      </c>
      <c r="E118" t="n">
        <v>740</v>
      </c>
      <c r="F118" t="n">
        <v>1</v>
      </c>
      <c r="G118" t="n">
        <v>1</v>
      </c>
      <c r="H118" t="n">
        <v>4</v>
      </c>
      <c r="I118" t="n">
        <v>1.00191910245055</v>
      </c>
    </row>
    <row r="119">
      <c r="A119" t="s">
        <v>36</v>
      </c>
      <c r="B119" t="s">
        <v>39</v>
      </c>
      <c r="C119" s="17" t="n">
        <v>44652</v>
      </c>
      <c r="D119" t="n">
        <v>10</v>
      </c>
      <c r="E119" t="n">
        <v>550</v>
      </c>
      <c r="F119" t="n">
        <v>1</v>
      </c>
      <c r="G119" t="n">
        <v>1</v>
      </c>
      <c r="H119" t="n">
        <v>5</v>
      </c>
      <c r="I119" t="n">
        <v>1.00191265540325</v>
      </c>
    </row>
    <row r="120">
      <c r="A120" t="s">
        <v>36</v>
      </c>
      <c r="B120" t="s">
        <v>39</v>
      </c>
      <c r="C120" s="17" t="n">
        <v>44743</v>
      </c>
      <c r="D120" t="n">
        <v>9</v>
      </c>
      <c r="E120" t="n">
        <v>544</v>
      </c>
      <c r="F120" t="n">
        <v>1</v>
      </c>
      <c r="G120" t="n">
        <v>1</v>
      </c>
      <c r="H120" t="n">
        <v>6</v>
      </c>
      <c r="I120" t="n">
        <v>1</v>
      </c>
    </row>
    <row r="121">
      <c r="A121" t="s">
        <v>36</v>
      </c>
      <c r="B121" t="s">
        <v>39</v>
      </c>
      <c r="C121" s="17" t="n">
        <v>44835</v>
      </c>
      <c r="D121" t="n">
        <v>8</v>
      </c>
      <c r="E121" t="n">
        <v>686</v>
      </c>
      <c r="F121" t="n">
        <v>1</v>
      </c>
      <c r="G121" t="n">
        <v>1</v>
      </c>
      <c r="H121" t="n">
        <v>7</v>
      </c>
      <c r="I121" t="n">
        <v>1</v>
      </c>
    </row>
    <row r="122">
      <c r="A122" t="s">
        <v>36</v>
      </c>
      <c r="B122" t="s">
        <v>39</v>
      </c>
      <c r="C122" s="17" t="n">
        <v>44927</v>
      </c>
      <c r="D122" t="n">
        <v>7</v>
      </c>
      <c r="E122" t="n">
        <v>765</v>
      </c>
      <c r="F122" t="n">
        <v>1</v>
      </c>
      <c r="G122" t="n">
        <v>1</v>
      </c>
      <c r="H122" t="n">
        <v>8</v>
      </c>
      <c r="I122" t="n">
        <v>1</v>
      </c>
    </row>
    <row r="123">
      <c r="A123" t="s">
        <v>36</v>
      </c>
      <c r="B123" t="s">
        <v>39</v>
      </c>
      <c r="C123" s="17" t="n">
        <v>45017</v>
      </c>
      <c r="D123" t="n">
        <v>6</v>
      </c>
      <c r="E123" t="n">
        <v>524</v>
      </c>
      <c r="F123" t="n">
        <v>1</v>
      </c>
      <c r="G123" t="n">
        <v>1</v>
      </c>
      <c r="H123" t="n">
        <v>9</v>
      </c>
      <c r="I123" t="n">
        <v>1</v>
      </c>
    </row>
    <row r="124">
      <c r="A124" t="s">
        <v>36</v>
      </c>
      <c r="B124" t="s">
        <v>39</v>
      </c>
      <c r="C124" s="17" t="n">
        <v>45108</v>
      </c>
      <c r="D124" t="n">
        <v>5</v>
      </c>
      <c r="E124" t="n">
        <v>513</v>
      </c>
      <c r="F124" t="n">
        <v>1.00191265540325</v>
      </c>
      <c r="G124" t="n">
        <v>0.998090995863824</v>
      </c>
      <c r="H124" t="n">
        <v>10</v>
      </c>
      <c r="I124" t="n">
        <v>1</v>
      </c>
    </row>
    <row r="125">
      <c r="A125" t="s">
        <v>36</v>
      </c>
      <c r="B125" t="s">
        <v>39</v>
      </c>
      <c r="C125" s="17" t="n">
        <v>45200</v>
      </c>
      <c r="D125" t="n">
        <v>4</v>
      </c>
      <c r="E125" t="n">
        <v>708</v>
      </c>
      <c r="F125" t="n">
        <v>1.00383542843547</v>
      </c>
      <c r="G125" t="n">
        <v>0.996179225870273</v>
      </c>
      <c r="H125" t="n">
        <v>11</v>
      </c>
      <c r="I125" t="n">
        <v>1</v>
      </c>
    </row>
    <row r="126">
      <c r="A126" t="s">
        <v>36</v>
      </c>
      <c r="B126" t="s">
        <v>39</v>
      </c>
      <c r="C126" s="17" t="n">
        <v>45292</v>
      </c>
      <c r="D126" t="n">
        <v>3</v>
      </c>
      <c r="E126" t="n">
        <v>794</v>
      </c>
      <c r="F126" t="n">
        <v>1.00437238239558</v>
      </c>
      <c r="G126" t="n">
        <v>0.995646652106109</v>
      </c>
      <c r="H126" t="n">
        <v>12</v>
      </c>
      <c r="I126" t="n">
        <v>1</v>
      </c>
    </row>
    <row r="127">
      <c r="A127" t="s">
        <v>36</v>
      </c>
      <c r="B127" t="s">
        <v>39</v>
      </c>
      <c r="C127" s="17" t="n">
        <v>45383</v>
      </c>
      <c r="D127" t="n">
        <v>2</v>
      </c>
      <c r="E127" t="n">
        <v>575</v>
      </c>
      <c r="F127" t="n">
        <v>1.00437238239558</v>
      </c>
      <c r="G127" t="n">
        <v>0.995646652106109</v>
      </c>
      <c r="H127" t="n">
        <v>13</v>
      </c>
      <c r="I127" t="n">
        <v>1</v>
      </c>
    </row>
    <row r="128">
      <c r="A128" t="s">
        <v>36</v>
      </c>
      <c r="B128" t="s">
        <v>39</v>
      </c>
      <c r="C128" s="17" t="n">
        <v>45474</v>
      </c>
      <c r="D128" t="n">
        <v>1</v>
      </c>
      <c r="E128" t="n">
        <v>594</v>
      </c>
      <c r="F128" t="n">
        <v>1.00448592211776</v>
      </c>
      <c r="G128" t="n">
        <v>0.995534111510188</v>
      </c>
      <c r="H128" t="n">
        <v>14</v>
      </c>
      <c r="I128" t="n">
        <v>1</v>
      </c>
    </row>
    <row r="129">
      <c r="A129" t="s">
        <v>36</v>
      </c>
      <c r="B129" t="s">
        <v>39</v>
      </c>
      <c r="C129" s="17" t="n">
        <v>45566</v>
      </c>
      <c r="D129" t="n">
        <v>0</v>
      </c>
      <c r="E129" t="n">
        <v>595</v>
      </c>
      <c r="F129" t="n">
        <v>1.20502568366904</v>
      </c>
      <c r="G129" t="n">
        <v>0.829857830876448</v>
      </c>
      <c r="H129" t="n">
        <v>15</v>
      </c>
      <c r="I129"/>
    </row>
    <row r="130">
      <c r="A130" t="s">
        <v>36</v>
      </c>
      <c r="B130" t="s">
        <v>40</v>
      </c>
      <c r="C130" s="17" t="n">
        <v>44197</v>
      </c>
      <c r="D130" t="n">
        <v>15</v>
      </c>
      <c r="E130" t="n">
        <v>69</v>
      </c>
      <c r="F130" t="n">
        <v>1</v>
      </c>
      <c r="G130" t="n">
        <v>1</v>
      </c>
      <c r="H130" t="n">
        <v>0</v>
      </c>
      <c r="I130" t="n">
        <v>2.29234972677596</v>
      </c>
    </row>
    <row r="131">
      <c r="A131" t="s">
        <v>36</v>
      </c>
      <c r="B131" t="s">
        <v>40</v>
      </c>
      <c r="C131" s="17" t="n">
        <v>44287</v>
      </c>
      <c r="D131" t="n">
        <v>14</v>
      </c>
      <c r="E131" t="n">
        <v>74</v>
      </c>
      <c r="F131" t="n">
        <v>1</v>
      </c>
      <c r="G131" t="n">
        <v>1</v>
      </c>
      <c r="H131" t="n">
        <v>1</v>
      </c>
      <c r="I131" t="n">
        <v>1.31592689295039</v>
      </c>
    </row>
    <row r="132">
      <c r="A132" t="s">
        <v>36</v>
      </c>
      <c r="B132" t="s">
        <v>40</v>
      </c>
      <c r="C132" s="17" t="n">
        <v>44378</v>
      </c>
      <c r="D132" t="n">
        <v>13</v>
      </c>
      <c r="E132" t="n">
        <v>59</v>
      </c>
      <c r="F132" t="n">
        <v>1</v>
      </c>
      <c r="G132" t="n">
        <v>1</v>
      </c>
      <c r="H132" t="n">
        <v>2</v>
      </c>
      <c r="I132" t="n">
        <v>1.10659340659341</v>
      </c>
    </row>
    <row r="133">
      <c r="A133" t="s">
        <v>36</v>
      </c>
      <c r="B133" t="s">
        <v>40</v>
      </c>
      <c r="C133" s="17" t="n">
        <v>44470</v>
      </c>
      <c r="D133" t="n">
        <v>12</v>
      </c>
      <c r="E133" t="n">
        <v>80</v>
      </c>
      <c r="F133" t="n">
        <v>1</v>
      </c>
      <c r="G133" t="n">
        <v>1</v>
      </c>
      <c r="H133" t="n">
        <v>3</v>
      </c>
      <c r="I133" t="n">
        <v>1.04432432432432</v>
      </c>
    </row>
    <row r="134">
      <c r="A134" t="s">
        <v>36</v>
      </c>
      <c r="B134" t="s">
        <v>40</v>
      </c>
      <c r="C134" s="17" t="n">
        <v>44562</v>
      </c>
      <c r="D134" t="n">
        <v>11</v>
      </c>
      <c r="E134" t="n">
        <v>77</v>
      </c>
      <c r="F134" t="n">
        <v>1</v>
      </c>
      <c r="G134" t="n">
        <v>1</v>
      </c>
      <c r="H134" t="n">
        <v>4</v>
      </c>
      <c r="I134" t="n">
        <v>1.01841196777906</v>
      </c>
    </row>
    <row r="135">
      <c r="A135" t="s">
        <v>36</v>
      </c>
      <c r="B135" t="s">
        <v>40</v>
      </c>
      <c r="C135" s="17" t="n">
        <v>44652</v>
      </c>
      <c r="D135" t="n">
        <v>10</v>
      </c>
      <c r="E135" t="n">
        <v>95</v>
      </c>
      <c r="F135" t="n">
        <v>1</v>
      </c>
      <c r="G135" t="n">
        <v>1</v>
      </c>
      <c r="H135" t="n">
        <v>5</v>
      </c>
      <c r="I135" t="n">
        <v>1.00498753117207</v>
      </c>
    </row>
    <row r="136">
      <c r="A136" t="s">
        <v>36</v>
      </c>
      <c r="B136" t="s">
        <v>40</v>
      </c>
      <c r="C136" s="17" t="n">
        <v>44743</v>
      </c>
      <c r="D136" t="n">
        <v>9</v>
      </c>
      <c r="E136" t="n">
        <v>79</v>
      </c>
      <c r="F136" t="n">
        <v>1</v>
      </c>
      <c r="G136" t="n">
        <v>1</v>
      </c>
      <c r="H136" t="n">
        <v>6</v>
      </c>
      <c r="I136" t="n">
        <v>1.01147776183644</v>
      </c>
    </row>
    <row r="137">
      <c r="A137" t="s">
        <v>36</v>
      </c>
      <c r="B137" t="s">
        <v>40</v>
      </c>
      <c r="C137" s="17" t="n">
        <v>44835</v>
      </c>
      <c r="D137" t="n">
        <v>8</v>
      </c>
      <c r="E137" t="n">
        <v>84</v>
      </c>
      <c r="F137" t="n">
        <v>1.00187969924812</v>
      </c>
      <c r="G137" t="n">
        <v>0.99812382739212</v>
      </c>
      <c r="H137" t="n">
        <v>7</v>
      </c>
      <c r="I137" t="n">
        <v>1.00325732899023</v>
      </c>
    </row>
    <row r="138">
      <c r="A138" t="s">
        <v>36</v>
      </c>
      <c r="B138" t="s">
        <v>40</v>
      </c>
      <c r="C138" s="17" t="n">
        <v>44927</v>
      </c>
      <c r="D138" t="n">
        <v>7</v>
      </c>
      <c r="E138" t="n">
        <v>91</v>
      </c>
      <c r="F138" t="n">
        <v>1.0051431510372</v>
      </c>
      <c r="G138" t="n">
        <v>0.994883165614873</v>
      </c>
      <c r="H138" t="n">
        <v>8</v>
      </c>
      <c r="I138" t="n">
        <v>1.00187969924812</v>
      </c>
    </row>
    <row r="139">
      <c r="A139" t="s">
        <v>36</v>
      </c>
      <c r="B139" t="s">
        <v>40</v>
      </c>
      <c r="C139" s="17" t="n">
        <v>45017</v>
      </c>
      <c r="D139" t="n">
        <v>6</v>
      </c>
      <c r="E139" t="n">
        <v>109</v>
      </c>
      <c r="F139" t="n">
        <v>1.01667994473634</v>
      </c>
      <c r="G139" t="n">
        <v>0.983593711253286</v>
      </c>
      <c r="H139" t="n">
        <v>9</v>
      </c>
      <c r="I139" t="n">
        <v>1</v>
      </c>
    </row>
    <row r="140">
      <c r="A140" t="s">
        <v>36</v>
      </c>
      <c r="B140" t="s">
        <v>40</v>
      </c>
      <c r="C140" s="17" t="n">
        <v>45108</v>
      </c>
      <c r="D140" t="n">
        <v>5</v>
      </c>
      <c r="E140" t="n">
        <v>83</v>
      </c>
      <c r="F140" t="n">
        <v>1.02175066765273</v>
      </c>
      <c r="G140" t="n">
        <v>0.978712352884783</v>
      </c>
      <c r="H140" t="n">
        <v>10</v>
      </c>
      <c r="I140" t="n">
        <v>1</v>
      </c>
    </row>
    <row r="141">
      <c r="A141" t="s">
        <v>36</v>
      </c>
      <c r="B141" t="s">
        <v>40</v>
      </c>
      <c r="C141" s="17" t="n">
        <v>45200</v>
      </c>
      <c r="D141" t="n">
        <v>4</v>
      </c>
      <c r="E141" t="n">
        <v>97</v>
      </c>
      <c r="F141" t="n">
        <v>1.04056310802378</v>
      </c>
      <c r="G141" t="n">
        <v>0.961018118256358</v>
      </c>
      <c r="H141" t="n">
        <v>11</v>
      </c>
      <c r="I141" t="n">
        <v>1</v>
      </c>
    </row>
    <row r="142">
      <c r="A142" t="s">
        <v>36</v>
      </c>
      <c r="B142" t="s">
        <v>40</v>
      </c>
      <c r="C142" s="17" t="n">
        <v>45292</v>
      </c>
      <c r="D142" t="n">
        <v>3</v>
      </c>
      <c r="E142" t="n">
        <v>82</v>
      </c>
      <c r="F142" t="n">
        <v>1.08668536470375</v>
      </c>
      <c r="G142" t="n">
        <v>0.920229564582952</v>
      </c>
      <c r="H142" t="n">
        <v>12</v>
      </c>
      <c r="I142" t="n">
        <v>1</v>
      </c>
    </row>
    <row r="143">
      <c r="A143" t="s">
        <v>36</v>
      </c>
      <c r="B143" t="s">
        <v>40</v>
      </c>
      <c r="C143" s="17" t="n">
        <v>45383</v>
      </c>
      <c r="D143" t="n">
        <v>2</v>
      </c>
      <c r="E143" t="n">
        <v>98</v>
      </c>
      <c r="F143" t="n">
        <v>1.20251885962272</v>
      </c>
      <c r="G143" t="n">
        <v>0.831587789245765</v>
      </c>
      <c r="H143" t="n">
        <v>13</v>
      </c>
      <c r="I143" t="n">
        <v>1</v>
      </c>
    </row>
    <row r="144">
      <c r="A144" t="s">
        <v>36</v>
      </c>
      <c r="B144" t="s">
        <v>40</v>
      </c>
      <c r="C144" s="17" t="n">
        <v>45474</v>
      </c>
      <c r="D144" t="n">
        <v>1</v>
      </c>
      <c r="E144" t="n">
        <v>73</v>
      </c>
      <c r="F144" t="n">
        <v>1.58242690665758</v>
      </c>
      <c r="G144" t="n">
        <v>0.631940720795889</v>
      </c>
      <c r="H144" t="n">
        <v>14</v>
      </c>
      <c r="I144" t="n">
        <v>1</v>
      </c>
    </row>
    <row r="145">
      <c r="A145" t="s">
        <v>36</v>
      </c>
      <c r="B145" t="s">
        <v>40</v>
      </c>
      <c r="C145" s="17" t="n">
        <v>45566</v>
      </c>
      <c r="D145" t="n">
        <v>0</v>
      </c>
      <c r="E145" t="n">
        <v>38</v>
      </c>
      <c r="F145" t="n">
        <v>3.62747588711942</v>
      </c>
      <c r="G145" t="n">
        <v>0.275673782850173</v>
      </c>
      <c r="H145" t="n">
        <v>15</v>
      </c>
      <c r="I145"/>
    </row>
    <row r="146">
      <c r="A146" t="s">
        <v>36</v>
      </c>
      <c r="B146" t="s">
        <v>41</v>
      </c>
      <c r="C146" s="17" t="n">
        <v>44197</v>
      </c>
      <c r="D146" t="n">
        <v>15</v>
      </c>
      <c r="E146" t="n">
        <v>58</v>
      </c>
      <c r="F146" t="n">
        <v>1</v>
      </c>
      <c r="G146" t="n">
        <v>1</v>
      </c>
      <c r="H146" t="n">
        <v>0</v>
      </c>
      <c r="I146" t="n">
        <v>1.06728778467909</v>
      </c>
    </row>
    <row r="147">
      <c r="A147" t="s">
        <v>36</v>
      </c>
      <c r="B147" t="s">
        <v>41</v>
      </c>
      <c r="C147" s="17" t="n">
        <v>44287</v>
      </c>
      <c r="D147" t="n">
        <v>14</v>
      </c>
      <c r="E147" t="n">
        <v>68</v>
      </c>
      <c r="F147" t="n">
        <v>1</v>
      </c>
      <c r="G147" t="n">
        <v>1</v>
      </c>
      <c r="H147" t="n">
        <v>1</v>
      </c>
      <c r="I147" t="n">
        <v>1</v>
      </c>
    </row>
    <row r="148">
      <c r="A148" t="s">
        <v>36</v>
      </c>
      <c r="B148" t="s">
        <v>41</v>
      </c>
      <c r="C148" s="17" t="n">
        <v>44378</v>
      </c>
      <c r="D148" t="n">
        <v>13</v>
      </c>
      <c r="E148" t="n">
        <v>52</v>
      </c>
      <c r="F148" t="n">
        <v>1</v>
      </c>
      <c r="G148" t="n">
        <v>1</v>
      </c>
      <c r="H148" t="n">
        <v>2</v>
      </c>
      <c r="I148" t="n">
        <v>1</v>
      </c>
    </row>
    <row r="149">
      <c r="A149" t="s">
        <v>36</v>
      </c>
      <c r="B149" t="s">
        <v>41</v>
      </c>
      <c r="C149" s="17" t="n">
        <v>44470</v>
      </c>
      <c r="D149" t="n">
        <v>12</v>
      </c>
      <c r="E149" t="n">
        <v>58</v>
      </c>
      <c r="F149" t="n">
        <v>1</v>
      </c>
      <c r="G149" t="n">
        <v>1</v>
      </c>
      <c r="H149" t="n">
        <v>3</v>
      </c>
      <c r="I149" t="n">
        <v>1</v>
      </c>
    </row>
    <row r="150">
      <c r="A150" t="s">
        <v>36</v>
      </c>
      <c r="B150" t="s">
        <v>41</v>
      </c>
      <c r="C150" s="17" t="n">
        <v>44562</v>
      </c>
      <c r="D150" t="n">
        <v>11</v>
      </c>
      <c r="E150" t="n">
        <v>85</v>
      </c>
      <c r="F150" t="n">
        <v>1</v>
      </c>
      <c r="G150" t="n">
        <v>1</v>
      </c>
      <c r="H150" t="n">
        <v>4</v>
      </c>
      <c r="I150" t="n">
        <v>1.00137362637363</v>
      </c>
    </row>
    <row r="151">
      <c r="A151" t="s">
        <v>36</v>
      </c>
      <c r="B151" t="s">
        <v>41</v>
      </c>
      <c r="C151" s="17" t="n">
        <v>44652</v>
      </c>
      <c r="D151" t="n">
        <v>10</v>
      </c>
      <c r="E151" t="n">
        <v>61</v>
      </c>
      <c r="F151" t="n">
        <v>1</v>
      </c>
      <c r="G151" t="n">
        <v>1</v>
      </c>
      <c r="H151" t="n">
        <v>5</v>
      </c>
      <c r="I151" t="n">
        <v>1.00153609831029</v>
      </c>
    </row>
    <row r="152">
      <c r="A152" t="s">
        <v>36</v>
      </c>
      <c r="B152" t="s">
        <v>41</v>
      </c>
      <c r="C152" s="17" t="n">
        <v>44743</v>
      </c>
      <c r="D152" t="n">
        <v>9</v>
      </c>
      <c r="E152" t="n">
        <v>66</v>
      </c>
      <c r="F152" t="n">
        <v>1</v>
      </c>
      <c r="G152" t="n">
        <v>1</v>
      </c>
      <c r="H152" t="n">
        <v>6</v>
      </c>
      <c r="I152" t="n">
        <v>1</v>
      </c>
    </row>
    <row r="153">
      <c r="A153" t="s">
        <v>36</v>
      </c>
      <c r="B153" t="s">
        <v>41</v>
      </c>
      <c r="C153" s="17" t="n">
        <v>44835</v>
      </c>
      <c r="D153" t="n">
        <v>8</v>
      </c>
      <c r="E153" t="n">
        <v>71</v>
      </c>
      <c r="F153" t="n">
        <v>1</v>
      </c>
      <c r="G153" t="n">
        <v>1</v>
      </c>
      <c r="H153" t="n">
        <v>7</v>
      </c>
      <c r="I153" t="n">
        <v>1</v>
      </c>
    </row>
    <row r="154">
      <c r="A154" t="s">
        <v>36</v>
      </c>
      <c r="B154" t="s">
        <v>41</v>
      </c>
      <c r="C154" s="17" t="n">
        <v>44927</v>
      </c>
      <c r="D154" t="n">
        <v>7</v>
      </c>
      <c r="E154" t="n">
        <v>68</v>
      </c>
      <c r="F154" t="n">
        <v>1</v>
      </c>
      <c r="G154" t="n">
        <v>1</v>
      </c>
      <c r="H154" t="n">
        <v>8</v>
      </c>
      <c r="I154" t="n">
        <v>1</v>
      </c>
    </row>
    <row r="155">
      <c r="A155" t="s">
        <v>36</v>
      </c>
      <c r="B155" t="s">
        <v>41</v>
      </c>
      <c r="C155" s="17" t="n">
        <v>45017</v>
      </c>
      <c r="D155" t="n">
        <v>6</v>
      </c>
      <c r="E155" t="n">
        <v>65</v>
      </c>
      <c r="F155" t="n">
        <v>1</v>
      </c>
      <c r="G155" t="n">
        <v>1</v>
      </c>
      <c r="H155" t="n">
        <v>9</v>
      </c>
      <c r="I155" t="n">
        <v>1</v>
      </c>
    </row>
    <row r="156">
      <c r="A156" t="s">
        <v>36</v>
      </c>
      <c r="B156" t="s">
        <v>41</v>
      </c>
      <c r="C156" s="17" t="n">
        <v>45108</v>
      </c>
      <c r="D156" t="n">
        <v>5</v>
      </c>
      <c r="E156" t="n">
        <v>78</v>
      </c>
      <c r="F156" t="n">
        <v>1.00153609831029</v>
      </c>
      <c r="G156" t="n">
        <v>0.998466257668712</v>
      </c>
      <c r="H156" t="n">
        <v>10</v>
      </c>
      <c r="I156" t="n">
        <v>1</v>
      </c>
    </row>
    <row r="157">
      <c r="A157" t="s">
        <v>36</v>
      </c>
      <c r="B157" t="s">
        <v>41</v>
      </c>
      <c r="C157" s="17" t="n">
        <v>45200</v>
      </c>
      <c r="D157" t="n">
        <v>4</v>
      </c>
      <c r="E157" t="n">
        <v>68</v>
      </c>
      <c r="F157" t="n">
        <v>1.00291183470907</v>
      </c>
      <c r="G157" t="n">
        <v>0.997096619455174</v>
      </c>
      <c r="H157" t="n">
        <v>11</v>
      </c>
      <c r="I157" t="n">
        <v>1</v>
      </c>
    </row>
    <row r="158">
      <c r="A158" t="s">
        <v>36</v>
      </c>
      <c r="B158" t="s">
        <v>41</v>
      </c>
      <c r="C158" s="17" t="n">
        <v>45292</v>
      </c>
      <c r="D158" t="n">
        <v>3</v>
      </c>
      <c r="E158" t="n">
        <v>82</v>
      </c>
      <c r="F158" t="n">
        <v>1.00291183470907</v>
      </c>
      <c r="G158" t="n">
        <v>0.997096619455174</v>
      </c>
      <c r="H158" t="n">
        <v>12</v>
      </c>
      <c r="I158" t="n">
        <v>1</v>
      </c>
    </row>
    <row r="159">
      <c r="A159" t="s">
        <v>36</v>
      </c>
      <c r="B159" t="s">
        <v>41</v>
      </c>
      <c r="C159" s="17" t="n">
        <v>45383</v>
      </c>
      <c r="D159" t="n">
        <v>2</v>
      </c>
      <c r="E159" t="n">
        <v>78</v>
      </c>
      <c r="F159" t="n">
        <v>1.00291183470907</v>
      </c>
      <c r="G159" t="n">
        <v>0.997096619455174</v>
      </c>
      <c r="H159" t="n">
        <v>13</v>
      </c>
      <c r="I159" t="n">
        <v>1</v>
      </c>
    </row>
    <row r="160">
      <c r="A160" t="s">
        <v>36</v>
      </c>
      <c r="B160" t="s">
        <v>41</v>
      </c>
      <c r="C160" s="17" t="n">
        <v>45474</v>
      </c>
      <c r="D160" t="n">
        <v>1</v>
      </c>
      <c r="E160" t="n">
        <v>75</v>
      </c>
      <c r="F160" t="n">
        <v>1.00291183470907</v>
      </c>
      <c r="G160" t="n">
        <v>0.997096619455174</v>
      </c>
      <c r="H160" t="n">
        <v>14</v>
      </c>
      <c r="I160" t="n">
        <v>1</v>
      </c>
    </row>
    <row r="161">
      <c r="A161" t="s">
        <v>36</v>
      </c>
      <c r="B161" t="s">
        <v>41</v>
      </c>
      <c r="C161" s="17" t="n">
        <v>45566</v>
      </c>
      <c r="D161" t="n">
        <v>0</v>
      </c>
      <c r="E161" t="n">
        <v>74</v>
      </c>
      <c r="F161" t="n">
        <v>1.07039555029508</v>
      </c>
      <c r="G161" t="n">
        <v>0.934234077976429</v>
      </c>
      <c r="H161" t="n">
        <v>15</v>
      </c>
      <c r="I161"/>
    </row>
    <row r="162">
      <c r="A162" t="s">
        <v>36</v>
      </c>
      <c r="B162" t="s">
        <v>42</v>
      </c>
      <c r="C162" s="17" t="n">
        <v>44197</v>
      </c>
      <c r="D162" t="n">
        <v>15</v>
      </c>
      <c r="E162" t="n">
        <v>179</v>
      </c>
      <c r="F162" t="n">
        <v>1</v>
      </c>
      <c r="G162" t="n">
        <v>1</v>
      </c>
      <c r="H162" t="n">
        <v>0</v>
      </c>
      <c r="I162" t="n">
        <v>1.128125</v>
      </c>
    </row>
    <row r="163">
      <c r="A163" t="s">
        <v>36</v>
      </c>
      <c r="B163" t="s">
        <v>42</v>
      </c>
      <c r="C163" s="17" t="n">
        <v>44287</v>
      </c>
      <c r="D163" t="n">
        <v>14</v>
      </c>
      <c r="E163" t="n">
        <v>215</v>
      </c>
      <c r="F163" t="n">
        <v>1</v>
      </c>
      <c r="G163" t="n">
        <v>1</v>
      </c>
      <c r="H163" t="n">
        <v>1</v>
      </c>
      <c r="I163" t="n">
        <v>1</v>
      </c>
    </row>
    <row r="164">
      <c r="A164" t="s">
        <v>36</v>
      </c>
      <c r="B164" t="s">
        <v>42</v>
      </c>
      <c r="C164" s="17" t="n">
        <v>44378</v>
      </c>
      <c r="D164" t="n">
        <v>13</v>
      </c>
      <c r="E164" t="n">
        <v>249</v>
      </c>
      <c r="F164" t="n">
        <v>1</v>
      </c>
      <c r="G164" t="n">
        <v>1</v>
      </c>
      <c r="H164" t="n">
        <v>2</v>
      </c>
      <c r="I164" t="n">
        <v>1</v>
      </c>
    </row>
    <row r="165">
      <c r="A165" t="s">
        <v>36</v>
      </c>
      <c r="B165" t="s">
        <v>42</v>
      </c>
      <c r="C165" s="17" t="n">
        <v>44470</v>
      </c>
      <c r="D165" t="n">
        <v>12</v>
      </c>
      <c r="E165" t="n">
        <v>231</v>
      </c>
      <c r="F165" t="n">
        <v>1</v>
      </c>
      <c r="G165" t="n">
        <v>1</v>
      </c>
      <c r="H165" t="n">
        <v>3</v>
      </c>
      <c r="I165" t="n">
        <v>1</v>
      </c>
    </row>
    <row r="166">
      <c r="A166" t="s">
        <v>36</v>
      </c>
      <c r="B166" t="s">
        <v>42</v>
      </c>
      <c r="C166" s="17" t="n">
        <v>44562</v>
      </c>
      <c r="D166" t="n">
        <v>11</v>
      </c>
      <c r="E166" t="n">
        <v>248</v>
      </c>
      <c r="F166" t="n">
        <v>1</v>
      </c>
      <c r="G166" t="n">
        <v>1</v>
      </c>
      <c r="H166" t="n">
        <v>4</v>
      </c>
      <c r="I166" t="n">
        <v>1.00192901234568</v>
      </c>
    </row>
    <row r="167">
      <c r="A167" t="s">
        <v>36</v>
      </c>
      <c r="B167" t="s">
        <v>42</v>
      </c>
      <c r="C167" s="17" t="n">
        <v>44652</v>
      </c>
      <c r="D167" t="n">
        <v>10</v>
      </c>
      <c r="E167" t="n">
        <v>244</v>
      </c>
      <c r="F167" t="n">
        <v>1</v>
      </c>
      <c r="G167" t="n">
        <v>1</v>
      </c>
      <c r="H167" t="n">
        <v>5</v>
      </c>
      <c r="I167" t="n">
        <v>1.001287001287</v>
      </c>
    </row>
    <row r="168">
      <c r="A168" t="s">
        <v>36</v>
      </c>
      <c r="B168" t="s">
        <v>42</v>
      </c>
      <c r="C168" s="17" t="n">
        <v>44743</v>
      </c>
      <c r="D168" t="n">
        <v>9</v>
      </c>
      <c r="E168" t="n">
        <v>252</v>
      </c>
      <c r="F168" t="n">
        <v>1</v>
      </c>
      <c r="G168" t="n">
        <v>1</v>
      </c>
      <c r="H168" t="n">
        <v>6</v>
      </c>
      <c r="I168" t="n">
        <v>1</v>
      </c>
    </row>
    <row r="169">
      <c r="A169" t="s">
        <v>36</v>
      </c>
      <c r="B169" t="s">
        <v>42</v>
      </c>
      <c r="C169" s="17" t="n">
        <v>44835</v>
      </c>
      <c r="D169" t="n">
        <v>8</v>
      </c>
      <c r="E169" t="n">
        <v>251</v>
      </c>
      <c r="F169" t="n">
        <v>1</v>
      </c>
      <c r="G169" t="n">
        <v>1</v>
      </c>
      <c r="H169" t="n">
        <v>7</v>
      </c>
      <c r="I169" t="n">
        <v>1</v>
      </c>
    </row>
    <row r="170">
      <c r="A170" t="s">
        <v>36</v>
      </c>
      <c r="B170" t="s">
        <v>42</v>
      </c>
      <c r="C170" s="17" t="n">
        <v>44927</v>
      </c>
      <c r="D170" t="n">
        <v>7</v>
      </c>
      <c r="E170" t="n">
        <v>239</v>
      </c>
      <c r="F170" t="n">
        <v>1</v>
      </c>
      <c r="G170" t="n">
        <v>1</v>
      </c>
      <c r="H170" t="n">
        <v>8</v>
      </c>
      <c r="I170" t="n">
        <v>1</v>
      </c>
    </row>
    <row r="171">
      <c r="A171" t="s">
        <v>36</v>
      </c>
      <c r="B171" t="s">
        <v>42</v>
      </c>
      <c r="C171" s="17" t="n">
        <v>45017</v>
      </c>
      <c r="D171" t="n">
        <v>6</v>
      </c>
      <c r="E171" t="n">
        <v>226</v>
      </c>
      <c r="F171" t="n">
        <v>1</v>
      </c>
      <c r="G171" t="n">
        <v>1</v>
      </c>
      <c r="H171" t="n">
        <v>9</v>
      </c>
      <c r="I171" t="n">
        <v>1</v>
      </c>
    </row>
    <row r="172">
      <c r="A172" t="s">
        <v>36</v>
      </c>
      <c r="B172" t="s">
        <v>42</v>
      </c>
      <c r="C172" s="17" t="n">
        <v>45108</v>
      </c>
      <c r="D172" t="n">
        <v>5</v>
      </c>
      <c r="E172" t="n">
        <v>266</v>
      </c>
      <c r="F172" t="n">
        <v>1.001287001287</v>
      </c>
      <c r="G172" t="n">
        <v>0.998714652956298</v>
      </c>
      <c r="H172" t="n">
        <v>10</v>
      </c>
      <c r="I172" t="n">
        <v>1</v>
      </c>
    </row>
    <row r="173">
      <c r="A173" t="s">
        <v>36</v>
      </c>
      <c r="B173" t="s">
        <v>42</v>
      </c>
      <c r="C173" s="17" t="n">
        <v>45200</v>
      </c>
      <c r="D173" t="n">
        <v>4</v>
      </c>
      <c r="E173" t="n">
        <v>236</v>
      </c>
      <c r="F173" t="n">
        <v>1.00321849627405</v>
      </c>
      <c r="G173" t="n">
        <v>0.996791829211677</v>
      </c>
      <c r="H173" t="n">
        <v>11</v>
      </c>
      <c r="I173" t="n">
        <v>1</v>
      </c>
    </row>
    <row r="174">
      <c r="A174" t="s">
        <v>36</v>
      </c>
      <c r="B174" t="s">
        <v>42</v>
      </c>
      <c r="C174" s="17" t="n">
        <v>45292</v>
      </c>
      <c r="D174" t="n">
        <v>3</v>
      </c>
      <c r="E174" t="n">
        <v>290</v>
      </c>
      <c r="F174" t="n">
        <v>1.00321849627405</v>
      </c>
      <c r="G174" t="n">
        <v>0.996791829211677</v>
      </c>
      <c r="H174" t="n">
        <v>12</v>
      </c>
      <c r="I174" t="n">
        <v>1</v>
      </c>
    </row>
    <row r="175">
      <c r="A175" t="s">
        <v>36</v>
      </c>
      <c r="B175" t="s">
        <v>42</v>
      </c>
      <c r="C175" s="17" t="n">
        <v>45383</v>
      </c>
      <c r="D175" t="n">
        <v>2</v>
      </c>
      <c r="E175" t="n">
        <v>254</v>
      </c>
      <c r="F175" t="n">
        <v>1.00321849627405</v>
      </c>
      <c r="G175" t="n">
        <v>0.996791829211677</v>
      </c>
      <c r="H175" t="n">
        <v>13</v>
      </c>
      <c r="I175" t="n">
        <v>1</v>
      </c>
    </row>
    <row r="176">
      <c r="A176" t="s">
        <v>36</v>
      </c>
      <c r="B176" t="s">
        <v>42</v>
      </c>
      <c r="C176" s="17" t="n">
        <v>45474</v>
      </c>
      <c r="D176" t="n">
        <v>1</v>
      </c>
      <c r="E176" t="n">
        <v>238</v>
      </c>
      <c r="F176" t="n">
        <v>1.00321849627405</v>
      </c>
      <c r="G176" t="n">
        <v>0.996791829211677</v>
      </c>
      <c r="H176" t="n">
        <v>14</v>
      </c>
      <c r="I176" t="n">
        <v>1</v>
      </c>
    </row>
    <row r="177">
      <c r="A177" t="s">
        <v>36</v>
      </c>
      <c r="B177" t="s">
        <v>42</v>
      </c>
      <c r="C177" s="17" t="n">
        <v>45566</v>
      </c>
      <c r="D177" t="n">
        <v>0</v>
      </c>
      <c r="E177" t="n">
        <v>207</v>
      </c>
      <c r="F177" t="n">
        <v>1.13175586610916</v>
      </c>
      <c r="G177" t="n">
        <v>0.883582784896777</v>
      </c>
      <c r="H177" t="n">
        <v>15</v>
      </c>
      <c r="I177"/>
    </row>
    <row r="178">
      <c r="A178" t="s">
        <v>43</v>
      </c>
      <c r="B178" t="s">
        <v>34</v>
      </c>
      <c r="C178" s="17" t="n">
        <v>44197</v>
      </c>
      <c r="D178" t="n">
        <v>15</v>
      </c>
      <c r="E178" t="n">
        <v>405</v>
      </c>
      <c r="F178" t="n">
        <v>1</v>
      </c>
      <c r="G178" t="n">
        <v>1</v>
      </c>
      <c r="H178" t="n">
        <v>0</v>
      </c>
      <c r="I178" t="n">
        <v>1.06231365533691</v>
      </c>
    </row>
    <row r="179">
      <c r="A179" t="s">
        <v>43</v>
      </c>
      <c r="B179" t="s">
        <v>34</v>
      </c>
      <c r="C179" s="17" t="n">
        <v>44287</v>
      </c>
      <c r="D179" t="n">
        <v>14</v>
      </c>
      <c r="E179" t="n">
        <v>430</v>
      </c>
      <c r="F179" t="n">
        <v>1</v>
      </c>
      <c r="G179" t="n">
        <v>1</v>
      </c>
      <c r="H179" t="n">
        <v>1</v>
      </c>
      <c r="I179" t="n">
        <v>1</v>
      </c>
    </row>
    <row r="180">
      <c r="A180" t="s">
        <v>43</v>
      </c>
      <c r="B180" t="s">
        <v>34</v>
      </c>
      <c r="C180" s="17" t="n">
        <v>44378</v>
      </c>
      <c r="D180" t="n">
        <v>13</v>
      </c>
      <c r="E180" t="n">
        <v>459</v>
      </c>
      <c r="F180" t="n">
        <v>1</v>
      </c>
      <c r="G180" t="n">
        <v>1</v>
      </c>
      <c r="H180" t="n">
        <v>2</v>
      </c>
      <c r="I180" t="n">
        <v>1</v>
      </c>
    </row>
    <row r="181">
      <c r="A181" t="s">
        <v>43</v>
      </c>
      <c r="B181" t="s">
        <v>34</v>
      </c>
      <c r="C181" s="17" t="n">
        <v>44470</v>
      </c>
      <c r="D181" t="n">
        <v>12</v>
      </c>
      <c r="E181" t="n">
        <v>448</v>
      </c>
      <c r="F181" t="n">
        <v>1</v>
      </c>
      <c r="G181" t="n">
        <v>1</v>
      </c>
      <c r="H181" t="n">
        <v>3</v>
      </c>
      <c r="I181" t="n">
        <v>1</v>
      </c>
    </row>
    <row r="182">
      <c r="A182" t="s">
        <v>43</v>
      </c>
      <c r="B182" t="s">
        <v>34</v>
      </c>
      <c r="C182" s="17" t="n">
        <v>44562</v>
      </c>
      <c r="D182" t="n">
        <v>11</v>
      </c>
      <c r="E182" t="n">
        <v>473</v>
      </c>
      <c r="F182" t="n">
        <v>1</v>
      </c>
      <c r="G182" t="n">
        <v>1</v>
      </c>
      <c r="H182" t="n">
        <v>4</v>
      </c>
      <c r="I182" t="n">
        <v>1.00309837335399</v>
      </c>
    </row>
    <row r="183">
      <c r="A183" t="s">
        <v>43</v>
      </c>
      <c r="B183" t="s">
        <v>34</v>
      </c>
      <c r="C183" s="17" t="n">
        <v>44652</v>
      </c>
      <c r="D183" t="n">
        <v>10</v>
      </c>
      <c r="E183" t="n">
        <v>444</v>
      </c>
      <c r="F183" t="n">
        <v>1</v>
      </c>
      <c r="G183" t="n">
        <v>1</v>
      </c>
      <c r="H183" t="n">
        <v>5</v>
      </c>
      <c r="I183" t="n">
        <v>1.00042744176106</v>
      </c>
    </row>
    <row r="184">
      <c r="A184" t="s">
        <v>43</v>
      </c>
      <c r="B184" t="s">
        <v>34</v>
      </c>
      <c r="C184" s="17" t="n">
        <v>44743</v>
      </c>
      <c r="D184" t="n">
        <v>9</v>
      </c>
      <c r="E184" t="n">
        <v>495</v>
      </c>
      <c r="F184" t="n">
        <v>1</v>
      </c>
      <c r="G184" t="n">
        <v>1</v>
      </c>
      <c r="H184" t="n">
        <v>6</v>
      </c>
      <c r="I184" t="n">
        <v>1</v>
      </c>
    </row>
    <row r="185">
      <c r="A185" t="s">
        <v>43</v>
      </c>
      <c r="B185" t="s">
        <v>34</v>
      </c>
      <c r="C185" s="17" t="n">
        <v>44835</v>
      </c>
      <c r="D185" t="n">
        <v>8</v>
      </c>
      <c r="E185" t="n">
        <v>526</v>
      </c>
      <c r="F185" t="n">
        <v>1</v>
      </c>
      <c r="G185" t="n">
        <v>1</v>
      </c>
      <c r="H185" t="n">
        <v>7</v>
      </c>
      <c r="I185" t="n">
        <v>1</v>
      </c>
    </row>
    <row r="186">
      <c r="A186" t="s">
        <v>43</v>
      </c>
      <c r="B186" t="s">
        <v>34</v>
      </c>
      <c r="C186" s="17" t="n">
        <v>44927</v>
      </c>
      <c r="D186" t="n">
        <v>7</v>
      </c>
      <c r="E186" t="n">
        <v>505</v>
      </c>
      <c r="F186" t="n">
        <v>1</v>
      </c>
      <c r="G186" t="n">
        <v>1</v>
      </c>
      <c r="H186" t="n">
        <v>8</v>
      </c>
      <c r="I186" t="n">
        <v>1</v>
      </c>
    </row>
    <row r="187">
      <c r="A187" t="s">
        <v>43</v>
      </c>
      <c r="B187" t="s">
        <v>34</v>
      </c>
      <c r="C187" s="17" t="n">
        <v>45017</v>
      </c>
      <c r="D187" t="n">
        <v>6</v>
      </c>
      <c r="E187" t="n">
        <v>496</v>
      </c>
      <c r="F187" t="n">
        <v>1</v>
      </c>
      <c r="G187" t="n">
        <v>1</v>
      </c>
      <c r="H187" t="n">
        <v>9</v>
      </c>
      <c r="I187" t="n">
        <v>1</v>
      </c>
    </row>
    <row r="188">
      <c r="A188" t="s">
        <v>43</v>
      </c>
      <c r="B188" t="s">
        <v>34</v>
      </c>
      <c r="C188" s="17" t="n">
        <v>45108</v>
      </c>
      <c r="D188" t="n">
        <v>5</v>
      </c>
      <c r="E188" t="n">
        <v>501</v>
      </c>
      <c r="F188" t="n">
        <v>1.00042744176106</v>
      </c>
      <c r="G188" t="n">
        <v>0.999572740867336</v>
      </c>
      <c r="H188" t="n">
        <v>10</v>
      </c>
      <c r="I188" t="n">
        <v>1</v>
      </c>
    </row>
    <row r="189">
      <c r="A189" t="s">
        <v>43</v>
      </c>
      <c r="B189" t="s">
        <v>34</v>
      </c>
      <c r="C189" s="17" t="n">
        <v>45200</v>
      </c>
      <c r="D189" t="n">
        <v>4</v>
      </c>
      <c r="E189" t="n">
        <v>468</v>
      </c>
      <c r="F189" t="n">
        <v>1.00352713948921</v>
      </c>
      <c r="G189" t="n">
        <v>0.996485257497862</v>
      </c>
      <c r="H189" t="n">
        <v>11</v>
      </c>
      <c r="I189" t="n">
        <v>1</v>
      </c>
    </row>
    <row r="190">
      <c r="A190" t="s">
        <v>43</v>
      </c>
      <c r="B190" t="s">
        <v>34</v>
      </c>
      <c r="C190" s="17" t="n">
        <v>45292</v>
      </c>
      <c r="D190" t="n">
        <v>3</v>
      </c>
      <c r="E190" t="n">
        <v>488</v>
      </c>
      <c r="F190" t="n">
        <v>1.00352713948921</v>
      </c>
      <c r="G190" t="n">
        <v>0.996485257497862</v>
      </c>
      <c r="H190" t="n">
        <v>12</v>
      </c>
      <c r="I190" t="n">
        <v>1</v>
      </c>
    </row>
    <row r="191">
      <c r="A191" t="s">
        <v>43</v>
      </c>
      <c r="B191" t="s">
        <v>34</v>
      </c>
      <c r="C191" s="17" t="n">
        <v>45383</v>
      </c>
      <c r="D191" t="n">
        <v>2</v>
      </c>
      <c r="E191" t="n">
        <v>508</v>
      </c>
      <c r="F191" t="n">
        <v>1.00352713948921</v>
      </c>
      <c r="G191" t="n">
        <v>0.996485257497862</v>
      </c>
      <c r="H191" t="n">
        <v>13</v>
      </c>
      <c r="I191" t="n">
        <v>1</v>
      </c>
    </row>
    <row r="192">
      <c r="A192" t="s">
        <v>43</v>
      </c>
      <c r="B192" t="s">
        <v>34</v>
      </c>
      <c r="C192" s="17" t="n">
        <v>45474</v>
      </c>
      <c r="D192" t="n">
        <v>1</v>
      </c>
      <c r="E192" t="n">
        <v>498</v>
      </c>
      <c r="F192" t="n">
        <v>1.00352713948921</v>
      </c>
      <c r="G192" t="n">
        <v>0.996485257497862</v>
      </c>
      <c r="H192" t="n">
        <v>14</v>
      </c>
      <c r="I192" t="n">
        <v>1</v>
      </c>
    </row>
    <row r="193">
      <c r="A193" t="s">
        <v>43</v>
      </c>
      <c r="B193" t="s">
        <v>34</v>
      </c>
      <c r="C193" s="17" t="n">
        <v>45566</v>
      </c>
      <c r="D193" t="n">
        <v>0</v>
      </c>
      <c r="E193" t="n">
        <v>482</v>
      </c>
      <c r="F193" t="n">
        <v>1.06606058378058</v>
      </c>
      <c r="G193" t="n">
        <v>0.938032992884599</v>
      </c>
      <c r="H193" t="n">
        <v>15</v>
      </c>
      <c r="I193"/>
    </row>
    <row r="194">
      <c r="A194" t="s">
        <v>43</v>
      </c>
      <c r="B194" t="s">
        <v>39</v>
      </c>
      <c r="C194" s="17" t="n">
        <v>44197</v>
      </c>
      <c r="D194" t="n">
        <v>15</v>
      </c>
      <c r="E194" t="n">
        <v>383</v>
      </c>
      <c r="F194" t="n">
        <v>1</v>
      </c>
      <c r="G194" t="n">
        <v>1</v>
      </c>
      <c r="H194" t="n">
        <v>0</v>
      </c>
      <c r="I194" t="n">
        <v>1.22115384615385</v>
      </c>
    </row>
    <row r="195">
      <c r="A195" t="s">
        <v>43</v>
      </c>
      <c r="B195" t="s">
        <v>39</v>
      </c>
      <c r="C195" s="17" t="n">
        <v>44287</v>
      </c>
      <c r="D195" t="n">
        <v>14</v>
      </c>
      <c r="E195" t="n">
        <v>252</v>
      </c>
      <c r="F195" t="n">
        <v>1</v>
      </c>
      <c r="G195" t="n">
        <v>1</v>
      </c>
      <c r="H195" t="n">
        <v>1</v>
      </c>
      <c r="I195" t="n">
        <v>1.00041955108034</v>
      </c>
    </row>
    <row r="196">
      <c r="A196" t="s">
        <v>43</v>
      </c>
      <c r="B196" t="s">
        <v>39</v>
      </c>
      <c r="C196" s="17" t="n">
        <v>44378</v>
      </c>
      <c r="D196" t="n">
        <v>13</v>
      </c>
      <c r="E196" t="n">
        <v>263</v>
      </c>
      <c r="F196" t="n">
        <v>1</v>
      </c>
      <c r="G196" t="n">
        <v>1</v>
      </c>
      <c r="H196" t="n">
        <v>2</v>
      </c>
      <c r="I196" t="n">
        <v>1</v>
      </c>
    </row>
    <row r="197">
      <c r="A197" t="s">
        <v>43</v>
      </c>
      <c r="B197" t="s">
        <v>39</v>
      </c>
      <c r="C197" s="17" t="n">
        <v>44470</v>
      </c>
      <c r="D197" t="n">
        <v>12</v>
      </c>
      <c r="E197" t="n">
        <v>371</v>
      </c>
      <c r="F197" t="n">
        <v>1</v>
      </c>
      <c r="G197" t="n">
        <v>1</v>
      </c>
      <c r="H197" t="n">
        <v>3</v>
      </c>
      <c r="I197" t="n">
        <v>1.00050175614651</v>
      </c>
    </row>
    <row r="198">
      <c r="A198" t="s">
        <v>43</v>
      </c>
      <c r="B198" t="s">
        <v>39</v>
      </c>
      <c r="C198" s="17" t="n">
        <v>44562</v>
      </c>
      <c r="D198" t="n">
        <v>11</v>
      </c>
      <c r="E198" t="n">
        <v>404</v>
      </c>
      <c r="F198" t="n">
        <v>1</v>
      </c>
      <c r="G198" t="n">
        <v>1</v>
      </c>
      <c r="H198" t="n">
        <v>4</v>
      </c>
      <c r="I198" t="n">
        <v>1.00303615788021</v>
      </c>
    </row>
    <row r="199">
      <c r="A199" t="s">
        <v>43</v>
      </c>
      <c r="B199" t="s">
        <v>39</v>
      </c>
      <c r="C199" s="17" t="n">
        <v>44652</v>
      </c>
      <c r="D199" t="n">
        <v>10</v>
      </c>
      <c r="E199" t="n">
        <v>307</v>
      </c>
      <c r="F199" t="n">
        <v>1</v>
      </c>
      <c r="G199" t="n">
        <v>1</v>
      </c>
      <c r="H199" t="n">
        <v>5</v>
      </c>
      <c r="I199" t="n">
        <v>1.00148898153663</v>
      </c>
    </row>
    <row r="200">
      <c r="A200" t="s">
        <v>43</v>
      </c>
      <c r="B200" t="s">
        <v>39</v>
      </c>
      <c r="C200" s="17" t="n">
        <v>44743</v>
      </c>
      <c r="D200" t="n">
        <v>9</v>
      </c>
      <c r="E200" t="n">
        <v>284</v>
      </c>
      <c r="F200" t="n">
        <v>1</v>
      </c>
      <c r="G200" t="n">
        <v>1</v>
      </c>
      <c r="H200" t="n">
        <v>6</v>
      </c>
      <c r="I200" t="n">
        <v>1</v>
      </c>
    </row>
    <row r="201">
      <c r="A201" t="s">
        <v>43</v>
      </c>
      <c r="B201" t="s">
        <v>39</v>
      </c>
      <c r="C201" s="17" t="n">
        <v>44835</v>
      </c>
      <c r="D201" t="n">
        <v>8</v>
      </c>
      <c r="E201" t="n">
        <v>368</v>
      </c>
      <c r="F201" t="n">
        <v>1</v>
      </c>
      <c r="G201" t="n">
        <v>1</v>
      </c>
      <c r="H201" t="n">
        <v>7</v>
      </c>
      <c r="I201" t="n">
        <v>1</v>
      </c>
    </row>
    <row r="202">
      <c r="A202" t="s">
        <v>43</v>
      </c>
      <c r="B202" t="s">
        <v>39</v>
      </c>
      <c r="C202" s="17" t="n">
        <v>44927</v>
      </c>
      <c r="D202" t="n">
        <v>7</v>
      </c>
      <c r="E202" t="n">
        <v>422</v>
      </c>
      <c r="F202" t="n">
        <v>1</v>
      </c>
      <c r="G202" t="n">
        <v>1</v>
      </c>
      <c r="H202" t="n">
        <v>8</v>
      </c>
      <c r="I202" t="n">
        <v>1</v>
      </c>
    </row>
    <row r="203">
      <c r="A203" t="s">
        <v>43</v>
      </c>
      <c r="B203" t="s">
        <v>39</v>
      </c>
      <c r="C203" s="17" t="n">
        <v>45017</v>
      </c>
      <c r="D203" t="n">
        <v>6</v>
      </c>
      <c r="E203" t="n">
        <v>309</v>
      </c>
      <c r="F203" t="n">
        <v>1</v>
      </c>
      <c r="G203" t="n">
        <v>1</v>
      </c>
      <c r="H203" t="n">
        <v>9</v>
      </c>
      <c r="I203" t="n">
        <v>1</v>
      </c>
    </row>
    <row r="204">
      <c r="A204" t="s">
        <v>43</v>
      </c>
      <c r="B204" t="s">
        <v>39</v>
      </c>
      <c r="C204" s="17" t="n">
        <v>45108</v>
      </c>
      <c r="D204" t="n">
        <v>5</v>
      </c>
      <c r="E204" t="n">
        <v>276</v>
      </c>
      <c r="F204" t="n">
        <v>1.00148898153663</v>
      </c>
      <c r="G204" t="n">
        <v>0.998513232233125</v>
      </c>
      <c r="H204" t="n">
        <v>10</v>
      </c>
      <c r="I204" t="n">
        <v>1</v>
      </c>
    </row>
    <row r="205">
      <c r="A205" t="s">
        <v>43</v>
      </c>
      <c r="B205" t="s">
        <v>39</v>
      </c>
      <c r="C205" s="17" t="n">
        <v>45200</v>
      </c>
      <c r="D205" t="n">
        <v>4</v>
      </c>
      <c r="E205" t="n">
        <v>365</v>
      </c>
      <c r="F205" t="n">
        <v>1.00452966019986</v>
      </c>
      <c r="G205" t="n">
        <v>0.995490765101985</v>
      </c>
      <c r="H205" t="n">
        <v>11</v>
      </c>
      <c r="I205" t="n">
        <v>1</v>
      </c>
    </row>
    <row r="206">
      <c r="A206" t="s">
        <v>43</v>
      </c>
      <c r="B206" t="s">
        <v>39</v>
      </c>
      <c r="C206" s="17" t="n">
        <v>45292</v>
      </c>
      <c r="D206" t="n">
        <v>3</v>
      </c>
      <c r="E206" t="n">
        <v>485</v>
      </c>
      <c r="F206" t="n">
        <v>1.00503368913122</v>
      </c>
      <c r="G206" t="n">
        <v>0.994991521990098</v>
      </c>
      <c r="H206" t="n">
        <v>12</v>
      </c>
      <c r="I206" t="n">
        <v>1</v>
      </c>
    </row>
    <row r="207">
      <c r="A207" t="s">
        <v>43</v>
      </c>
      <c r="B207" t="s">
        <v>39</v>
      </c>
      <c r="C207" s="17" t="n">
        <v>45383</v>
      </c>
      <c r="D207" t="n">
        <v>2</v>
      </c>
      <c r="E207" t="n">
        <v>298</v>
      </c>
      <c r="F207" t="n">
        <v>1.00503368913122</v>
      </c>
      <c r="G207" t="n">
        <v>0.994991521990098</v>
      </c>
      <c r="H207" t="n">
        <v>13</v>
      </c>
      <c r="I207" t="n">
        <v>1</v>
      </c>
    </row>
    <row r="208">
      <c r="A208" t="s">
        <v>43</v>
      </c>
      <c r="B208" t="s">
        <v>39</v>
      </c>
      <c r="C208" s="17" t="n">
        <v>45474</v>
      </c>
      <c r="D208" t="n">
        <v>1</v>
      </c>
      <c r="E208" t="n">
        <v>313</v>
      </c>
      <c r="F208" t="n">
        <v>1.00545535210128</v>
      </c>
      <c r="G208" t="n">
        <v>0.994574247290165</v>
      </c>
      <c r="H208" t="n">
        <v>14</v>
      </c>
      <c r="I208" t="n">
        <v>1</v>
      </c>
    </row>
    <row r="209">
      <c r="A209" t="s">
        <v>43</v>
      </c>
      <c r="B209" t="s">
        <v>39</v>
      </c>
      <c r="C209" s="17" t="n">
        <v>45566</v>
      </c>
      <c r="D209" t="n">
        <v>0</v>
      </c>
      <c r="E209" t="n">
        <v>266</v>
      </c>
      <c r="F209" t="n">
        <v>1.22781567035445</v>
      </c>
      <c r="G209" t="n">
        <v>0.81445450171793</v>
      </c>
      <c r="H209" t="n">
        <v>15</v>
      </c>
      <c r="I209"/>
    </row>
    <row r="210">
      <c r="A210" t="s">
        <v>43</v>
      </c>
      <c r="B210" t="s">
        <v>42</v>
      </c>
      <c r="C210" s="17" t="n">
        <v>44197</v>
      </c>
      <c r="D210" t="n">
        <v>15</v>
      </c>
      <c r="E210" t="n">
        <v>507</v>
      </c>
      <c r="F210" t="n">
        <v>1</v>
      </c>
      <c r="G210" t="n">
        <v>1</v>
      </c>
      <c r="H210" t="n">
        <v>0</v>
      </c>
      <c r="I210" t="n">
        <v>1.13403434047651</v>
      </c>
    </row>
    <row r="211">
      <c r="A211" t="s">
        <v>43</v>
      </c>
      <c r="B211" t="s">
        <v>42</v>
      </c>
      <c r="C211" s="17" t="n">
        <v>44287</v>
      </c>
      <c r="D211" t="n">
        <v>14</v>
      </c>
      <c r="E211" t="n">
        <v>526</v>
      </c>
      <c r="F211" t="n">
        <v>1</v>
      </c>
      <c r="G211" t="n">
        <v>1</v>
      </c>
      <c r="H211" t="n">
        <v>1</v>
      </c>
      <c r="I211" t="n">
        <v>1</v>
      </c>
    </row>
    <row r="212">
      <c r="A212" t="s">
        <v>43</v>
      </c>
      <c r="B212" t="s">
        <v>42</v>
      </c>
      <c r="C212" s="17" t="n">
        <v>44378</v>
      </c>
      <c r="D212" t="n">
        <v>13</v>
      </c>
      <c r="E212" t="n">
        <v>571</v>
      </c>
      <c r="F212" t="n">
        <v>1</v>
      </c>
      <c r="G212" t="n">
        <v>1</v>
      </c>
      <c r="H212" t="n">
        <v>2</v>
      </c>
      <c r="I212" t="n">
        <v>1</v>
      </c>
    </row>
    <row r="213">
      <c r="A213" t="s">
        <v>43</v>
      </c>
      <c r="B213" t="s">
        <v>42</v>
      </c>
      <c r="C213" s="17" t="n">
        <v>44470</v>
      </c>
      <c r="D213" t="n">
        <v>12</v>
      </c>
      <c r="E213" t="n">
        <v>563</v>
      </c>
      <c r="F213" t="n">
        <v>1</v>
      </c>
      <c r="G213" t="n">
        <v>1</v>
      </c>
      <c r="H213" t="n">
        <v>3</v>
      </c>
      <c r="I213" t="n">
        <v>1.0004447739066</v>
      </c>
    </row>
    <row r="214">
      <c r="A214" t="s">
        <v>43</v>
      </c>
      <c r="B214" t="s">
        <v>42</v>
      </c>
      <c r="C214" s="17" t="n">
        <v>44562</v>
      </c>
      <c r="D214" t="n">
        <v>11</v>
      </c>
      <c r="E214" t="n">
        <v>551</v>
      </c>
      <c r="F214" t="n">
        <v>1</v>
      </c>
      <c r="G214" t="n">
        <v>1</v>
      </c>
      <c r="H214" t="n">
        <v>4</v>
      </c>
      <c r="I214" t="n">
        <v>1.00291876114805</v>
      </c>
    </row>
    <row r="215">
      <c r="A215" t="s">
        <v>43</v>
      </c>
      <c r="B215" t="s">
        <v>42</v>
      </c>
      <c r="C215" s="17" t="n">
        <v>44652</v>
      </c>
      <c r="D215" t="n">
        <v>10</v>
      </c>
      <c r="E215" t="n">
        <v>537</v>
      </c>
      <c r="F215" t="n">
        <v>1</v>
      </c>
      <c r="G215" t="n">
        <v>1</v>
      </c>
      <c r="H215" t="n">
        <v>5</v>
      </c>
      <c r="I215" t="n">
        <v>1.00143729787999</v>
      </c>
    </row>
    <row r="216">
      <c r="A216" t="s">
        <v>43</v>
      </c>
      <c r="B216" t="s">
        <v>42</v>
      </c>
      <c r="C216" s="17" t="n">
        <v>44743</v>
      </c>
      <c r="D216" t="n">
        <v>9</v>
      </c>
      <c r="E216" t="n">
        <v>562</v>
      </c>
      <c r="F216" t="n">
        <v>1</v>
      </c>
      <c r="G216" t="n">
        <v>1</v>
      </c>
      <c r="H216" t="n">
        <v>6</v>
      </c>
      <c r="I216" t="n">
        <v>1</v>
      </c>
    </row>
    <row r="217">
      <c r="A217" t="s">
        <v>43</v>
      </c>
      <c r="B217" t="s">
        <v>42</v>
      </c>
      <c r="C217" s="17" t="n">
        <v>44835</v>
      </c>
      <c r="D217" t="n">
        <v>8</v>
      </c>
      <c r="E217" t="n">
        <v>589</v>
      </c>
      <c r="F217" t="n">
        <v>1</v>
      </c>
      <c r="G217" t="n">
        <v>1</v>
      </c>
      <c r="H217" t="n">
        <v>7</v>
      </c>
      <c r="I217" t="n">
        <v>1</v>
      </c>
    </row>
    <row r="218">
      <c r="A218" t="s">
        <v>43</v>
      </c>
      <c r="B218" t="s">
        <v>42</v>
      </c>
      <c r="C218" s="17" t="n">
        <v>44927</v>
      </c>
      <c r="D218" t="n">
        <v>7</v>
      </c>
      <c r="E218" t="n">
        <v>593</v>
      </c>
      <c r="F218" t="n">
        <v>1</v>
      </c>
      <c r="G218" t="n">
        <v>1</v>
      </c>
      <c r="H218" t="n">
        <v>8</v>
      </c>
      <c r="I218" t="n">
        <v>1</v>
      </c>
    </row>
    <row r="219">
      <c r="A219" t="s">
        <v>43</v>
      </c>
      <c r="B219" t="s">
        <v>42</v>
      </c>
      <c r="C219" s="17" t="n">
        <v>45017</v>
      </c>
      <c r="D219" t="n">
        <v>6</v>
      </c>
      <c r="E219" t="n">
        <v>575</v>
      </c>
      <c r="F219" t="n">
        <v>1</v>
      </c>
      <c r="G219" t="n">
        <v>1</v>
      </c>
      <c r="H219" t="n">
        <v>9</v>
      </c>
      <c r="I219" t="n">
        <v>1</v>
      </c>
    </row>
    <row r="220">
      <c r="A220" t="s">
        <v>43</v>
      </c>
      <c r="B220" t="s">
        <v>42</v>
      </c>
      <c r="C220" s="17" t="n">
        <v>45108</v>
      </c>
      <c r="D220" t="n">
        <v>5</v>
      </c>
      <c r="E220" t="n">
        <v>619</v>
      </c>
      <c r="F220" t="n">
        <v>1.00143729787999</v>
      </c>
      <c r="G220" t="n">
        <v>0.998564764980265</v>
      </c>
      <c r="H220" t="n">
        <v>10</v>
      </c>
      <c r="I220" t="n">
        <v>1</v>
      </c>
    </row>
    <row r="221">
      <c r="A221" t="s">
        <v>43</v>
      </c>
      <c r="B221" t="s">
        <v>42</v>
      </c>
      <c r="C221" s="17" t="n">
        <v>45200</v>
      </c>
      <c r="D221" t="n">
        <v>4</v>
      </c>
      <c r="E221" t="n">
        <v>581</v>
      </c>
      <c r="F221" t="n">
        <v>1.00436025415724</v>
      </c>
      <c r="G221" t="n">
        <v>0.995658675122603</v>
      </c>
      <c r="H221" t="n">
        <v>11</v>
      </c>
      <c r="I221" t="n">
        <v>1</v>
      </c>
    </row>
    <row r="222">
      <c r="A222" t="s">
        <v>43</v>
      </c>
      <c r="B222" t="s">
        <v>42</v>
      </c>
      <c r="C222" s="17" t="n">
        <v>45292</v>
      </c>
      <c r="D222" t="n">
        <v>3</v>
      </c>
      <c r="E222" t="n">
        <v>567</v>
      </c>
      <c r="F222" t="n">
        <v>1.00480696739111</v>
      </c>
      <c r="G222" t="n">
        <v>0.995216029001475</v>
      </c>
      <c r="H222" t="n">
        <v>12</v>
      </c>
      <c r="I222" t="n">
        <v>1</v>
      </c>
    </row>
    <row r="223">
      <c r="A223" t="s">
        <v>43</v>
      </c>
      <c r="B223" t="s">
        <v>42</v>
      </c>
      <c r="C223" s="17" t="n">
        <v>45383</v>
      </c>
      <c r="D223" t="n">
        <v>2</v>
      </c>
      <c r="E223" t="n">
        <v>598</v>
      </c>
      <c r="F223" t="n">
        <v>1.00480696739111</v>
      </c>
      <c r="G223" t="n">
        <v>0.995216029001475</v>
      </c>
      <c r="H223" t="n">
        <v>13</v>
      </c>
      <c r="I223" t="n">
        <v>1</v>
      </c>
    </row>
    <row r="224">
      <c r="A224" t="s">
        <v>43</v>
      </c>
      <c r="B224" t="s">
        <v>42</v>
      </c>
      <c r="C224" s="17" t="n">
        <v>45474</v>
      </c>
      <c r="D224" t="n">
        <v>1</v>
      </c>
      <c r="E224" t="n">
        <v>610</v>
      </c>
      <c r="F224" t="n">
        <v>1.00480696739111</v>
      </c>
      <c r="G224" t="n">
        <v>0.995216029001475</v>
      </c>
      <c r="H224" t="n">
        <v>14</v>
      </c>
      <c r="I224" t="n">
        <v>1</v>
      </c>
    </row>
    <row r="225">
      <c r="A225" t="s">
        <v>43</v>
      </c>
      <c r="B225" t="s">
        <v>42</v>
      </c>
      <c r="C225" s="17" t="n">
        <v>45566</v>
      </c>
      <c r="D225" t="n">
        <v>0</v>
      </c>
      <c r="E225" t="n">
        <v>514</v>
      </c>
      <c r="F225" t="n">
        <v>1.13948560657158</v>
      </c>
      <c r="G225" t="n">
        <v>0.877588970174657</v>
      </c>
      <c r="H225" t="n">
        <v>15</v>
      </c>
      <c r="I225"/>
    </row>
    <row r="226">
      <c r="A226" t="s">
        <v>43</v>
      </c>
      <c r="B226" t="s">
        <v>38</v>
      </c>
      <c r="C226" s="17" t="n">
        <v>44197</v>
      </c>
      <c r="D226" t="n">
        <v>15</v>
      </c>
      <c r="E226" t="n">
        <v>89</v>
      </c>
      <c r="F226" t="n">
        <v>1</v>
      </c>
      <c r="G226" t="n">
        <v>1</v>
      </c>
      <c r="H226" t="n">
        <v>0</v>
      </c>
      <c r="I226" t="n">
        <v>1.12315634218289</v>
      </c>
    </row>
    <row r="227">
      <c r="A227" t="s">
        <v>43</v>
      </c>
      <c r="B227" t="s">
        <v>38</v>
      </c>
      <c r="C227" s="17" t="n">
        <v>44287</v>
      </c>
      <c r="D227" t="n">
        <v>14</v>
      </c>
      <c r="E227" t="n">
        <v>122</v>
      </c>
      <c r="F227" t="n">
        <v>1</v>
      </c>
      <c r="G227" t="n">
        <v>1</v>
      </c>
      <c r="H227" t="n">
        <v>1</v>
      </c>
      <c r="I227" t="n">
        <v>1</v>
      </c>
    </row>
    <row r="228">
      <c r="A228" t="s">
        <v>43</v>
      </c>
      <c r="B228" t="s">
        <v>38</v>
      </c>
      <c r="C228" s="17" t="n">
        <v>44378</v>
      </c>
      <c r="D228" t="n">
        <v>13</v>
      </c>
      <c r="E228" t="n">
        <v>99</v>
      </c>
      <c r="F228" t="n">
        <v>1</v>
      </c>
      <c r="G228" t="n">
        <v>1</v>
      </c>
      <c r="H228" t="n">
        <v>2</v>
      </c>
      <c r="I228" t="n">
        <v>1</v>
      </c>
    </row>
    <row r="229">
      <c r="A229" t="s">
        <v>43</v>
      </c>
      <c r="B229" t="s">
        <v>38</v>
      </c>
      <c r="C229" s="17" t="n">
        <v>44470</v>
      </c>
      <c r="D229" t="n">
        <v>12</v>
      </c>
      <c r="E229" t="n">
        <v>94</v>
      </c>
      <c r="F229" t="n">
        <v>1</v>
      </c>
      <c r="G229" t="n">
        <v>1</v>
      </c>
      <c r="H229" t="n">
        <v>3</v>
      </c>
      <c r="I229" t="n">
        <v>1.0016077170418</v>
      </c>
    </row>
    <row r="230">
      <c r="A230" t="s">
        <v>43</v>
      </c>
      <c r="B230" t="s">
        <v>38</v>
      </c>
      <c r="C230" s="17" t="n">
        <v>44562</v>
      </c>
      <c r="D230" t="n">
        <v>11</v>
      </c>
      <c r="E230" t="n">
        <v>98</v>
      </c>
      <c r="F230" t="n">
        <v>1</v>
      </c>
      <c r="G230" t="n">
        <v>1</v>
      </c>
      <c r="H230" t="n">
        <v>4</v>
      </c>
      <c r="I230" t="n">
        <v>1.00450856627592</v>
      </c>
    </row>
    <row r="231">
      <c r="A231" t="s">
        <v>43</v>
      </c>
      <c r="B231" t="s">
        <v>38</v>
      </c>
      <c r="C231" s="17" t="n">
        <v>44652</v>
      </c>
      <c r="D231" t="n">
        <v>10</v>
      </c>
      <c r="E231" t="n">
        <v>101</v>
      </c>
      <c r="F231" t="n">
        <v>1</v>
      </c>
      <c r="G231" t="n">
        <v>1</v>
      </c>
      <c r="H231" t="n">
        <v>5</v>
      </c>
      <c r="I231" t="n">
        <v>1.00300601202405</v>
      </c>
    </row>
    <row r="232">
      <c r="A232" t="s">
        <v>43</v>
      </c>
      <c r="B232" t="s">
        <v>38</v>
      </c>
      <c r="C232" s="17" t="n">
        <v>44743</v>
      </c>
      <c r="D232" t="n">
        <v>9</v>
      </c>
      <c r="E232" t="n">
        <v>102</v>
      </c>
      <c r="F232" t="n">
        <v>1</v>
      </c>
      <c r="G232" t="n">
        <v>1</v>
      </c>
      <c r="H232" t="n">
        <v>6</v>
      </c>
      <c r="I232" t="n">
        <v>1</v>
      </c>
    </row>
    <row r="233">
      <c r="A233" t="s">
        <v>43</v>
      </c>
      <c r="B233" t="s">
        <v>38</v>
      </c>
      <c r="C233" s="17" t="n">
        <v>44835</v>
      </c>
      <c r="D233" t="n">
        <v>8</v>
      </c>
      <c r="E233" t="n">
        <v>101</v>
      </c>
      <c r="F233" t="n">
        <v>1</v>
      </c>
      <c r="G233" t="n">
        <v>1</v>
      </c>
      <c r="H233" t="n">
        <v>7</v>
      </c>
      <c r="I233" t="n">
        <v>1</v>
      </c>
    </row>
    <row r="234">
      <c r="A234" t="s">
        <v>43</v>
      </c>
      <c r="B234" t="s">
        <v>38</v>
      </c>
      <c r="C234" s="17" t="n">
        <v>44927</v>
      </c>
      <c r="D234" t="n">
        <v>7</v>
      </c>
      <c r="E234" t="n">
        <v>87</v>
      </c>
      <c r="F234" t="n">
        <v>1</v>
      </c>
      <c r="G234" t="n">
        <v>1</v>
      </c>
      <c r="H234" t="n">
        <v>8</v>
      </c>
      <c r="I234" t="n">
        <v>1</v>
      </c>
    </row>
    <row r="235">
      <c r="A235" t="s">
        <v>43</v>
      </c>
      <c r="B235" t="s">
        <v>38</v>
      </c>
      <c r="C235" s="17" t="n">
        <v>45017</v>
      </c>
      <c r="D235" t="n">
        <v>6</v>
      </c>
      <c r="E235" t="n">
        <v>108</v>
      </c>
      <c r="F235" t="n">
        <v>1</v>
      </c>
      <c r="G235" t="n">
        <v>1</v>
      </c>
      <c r="H235" t="n">
        <v>9</v>
      </c>
      <c r="I235" t="n">
        <v>1</v>
      </c>
    </row>
    <row r="236">
      <c r="A236" t="s">
        <v>43</v>
      </c>
      <c r="B236" t="s">
        <v>38</v>
      </c>
      <c r="C236" s="17" t="n">
        <v>45108</v>
      </c>
      <c r="D236" t="n">
        <v>5</v>
      </c>
      <c r="E236" t="n">
        <v>116</v>
      </c>
      <c r="F236" t="n">
        <v>1.00300601202405</v>
      </c>
      <c r="G236" t="n">
        <v>0.997002997002997</v>
      </c>
      <c r="H236" t="n">
        <v>10</v>
      </c>
      <c r="I236" t="n">
        <v>1</v>
      </c>
    </row>
    <row r="237">
      <c r="A237" t="s">
        <v>43</v>
      </c>
      <c r="B237" t="s">
        <v>38</v>
      </c>
      <c r="C237" s="17" t="n">
        <v>45200</v>
      </c>
      <c r="D237" t="n">
        <v>4</v>
      </c>
      <c r="E237" t="n">
        <v>137</v>
      </c>
      <c r="F237" t="n">
        <v>1.00752813110441</v>
      </c>
      <c r="G237" t="n">
        <v>0.992528118201368</v>
      </c>
      <c r="H237" t="n">
        <v>11</v>
      </c>
      <c r="I237" t="n">
        <v>1</v>
      </c>
    </row>
    <row r="238">
      <c r="A238" t="s">
        <v>43</v>
      </c>
      <c r="B238" t="s">
        <v>38</v>
      </c>
      <c r="C238" s="17" t="n">
        <v>45292</v>
      </c>
      <c r="D238" t="n">
        <v>3</v>
      </c>
      <c r="E238" t="n">
        <v>100</v>
      </c>
      <c r="F238" t="n">
        <v>1.00914795125088</v>
      </c>
      <c r="G238" t="n">
        <v>0.990934975154495</v>
      </c>
      <c r="H238" t="n">
        <v>12</v>
      </c>
      <c r="I238" t="n">
        <v>1</v>
      </c>
    </row>
    <row r="239">
      <c r="A239" t="s">
        <v>43</v>
      </c>
      <c r="B239" t="s">
        <v>38</v>
      </c>
      <c r="C239" s="17" t="n">
        <v>45383</v>
      </c>
      <c r="D239" t="n">
        <v>2</v>
      </c>
      <c r="E239" t="n">
        <v>98</v>
      </c>
      <c r="F239" t="n">
        <v>1.00914795125088</v>
      </c>
      <c r="G239" t="n">
        <v>0.990934975154495</v>
      </c>
      <c r="H239" t="n">
        <v>13</v>
      </c>
      <c r="I239" t="n">
        <v>1</v>
      </c>
    </row>
    <row r="240">
      <c r="A240" t="s">
        <v>43</v>
      </c>
      <c r="B240" t="s">
        <v>38</v>
      </c>
      <c r="C240" s="17" t="n">
        <v>45474</v>
      </c>
      <c r="D240" t="n">
        <v>1</v>
      </c>
      <c r="E240" t="n">
        <v>81</v>
      </c>
      <c r="F240" t="n">
        <v>1.00914795125088</v>
      </c>
      <c r="G240" t="n">
        <v>0.990934975154495</v>
      </c>
      <c r="H240" t="n">
        <v>14</v>
      </c>
      <c r="I240" t="n">
        <v>1</v>
      </c>
    </row>
    <row r="241">
      <c r="A241" t="s">
        <v>43</v>
      </c>
      <c r="B241" t="s">
        <v>38</v>
      </c>
      <c r="C241" s="17" t="n">
        <v>45566</v>
      </c>
      <c r="D241" t="n">
        <v>0</v>
      </c>
      <c r="E241" t="n">
        <v>82</v>
      </c>
      <c r="F241" t="n">
        <v>1.1334309216483</v>
      </c>
      <c r="G241" t="n">
        <v>0.882276970656268</v>
      </c>
      <c r="H241" t="n">
        <v>15</v>
      </c>
      <c r="I241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3.71" hidden="0" customWidth="1"/>
    <col min="2" max="2" width="12.71" hidden="0" customWidth="1"/>
    <col min="3" max="3" width="9.71" hidden="0" customWidth="1"/>
    <col min="4" max="4" width="11.71" hidden="0" customWidth="1"/>
    <col min="5" max="5" width="11.71" hidden="0" customWidth="1"/>
    <col min="6" max="6" width="12.71" hidden="0" customWidth="1"/>
  </cols>
  <sheetData>
    <row r="1">
      <c r="A1" s="16" t="s">
        <v>887</v>
      </c>
      <c r="B1" s="16" t="s">
        <v>888</v>
      </c>
      <c r="C1" s="16" t="s">
        <v>23</v>
      </c>
      <c r="D1" s="16" t="s">
        <v>889</v>
      </c>
      <c r="E1" s="16" t="s">
        <v>890</v>
      </c>
      <c r="F1" s="16" t="s">
        <v>891</v>
      </c>
    </row>
    <row r="2">
      <c r="A2" t="s">
        <v>892</v>
      </c>
      <c r="B2" t="s">
        <v>893</v>
      </c>
      <c r="C2" t="s">
        <v>894</v>
      </c>
      <c r="D2" t="n">
        <v>0.106396618789481</v>
      </c>
      <c r="E2" t="n">
        <v>0.10547752217622</v>
      </c>
      <c r="F2" t="n">
        <v>0.10593707048285</v>
      </c>
    </row>
    <row r="3">
      <c r="A3" t="s">
        <v>892</v>
      </c>
      <c r="B3" t="s">
        <v>893</v>
      </c>
      <c r="C3" t="s">
        <v>36</v>
      </c>
      <c r="D3" t="n">
        <v>0.0710281369794572</v>
      </c>
      <c r="E3" t="n">
        <v>0.0733679012791821</v>
      </c>
      <c r="F3" t="n">
        <v>0.0721980191293196</v>
      </c>
    </row>
    <row r="4">
      <c r="A4" t="s">
        <v>892</v>
      </c>
      <c r="B4" t="s">
        <v>893</v>
      </c>
      <c r="C4" t="s">
        <v>43</v>
      </c>
      <c r="D4" t="n">
        <v>0.0707077660142045</v>
      </c>
      <c r="E4" t="n">
        <v>0.0640503959170323</v>
      </c>
      <c r="F4" t="n">
        <v>0.0673790809656184</v>
      </c>
    </row>
    <row r="5">
      <c r="A5" t="s">
        <v>892</v>
      </c>
      <c r="B5" t="s">
        <v>893</v>
      </c>
      <c r="C5" t="s">
        <v>30</v>
      </c>
      <c r="D5" t="n">
        <v>0.0529660906535098</v>
      </c>
      <c r="E5" t="n">
        <v>0.0554730122549574</v>
      </c>
      <c r="F5" t="n">
        <v>0.0542195514542336</v>
      </c>
    </row>
    <row r="6">
      <c r="A6" t="s">
        <v>892</v>
      </c>
      <c r="B6" t="s">
        <v>895</v>
      </c>
      <c r="C6" t="s">
        <v>894</v>
      </c>
      <c r="D6" t="n">
        <v>0.105555608747258</v>
      </c>
      <c r="E6" t="n">
        <v>0.0973213390764725</v>
      </c>
      <c r="F6" t="n">
        <v>0.101438473911865</v>
      </c>
    </row>
    <row r="7">
      <c r="A7" t="s">
        <v>892</v>
      </c>
      <c r="B7" t="s">
        <v>895</v>
      </c>
      <c r="C7" t="s">
        <v>36</v>
      </c>
      <c r="D7" t="n">
        <v>0.0711851509698789</v>
      </c>
      <c r="E7" t="n">
        <v>0.0747079729342509</v>
      </c>
      <c r="F7" t="n">
        <v>0.0729465619520649</v>
      </c>
    </row>
    <row r="8">
      <c r="A8" t="s">
        <v>892</v>
      </c>
      <c r="B8" t="s">
        <v>895</v>
      </c>
      <c r="C8" t="s">
        <v>43</v>
      </c>
      <c r="D8" t="n">
        <v>0.0707173780332592</v>
      </c>
      <c r="E8" t="n">
        <v>0.0638773590515487</v>
      </c>
      <c r="F8" t="n">
        <v>0.067297368542404</v>
      </c>
    </row>
    <row r="9">
      <c r="A9" t="s">
        <v>892</v>
      </c>
      <c r="B9" t="s">
        <v>895</v>
      </c>
      <c r="C9" t="s">
        <v>30</v>
      </c>
      <c r="D9" t="n">
        <v>0.0524989065055946</v>
      </c>
      <c r="E9" t="n">
        <v>0.0446833233555926</v>
      </c>
      <c r="F9" t="n">
        <v>0.0485911149305936</v>
      </c>
    </row>
    <row r="10">
      <c r="A10" t="s">
        <v>892</v>
      </c>
      <c r="B10" t="s">
        <v>896</v>
      </c>
      <c r="C10" t="s">
        <v>894</v>
      </c>
      <c r="D10" t="n">
        <v>0.104240881381141</v>
      </c>
      <c r="E10" t="n">
        <v>0.0984605201692207</v>
      </c>
      <c r="F10" t="n">
        <v>0.101350700775181</v>
      </c>
    </row>
    <row r="11">
      <c r="A11" t="s">
        <v>892</v>
      </c>
      <c r="B11" t="s">
        <v>896</v>
      </c>
      <c r="C11" t="s">
        <v>36</v>
      </c>
      <c r="D11" t="n">
        <v>0.0711851509698789</v>
      </c>
      <c r="E11" t="n">
        <v>0.0747079729342509</v>
      </c>
      <c r="F11" t="n">
        <v>0.0729465619520649</v>
      </c>
    </row>
    <row r="12">
      <c r="A12" t="s">
        <v>892</v>
      </c>
      <c r="B12" t="s">
        <v>896</v>
      </c>
      <c r="C12" t="s">
        <v>43</v>
      </c>
      <c r="D12" t="n">
        <v>0.0707173780332592</v>
      </c>
      <c r="E12" t="n">
        <v>0.0638773590515487</v>
      </c>
      <c r="F12" t="n">
        <v>0.067297368542404</v>
      </c>
    </row>
    <row r="13">
      <c r="A13" t="s">
        <v>892</v>
      </c>
      <c r="B13" t="s">
        <v>896</v>
      </c>
      <c r="C13" t="s">
        <v>30</v>
      </c>
      <c r="D13" t="n">
        <v>0.0428195828861356</v>
      </c>
      <c r="E13" t="n">
        <v>0.0464048567615777</v>
      </c>
      <c r="F13" t="n">
        <v>0.0446122198238566</v>
      </c>
    </row>
    <row r="14">
      <c r="A14" t="s">
        <v>897</v>
      </c>
      <c r="B14" t="s">
        <v>893</v>
      </c>
      <c r="C14" t="s">
        <v>894</v>
      </c>
      <c r="D14" t="n">
        <v>0.10752214338253</v>
      </c>
      <c r="E14" t="n">
        <v>0.105144496241376</v>
      </c>
      <c r="F14" t="n">
        <v>0.106333319811953</v>
      </c>
    </row>
    <row r="15">
      <c r="A15" t="s">
        <v>897</v>
      </c>
      <c r="B15" t="s">
        <v>893</v>
      </c>
      <c r="C15" t="s">
        <v>36</v>
      </c>
      <c r="D15" t="n">
        <v>0.0723279429367445</v>
      </c>
      <c r="E15" t="n">
        <v>0.072757229507725</v>
      </c>
      <c r="F15" t="n">
        <v>0.0725425862222348</v>
      </c>
    </row>
    <row r="16">
      <c r="A16" t="s">
        <v>897</v>
      </c>
      <c r="B16" t="s">
        <v>893</v>
      </c>
      <c r="C16" t="s">
        <v>43</v>
      </c>
      <c r="D16" t="n">
        <v>0.0720173894272803</v>
      </c>
      <c r="E16" t="n">
        <v>0.0639215055040882</v>
      </c>
      <c r="F16" t="n">
        <v>0.0679694474656843</v>
      </c>
    </row>
    <row r="17">
      <c r="A17" t="s">
        <v>897</v>
      </c>
      <c r="B17" t="s">
        <v>893</v>
      </c>
      <c r="C17" t="s">
        <v>30</v>
      </c>
      <c r="D17" t="n">
        <v>0.0540078433673509</v>
      </c>
      <c r="E17" t="n">
        <v>0.055241920095306</v>
      </c>
      <c r="F17" t="n">
        <v>0.0546248817313284</v>
      </c>
    </row>
    <row r="18">
      <c r="A18" t="s">
        <v>897</v>
      </c>
      <c r="B18" t="s">
        <v>895</v>
      </c>
      <c r="C18" t="s">
        <v>894</v>
      </c>
      <c r="D18" t="n">
        <v>0.10671509545474</v>
      </c>
      <c r="E18" t="n">
        <v>0.0981809997990105</v>
      </c>
      <c r="F18" t="n">
        <v>0.102448047626875</v>
      </c>
    </row>
    <row r="19">
      <c r="A19" t="s">
        <v>897</v>
      </c>
      <c r="B19" t="s">
        <v>895</v>
      </c>
      <c r="C19" t="s">
        <v>36</v>
      </c>
      <c r="D19" t="n">
        <v>0.0724950406867379</v>
      </c>
      <c r="E19" t="n">
        <v>0.0741028181433373</v>
      </c>
      <c r="F19" t="n">
        <v>0.0732989294150376</v>
      </c>
    </row>
    <row r="20">
      <c r="A20" t="s">
        <v>897</v>
      </c>
      <c r="B20" t="s">
        <v>895</v>
      </c>
      <c r="C20" t="s">
        <v>43</v>
      </c>
      <c r="D20" t="n">
        <v>0.0720280972736117</v>
      </c>
      <c r="E20" t="n">
        <v>0.063757918649081</v>
      </c>
      <c r="F20" t="n">
        <v>0.0678930079613463</v>
      </c>
    </row>
    <row r="21">
      <c r="A21" t="s">
        <v>897</v>
      </c>
      <c r="B21" t="s">
        <v>895</v>
      </c>
      <c r="C21" t="s">
        <v>30</v>
      </c>
      <c r="D21" t="n">
        <v>0.0536056716152823</v>
      </c>
      <c r="E21" t="n">
        <v>0.0472620639548173</v>
      </c>
      <c r="F21" t="n">
        <v>0.0504338677850498</v>
      </c>
    </row>
    <row r="22">
      <c r="A22" t="s">
        <v>897</v>
      </c>
      <c r="B22" t="s">
        <v>896</v>
      </c>
      <c r="C22" t="s">
        <v>894</v>
      </c>
      <c r="D22" t="n">
        <v>0.105862056194002</v>
      </c>
      <c r="E22" t="n">
        <v>0.0992436792030845</v>
      </c>
      <c r="F22" t="n">
        <v>0.102552867698543</v>
      </c>
    </row>
    <row r="23">
      <c r="A23" t="s">
        <v>897</v>
      </c>
      <c r="B23" t="s">
        <v>896</v>
      </c>
      <c r="C23" t="s">
        <v>36</v>
      </c>
      <c r="D23" t="n">
        <v>0.0724950406867379</v>
      </c>
      <c r="E23" t="n">
        <v>0.0741028181433373</v>
      </c>
      <c r="F23" t="n">
        <v>0.0732989294150376</v>
      </c>
    </row>
    <row r="24">
      <c r="A24" t="s">
        <v>897</v>
      </c>
      <c r="B24" t="s">
        <v>896</v>
      </c>
      <c r="C24" t="s">
        <v>43</v>
      </c>
      <c r="D24" t="n">
        <v>0.0720280972736117</v>
      </c>
      <c r="E24" t="n">
        <v>0.063757918649081</v>
      </c>
      <c r="F24" t="n">
        <v>0.0678930079613463</v>
      </c>
    </row>
    <row r="25">
      <c r="A25" t="s">
        <v>897</v>
      </c>
      <c r="B25" t="s">
        <v>896</v>
      </c>
      <c r="C25" t="s">
        <v>30</v>
      </c>
      <c r="D25" t="n">
        <v>0.0449556814215463</v>
      </c>
      <c r="E25" t="n">
        <v>0.0487930044797896</v>
      </c>
      <c r="F25" t="n">
        <v>0.0468743429506679</v>
      </c>
    </row>
    <row r="26">
      <c r="A26" t="s">
        <v>898</v>
      </c>
      <c r="B26" t="s">
        <v>893</v>
      </c>
      <c r="C26" t="s">
        <v>894</v>
      </c>
      <c r="D26" t="n">
        <v>0.107973234193486</v>
      </c>
      <c r="E26" t="n">
        <v>0.106019696585726</v>
      </c>
      <c r="F26" t="n">
        <v>0.106996465389606</v>
      </c>
    </row>
    <row r="27">
      <c r="A27" t="s">
        <v>898</v>
      </c>
      <c r="B27" t="s">
        <v>893</v>
      </c>
      <c r="C27" t="s">
        <v>36</v>
      </c>
      <c r="D27" t="n">
        <v>0.0728940602839204</v>
      </c>
      <c r="E27" t="n">
        <v>0.0739727467534327</v>
      </c>
      <c r="F27" t="n">
        <v>0.0734334035186766</v>
      </c>
    </row>
    <row r="28">
      <c r="A28" t="s">
        <v>898</v>
      </c>
      <c r="B28" t="s">
        <v>893</v>
      </c>
      <c r="C28" t="s">
        <v>43</v>
      </c>
      <c r="D28" t="n">
        <v>0.0726085234987575</v>
      </c>
      <c r="E28" t="n">
        <v>0.0647492483482178</v>
      </c>
      <c r="F28" t="n">
        <v>0.0686788859234876</v>
      </c>
    </row>
    <row r="29">
      <c r="A29" t="s">
        <v>898</v>
      </c>
      <c r="B29" t="s">
        <v>893</v>
      </c>
      <c r="C29" t="s">
        <v>30</v>
      </c>
      <c r="D29" t="n">
        <v>0.0543657185759695</v>
      </c>
      <c r="E29" t="n">
        <v>0.0559590145286564</v>
      </c>
      <c r="F29" t="n">
        <v>0.055162366552313</v>
      </c>
    </row>
    <row r="30">
      <c r="A30" t="s">
        <v>898</v>
      </c>
      <c r="B30" t="s">
        <v>895</v>
      </c>
      <c r="C30" t="s">
        <v>894</v>
      </c>
      <c r="D30" t="n">
        <v>0.10715375109816</v>
      </c>
      <c r="E30" t="n">
        <v>0.0987694978551283</v>
      </c>
      <c r="F30" t="n">
        <v>0.102961624476644</v>
      </c>
    </row>
    <row r="31">
      <c r="A31" t="s">
        <v>898</v>
      </c>
      <c r="B31" t="s">
        <v>895</v>
      </c>
      <c r="C31" t="s">
        <v>36</v>
      </c>
      <c r="D31" t="n">
        <v>0.0730528851341192</v>
      </c>
      <c r="E31" t="n">
        <v>0.075285712866631</v>
      </c>
      <c r="F31" t="n">
        <v>0.0741692990003751</v>
      </c>
    </row>
    <row r="32">
      <c r="A32" t="s">
        <v>898</v>
      </c>
      <c r="B32" t="s">
        <v>895</v>
      </c>
      <c r="C32" t="s">
        <v>43</v>
      </c>
      <c r="D32" t="n">
        <v>0.0726184599535591</v>
      </c>
      <c r="E32" t="n">
        <v>0.0645767841196513</v>
      </c>
      <c r="F32" t="n">
        <v>0.0685976220366052</v>
      </c>
    </row>
    <row r="33">
      <c r="A33" t="s">
        <v>898</v>
      </c>
      <c r="B33" t="s">
        <v>895</v>
      </c>
      <c r="C33" t="s">
        <v>30</v>
      </c>
      <c r="D33" t="n">
        <v>0.0539400776027827</v>
      </c>
      <c r="E33" t="n">
        <v>0.0473140745969742</v>
      </c>
      <c r="F33" t="n">
        <v>0.0506270760998784</v>
      </c>
    </row>
    <row r="34">
      <c r="A34" t="s">
        <v>898</v>
      </c>
      <c r="B34" t="s">
        <v>896</v>
      </c>
      <c r="C34" t="s">
        <v>894</v>
      </c>
      <c r="D34" t="n">
        <v>0.106191639532041</v>
      </c>
      <c r="E34" t="n">
        <v>0.0998499217302606</v>
      </c>
      <c r="F34" t="n">
        <v>0.103020780631151</v>
      </c>
    </row>
    <row r="35">
      <c r="A35" t="s">
        <v>898</v>
      </c>
      <c r="B35" t="s">
        <v>896</v>
      </c>
      <c r="C35" t="s">
        <v>36</v>
      </c>
      <c r="D35" t="n">
        <v>0.0730528851341192</v>
      </c>
      <c r="E35" t="n">
        <v>0.075285712866631</v>
      </c>
      <c r="F35" t="n">
        <v>0.0741692990003751</v>
      </c>
    </row>
    <row r="36">
      <c r="A36" t="s">
        <v>898</v>
      </c>
      <c r="B36" t="s">
        <v>896</v>
      </c>
      <c r="C36" t="s">
        <v>43</v>
      </c>
      <c r="D36" t="n">
        <v>0.0726184599535591</v>
      </c>
      <c r="E36" t="n">
        <v>0.0645767841196513</v>
      </c>
      <c r="F36" t="n">
        <v>0.0685976220366052</v>
      </c>
    </row>
    <row r="37">
      <c r="A37" t="s">
        <v>898</v>
      </c>
      <c r="B37" t="s">
        <v>896</v>
      </c>
      <c r="C37" t="s">
        <v>30</v>
      </c>
      <c r="D37" t="n">
        <v>0.045060507667427</v>
      </c>
      <c r="E37" t="n">
        <v>0.0488913647176813</v>
      </c>
      <c r="F37" t="n">
        <v>0.0469759361925541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8.71" hidden="0" customWidth="1"/>
    <col min="4" max="4" width="14.71" hidden="0" customWidth="1"/>
    <col min="5" max="5" width="14.71" hidden="0" customWidth="1"/>
    <col min="6" max="6" width="17.71" hidden="0" customWidth="1"/>
    <col min="7" max="7" width="17.71" hidden="0" customWidth="1"/>
    <col min="8" max="8" width="17.71" hidden="0" customWidth="1"/>
    <col min="9" max="9" width="17.71" hidden="0" customWidth="1"/>
  </cols>
  <sheetData>
    <row r="1">
      <c r="A1" s="16" t="s">
        <v>23</v>
      </c>
      <c r="B1" s="16" t="s">
        <v>24</v>
      </c>
      <c r="C1" s="16" t="s">
        <v>805</v>
      </c>
      <c r="D1" s="16" t="s">
        <v>899</v>
      </c>
      <c r="E1" s="16" t="s">
        <v>900</v>
      </c>
      <c r="F1" s="16" t="s">
        <v>901</v>
      </c>
      <c r="G1" s="16" t="s">
        <v>902</v>
      </c>
      <c r="H1" s="16" t="s">
        <v>903</v>
      </c>
      <c r="I1" s="16" t="s">
        <v>904</v>
      </c>
    </row>
    <row r="2">
      <c r="A2" t="s">
        <v>36</v>
      </c>
      <c r="B2" t="s">
        <v>42</v>
      </c>
      <c r="C2" t="s">
        <v>807</v>
      </c>
      <c r="D2" t="n">
        <v>0.144014571161861</v>
      </c>
      <c r="E2" t="n">
        <v>0.134848665963734</v>
      </c>
      <c r="F2" t="n">
        <v>0.144001223551572</v>
      </c>
      <c r="G2" t="n">
        <v>0.134970642281789</v>
      </c>
      <c r="H2" t="n">
        <v>0.144001223551572</v>
      </c>
      <c r="I2" t="n">
        <v>0.134970642281789</v>
      </c>
    </row>
    <row r="3">
      <c r="A3" t="s">
        <v>36</v>
      </c>
      <c r="B3" t="s">
        <v>42</v>
      </c>
      <c r="C3" t="s">
        <v>809</v>
      </c>
      <c r="D3" t="n">
        <v>0.138918626436314</v>
      </c>
      <c r="E3" t="n">
        <v>0.128829090279786</v>
      </c>
      <c r="F3" t="n">
        <v>0.138907654734597</v>
      </c>
      <c r="G3" t="n">
        <v>0.128977346288538</v>
      </c>
      <c r="H3" t="n">
        <v>0.138907654734597</v>
      </c>
      <c r="I3" t="n">
        <v>0.128977346288538</v>
      </c>
    </row>
    <row r="4">
      <c r="A4" t="s">
        <v>36</v>
      </c>
      <c r="B4" t="s">
        <v>39</v>
      </c>
      <c r="C4" t="s">
        <v>807</v>
      </c>
      <c r="D4" t="n">
        <v>0.0349144418271651</v>
      </c>
      <c r="E4" t="n">
        <v>0.0469442366971509</v>
      </c>
      <c r="F4" t="n">
        <v>0.0349331219198844</v>
      </c>
      <c r="G4" t="n">
        <v>0.0467864230835055</v>
      </c>
      <c r="H4" t="n">
        <v>0.0349331219198844</v>
      </c>
      <c r="I4" t="n">
        <v>0.0467864230835055</v>
      </c>
    </row>
    <row r="5">
      <c r="A5" t="s">
        <v>36</v>
      </c>
      <c r="B5" t="s">
        <v>39</v>
      </c>
      <c r="C5" t="s">
        <v>809</v>
      </c>
      <c r="D5" t="n">
        <v>0.0293389244051963</v>
      </c>
      <c r="E5" t="n">
        <v>0.0457888005009168</v>
      </c>
      <c r="F5" t="n">
        <v>0.0293722517028211</v>
      </c>
      <c r="G5" t="n">
        <v>0.0456955792214603</v>
      </c>
      <c r="H5" t="n">
        <v>0.0293722517028211</v>
      </c>
      <c r="I5" t="n">
        <v>0.0456955792214603</v>
      </c>
    </row>
    <row r="6">
      <c r="A6" t="s">
        <v>36</v>
      </c>
      <c r="B6" t="s">
        <v>41</v>
      </c>
      <c r="C6" t="s">
        <v>807</v>
      </c>
      <c r="D6" t="n">
        <v>0.0156036797598228</v>
      </c>
      <c r="E6" t="n">
        <v>0.0310052977618108</v>
      </c>
      <c r="F6" t="n">
        <v>0.0156029181231891</v>
      </c>
      <c r="G6" t="n">
        <v>0.0310589894289336</v>
      </c>
      <c r="H6" t="n">
        <v>0.0156029181231891</v>
      </c>
      <c r="I6" t="n">
        <v>0.0310589894289336</v>
      </c>
    </row>
    <row r="7">
      <c r="A7" t="s">
        <v>36</v>
      </c>
      <c r="B7" t="s">
        <v>41</v>
      </c>
      <c r="C7" t="s">
        <v>809</v>
      </c>
      <c r="D7" t="n">
        <v>0.0247289589555053</v>
      </c>
      <c r="E7" t="n">
        <v>0.0275987875894972</v>
      </c>
      <c r="F7" t="n">
        <v>0.0247323088970786</v>
      </c>
      <c r="G7" t="n">
        <v>0.0276791613627878</v>
      </c>
      <c r="H7" t="n">
        <v>0.0247323088970786</v>
      </c>
      <c r="I7" t="n">
        <v>0.0276791613627878</v>
      </c>
    </row>
    <row r="8">
      <c r="A8" t="s">
        <v>36</v>
      </c>
      <c r="B8" t="s">
        <v>38</v>
      </c>
      <c r="C8" t="s">
        <v>807</v>
      </c>
      <c r="D8" t="n">
        <v>0.47371480385357</v>
      </c>
      <c r="E8" t="n">
        <v>0.438065495864981</v>
      </c>
      <c r="F8" t="n">
        <v>0.47372595597145</v>
      </c>
      <c r="G8" t="n">
        <v>0.438004307678569</v>
      </c>
      <c r="H8" t="n">
        <v>0.47372595597145</v>
      </c>
      <c r="I8" t="n">
        <v>0.438004307678569</v>
      </c>
    </row>
    <row r="9">
      <c r="A9" t="s">
        <v>36</v>
      </c>
      <c r="B9" t="s">
        <v>38</v>
      </c>
      <c r="C9" t="s">
        <v>809</v>
      </c>
      <c r="D9" t="n">
        <v>0.458313763516924</v>
      </c>
      <c r="E9" t="n">
        <v>0.428667931426261</v>
      </c>
      <c r="F9" t="n">
        <v>0.458329171222403</v>
      </c>
      <c r="G9" t="n">
        <v>0.428717524817863</v>
      </c>
      <c r="H9" t="n">
        <v>0.458329171222403</v>
      </c>
      <c r="I9" t="n">
        <v>0.428717524817863</v>
      </c>
    </row>
    <row r="10">
      <c r="A10" t="s">
        <v>36</v>
      </c>
      <c r="B10" t="s">
        <v>37</v>
      </c>
      <c r="C10" t="s">
        <v>807</v>
      </c>
      <c r="D10" t="n">
        <v>0.0522483482471308</v>
      </c>
      <c r="E10" t="n">
        <v>0.0638490707713443</v>
      </c>
      <c r="F10" t="n">
        <v>0.0522814508933929</v>
      </c>
      <c r="G10" t="n">
        <v>0.0633072945109656</v>
      </c>
      <c r="H10" t="n">
        <v>0.0522814508933929</v>
      </c>
      <c r="I10" t="n">
        <v>0.0633072945109656</v>
      </c>
    </row>
    <row r="11">
      <c r="A11" t="s">
        <v>36</v>
      </c>
      <c r="B11" t="s">
        <v>37</v>
      </c>
      <c r="C11" t="s">
        <v>809</v>
      </c>
      <c r="D11" t="n">
        <v>0.0520125704494533</v>
      </c>
      <c r="E11" t="n">
        <v>0.06473591335387</v>
      </c>
      <c r="F11" t="n">
        <v>0.0520409063816777</v>
      </c>
      <c r="G11" t="n">
        <v>0.0643737364879852</v>
      </c>
      <c r="H11" t="n">
        <v>0.0520409063816777</v>
      </c>
      <c r="I11" t="n">
        <v>0.0643737364879852</v>
      </c>
    </row>
    <row r="12">
      <c r="A12" t="s">
        <v>36</v>
      </c>
      <c r="B12" t="s">
        <v>40</v>
      </c>
      <c r="C12" t="s">
        <v>807</v>
      </c>
      <c r="D12" t="n">
        <v>0.0665214269076533</v>
      </c>
      <c r="E12" t="n">
        <v>0.0761072323851284</v>
      </c>
      <c r="F12" t="n">
        <v>0.0668489320813447</v>
      </c>
      <c r="G12" t="n">
        <v>0.0727146787248169</v>
      </c>
      <c r="H12" t="n">
        <v>0.0668489320813447</v>
      </c>
      <c r="I12" t="n">
        <v>0.0727146787248169</v>
      </c>
    </row>
    <row r="13">
      <c r="A13" t="s">
        <v>36</v>
      </c>
      <c r="B13" t="s">
        <v>40</v>
      </c>
      <c r="C13" t="s">
        <v>809</v>
      </c>
      <c r="D13" t="n">
        <v>0.0626583339594039</v>
      </c>
      <c r="E13" t="n">
        <v>0.0755723615383199</v>
      </c>
      <c r="F13" t="n">
        <v>0.0628588704470896</v>
      </c>
      <c r="G13" t="n">
        <v>0.0711187716222381</v>
      </c>
      <c r="H13" t="n">
        <v>0.0628588704470896</v>
      </c>
      <c r="I13" t="n">
        <v>0.0711187716222381</v>
      </c>
    </row>
    <row r="14">
      <c r="A14" t="s">
        <v>43</v>
      </c>
      <c r="B14" t="s">
        <v>42</v>
      </c>
      <c r="C14" t="s">
        <v>807</v>
      </c>
      <c r="D14" t="n">
        <v>0.144263292002172</v>
      </c>
      <c r="E14" t="n">
        <v>0.142481881438175</v>
      </c>
      <c r="F14" t="n">
        <v>0.144267313566459</v>
      </c>
      <c r="G14" t="n">
        <v>0.142386465606176</v>
      </c>
      <c r="H14" t="n">
        <v>0.144267313566459</v>
      </c>
      <c r="I14" t="n">
        <v>0.142386465606176</v>
      </c>
    </row>
    <row r="15">
      <c r="A15" t="s">
        <v>43</v>
      </c>
      <c r="B15" t="s">
        <v>42</v>
      </c>
      <c r="C15" t="s">
        <v>809</v>
      </c>
      <c r="D15" t="n">
        <v>0.14131606039517</v>
      </c>
      <c r="E15" t="n">
        <v>0.140357469762048</v>
      </c>
      <c r="F15" t="n">
        <v>0.141319254765598</v>
      </c>
      <c r="G15" t="n">
        <v>0.140260491541898</v>
      </c>
      <c r="H15" t="n">
        <v>0.141319254765598</v>
      </c>
      <c r="I15" t="n">
        <v>0.140260491541898</v>
      </c>
    </row>
    <row r="16">
      <c r="A16" t="s">
        <v>43</v>
      </c>
      <c r="B16" t="s">
        <v>39</v>
      </c>
      <c r="C16" t="s">
        <v>807</v>
      </c>
      <c r="D16" t="n">
        <v>0.0276578467043195</v>
      </c>
      <c r="E16" t="n">
        <v>0.0425689108662479</v>
      </c>
      <c r="F16" t="n">
        <v>0.0276663732108761</v>
      </c>
      <c r="G16" t="n">
        <v>0.042274006518313</v>
      </c>
      <c r="H16" t="n">
        <v>0.0276663732108761</v>
      </c>
      <c r="I16" t="n">
        <v>0.042274006518313</v>
      </c>
    </row>
    <row r="17">
      <c r="A17" t="s">
        <v>43</v>
      </c>
      <c r="B17" t="s">
        <v>39</v>
      </c>
      <c r="C17" t="s">
        <v>809</v>
      </c>
      <c r="D17" t="n">
        <v>0.0270221838625575</v>
      </c>
      <c r="E17" t="n">
        <v>0.0440931285831369</v>
      </c>
      <c r="F17" t="n">
        <v>0.0270511628115899</v>
      </c>
      <c r="G17" t="n">
        <v>0.0438043519254642</v>
      </c>
      <c r="H17" t="n">
        <v>0.0270511628115899</v>
      </c>
      <c r="I17" t="n">
        <v>0.0438043519254642</v>
      </c>
    </row>
    <row r="18">
      <c r="A18" t="s">
        <v>43</v>
      </c>
      <c r="B18" t="s">
        <v>38</v>
      </c>
      <c r="C18" t="s">
        <v>807</v>
      </c>
      <c r="D18" t="n">
        <v>0.476447133569555</v>
      </c>
      <c r="E18" t="n">
        <v>0.394620186671911</v>
      </c>
      <c r="F18" t="n">
        <v>0.476526159360796</v>
      </c>
      <c r="G18" t="n">
        <v>0.394756564856157</v>
      </c>
      <c r="H18" t="n">
        <v>0.476526159360796</v>
      </c>
      <c r="I18" t="n">
        <v>0.394756564856157</v>
      </c>
    </row>
    <row r="19">
      <c r="A19" t="s">
        <v>43</v>
      </c>
      <c r="B19" t="s">
        <v>38</v>
      </c>
      <c r="C19" t="s">
        <v>809</v>
      </c>
      <c r="D19" t="n">
        <v>0.469542661292386</v>
      </c>
      <c r="E19" t="n">
        <v>0.286401113440621</v>
      </c>
      <c r="F19" t="n">
        <v>0.469586652624277</v>
      </c>
      <c r="G19" t="n">
        <v>0.287219165760123</v>
      </c>
      <c r="H19" t="n">
        <v>0.469586652624277</v>
      </c>
      <c r="I19" t="n">
        <v>0.287219165760123</v>
      </c>
    </row>
    <row r="20">
      <c r="A20" t="s">
        <v>43</v>
      </c>
      <c r="B20" t="s">
        <v>34</v>
      </c>
      <c r="C20" t="s">
        <v>807</v>
      </c>
      <c r="D20" t="n">
        <v>0.0352940428613541</v>
      </c>
      <c r="E20" t="n">
        <v>0.0339682935469018</v>
      </c>
      <c r="F20" t="n">
        <v>0.0353022490744466</v>
      </c>
      <c r="G20" t="n">
        <v>0.0340302288433485</v>
      </c>
      <c r="H20" t="n">
        <v>0.0353022490744466</v>
      </c>
      <c r="I20" t="n">
        <v>0.0340302288433485</v>
      </c>
    </row>
    <row r="21">
      <c r="A21" t="s">
        <v>43</v>
      </c>
      <c r="B21" t="s">
        <v>34</v>
      </c>
      <c r="C21" t="s">
        <v>809</v>
      </c>
      <c r="D21" t="n">
        <v>0.0298539419384652</v>
      </c>
      <c r="E21" t="n">
        <v>0.0289006654706925</v>
      </c>
      <c r="F21" t="n">
        <v>0.0298655776627024</v>
      </c>
      <c r="G21" t="n">
        <v>0.0289905224114125</v>
      </c>
      <c r="H21" t="n">
        <v>0.0298655776627024</v>
      </c>
      <c r="I21" t="n">
        <v>0.0289905224114125</v>
      </c>
    </row>
    <row r="22">
      <c r="A22" t="s">
        <v>30</v>
      </c>
      <c r="B22" t="s">
        <v>33</v>
      </c>
      <c r="C22" t="s">
        <v>807</v>
      </c>
      <c r="D22" t="n">
        <v>0.0566364982314043</v>
      </c>
      <c r="E22" t="n">
        <v>0.0442607238408614</v>
      </c>
      <c r="F22" t="n">
        <v>0.0544583263546641</v>
      </c>
      <c r="G22" t="n">
        <v>-0.0102001689201396</v>
      </c>
      <c r="H22" t="n">
        <v>0.0656941059881936</v>
      </c>
      <c r="I22" t="n">
        <v>-0.0102001689201396</v>
      </c>
    </row>
    <row r="23">
      <c r="A23" t="s">
        <v>30</v>
      </c>
      <c r="B23" t="s">
        <v>33</v>
      </c>
      <c r="C23" t="s">
        <v>809</v>
      </c>
      <c r="D23" t="n">
        <v>0.0505403482020833</v>
      </c>
      <c r="E23" t="n">
        <v>0.0498041018093015</v>
      </c>
      <c r="F23" t="n">
        <v>0.0481280658904594</v>
      </c>
      <c r="G23" t="n">
        <v>0.00228539474505529</v>
      </c>
      <c r="H23" t="n">
        <v>0.0587613356748082</v>
      </c>
      <c r="I23" t="n">
        <v>0.00228539474505529</v>
      </c>
    </row>
    <row r="24">
      <c r="A24" t="s">
        <v>30</v>
      </c>
      <c r="B24" t="s">
        <v>35</v>
      </c>
      <c r="C24" t="s">
        <v>807</v>
      </c>
      <c r="D24" t="n">
        <v>0.138956689885141</v>
      </c>
      <c r="E24" t="n">
        <v>0.136834326144927</v>
      </c>
      <c r="F24" t="n">
        <v>0.138961563737101</v>
      </c>
      <c r="G24" t="n">
        <v>0.136668185869873</v>
      </c>
      <c r="H24" t="n">
        <v>0.138961563737101</v>
      </c>
      <c r="I24" t="n">
        <v>0.136668185869873</v>
      </c>
    </row>
    <row r="25">
      <c r="A25" t="s">
        <v>30</v>
      </c>
      <c r="B25" t="s">
        <v>35</v>
      </c>
      <c r="C25" t="s">
        <v>809</v>
      </c>
      <c r="D25" t="n">
        <v>0.138633497726575</v>
      </c>
      <c r="E25" t="n">
        <v>0.134657115565408</v>
      </c>
      <c r="F25" t="n">
        <v>0.13864319921321</v>
      </c>
      <c r="G25" t="n">
        <v>0.134510566870069</v>
      </c>
      <c r="H25" t="n">
        <v>0.13864319921321</v>
      </c>
      <c r="I25" t="n">
        <v>0.134510566870069</v>
      </c>
    </row>
    <row r="26">
      <c r="A26" t="s">
        <v>30</v>
      </c>
      <c r="B26" t="s">
        <v>31</v>
      </c>
      <c r="C26" t="s">
        <v>807</v>
      </c>
      <c r="D26" t="n">
        <v>0.161508650007279</v>
      </c>
      <c r="E26" t="n">
        <v>0.168184189798204</v>
      </c>
      <c r="F26" t="n">
        <v>0.161485585486535</v>
      </c>
      <c r="G26" t="n">
        <v>0.167891872653024</v>
      </c>
      <c r="H26" t="n">
        <v>0.161434576609026</v>
      </c>
      <c r="I26" t="n">
        <v>0.167995121506303</v>
      </c>
    </row>
    <row r="27">
      <c r="A27" t="s">
        <v>30</v>
      </c>
      <c r="B27" t="s">
        <v>31</v>
      </c>
      <c r="C27" t="s">
        <v>809</v>
      </c>
      <c r="D27" t="n">
        <v>0.164211027806461</v>
      </c>
      <c r="E27" t="n">
        <v>0.172808355876911</v>
      </c>
      <c r="F27" t="n">
        <v>0.164190341035946</v>
      </c>
      <c r="G27" t="n">
        <v>0.172538043699423</v>
      </c>
      <c r="H27" t="n">
        <v>0.163770776367688</v>
      </c>
      <c r="I27" t="n">
        <v>0.173269337894218</v>
      </c>
    </row>
    <row r="28">
      <c r="A28" t="s">
        <v>30</v>
      </c>
      <c r="B28" t="s">
        <v>34</v>
      </c>
      <c r="C28" t="s">
        <v>807</v>
      </c>
      <c r="D28" t="n">
        <v>0.0717204891714677</v>
      </c>
      <c r="E28" t="n">
        <v>0.0844684377955558</v>
      </c>
      <c r="F28" t="n">
        <v>0.0717316462138253</v>
      </c>
      <c r="G28" t="n">
        <v>0.0844481163203895</v>
      </c>
      <c r="H28" t="n">
        <v>0.0717271547760412</v>
      </c>
      <c r="I28" t="n">
        <v>0.0846745890307358</v>
      </c>
    </row>
    <row r="29">
      <c r="A29" t="s">
        <v>30</v>
      </c>
      <c r="B29" t="s">
        <v>34</v>
      </c>
      <c r="C29" t="s">
        <v>809</v>
      </c>
      <c r="D29" t="n">
        <v>0.0613116374448638</v>
      </c>
      <c r="E29" t="n">
        <v>0.077458579933216</v>
      </c>
      <c r="F29" t="n">
        <v>0.0613309698740875</v>
      </c>
      <c r="G29" t="n">
        <v>0.0774449222565352</v>
      </c>
      <c r="H29" t="n">
        <v>0.061331663794352</v>
      </c>
      <c r="I29" t="n">
        <v>0.0776957229836897</v>
      </c>
    </row>
    <row r="30">
      <c r="A30" t="s">
        <v>30</v>
      </c>
      <c r="B30" t="s">
        <v>32</v>
      </c>
      <c r="C30" t="s">
        <v>807</v>
      </c>
      <c r="D30" t="n">
        <v>0.0627250353040783</v>
      </c>
      <c r="E30" t="n">
        <v>0.052519119822567</v>
      </c>
      <c r="F30" t="n">
        <v>0.062695798575038</v>
      </c>
      <c r="G30" t="n">
        <v>0.0523351871333259</v>
      </c>
      <c r="H30" t="n">
        <v>0.062695798575038</v>
      </c>
      <c r="I30" t="n">
        <v>0.0523351871333259</v>
      </c>
    </row>
    <row r="31">
      <c r="A31" t="s">
        <v>30</v>
      </c>
      <c r="B31" t="s">
        <v>32</v>
      </c>
      <c r="C31" t="s">
        <v>809</v>
      </c>
      <c r="D31" t="n">
        <v>0.0599397972675791</v>
      </c>
      <c r="E31" t="n">
        <v>0.050965939934286</v>
      </c>
      <c r="F31" t="n">
        <v>0.0599082115419929</v>
      </c>
      <c r="G31" t="n">
        <v>0.0508094763661475</v>
      </c>
      <c r="H31" t="n">
        <v>0.0599082115419929</v>
      </c>
      <c r="I31" t="n">
        <v>0.0508094763661475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4.71" hidden="0" customWidth="1"/>
    <col min="3" max="3" width="12.71" hidden="0" customWidth="1"/>
    <col min="4" max="4" width="11.71" hidden="0" customWidth="1"/>
    <col min="5" max="5" width="11.71" hidden="0" customWidth="1"/>
    <col min="6" max="6" width="11.71" hidden="0" customWidth="1"/>
    <col min="7" max="7" width="25.71" hidden="0" customWidth="1"/>
    <col min="8" max="8" width="112.71" hidden="0" customWidth="1"/>
  </cols>
  <sheetData>
    <row r="1">
      <c r="A1" s="16" t="s">
        <v>23</v>
      </c>
      <c r="B1" s="16" t="s">
        <v>905</v>
      </c>
      <c r="C1" s="16" t="s">
        <v>906</v>
      </c>
      <c r="D1" s="16" t="s">
        <v>907</v>
      </c>
      <c r="E1" s="16" t="s">
        <v>908</v>
      </c>
      <c r="F1" s="16" t="s">
        <v>909</v>
      </c>
      <c r="G1" s="16" t="s">
        <v>910</v>
      </c>
      <c r="H1" s="16" t="s">
        <v>911</v>
      </c>
    </row>
    <row r="2">
      <c r="A2" t="s">
        <v>30</v>
      </c>
      <c r="B2" t="n">
        <v>0.8</v>
      </c>
      <c r="C2" t="n">
        <v>0.2</v>
      </c>
      <c r="D2" t="n">
        <v>0.046874342950668</v>
      </c>
      <c r="E2" t="n">
        <v>0.0446122198238567</v>
      </c>
      <c r="F2" t="n">
        <v>0.0469759361925541</v>
      </c>
      <c r="G2" t="s">
        <v>912</v>
      </c>
      <c r="H2" t="s">
        <v>913</v>
      </c>
    </row>
    <row r="3">
      <c r="A3" t="s">
        <v>36</v>
      </c>
      <c r="B3" t="n">
        <v>0.5</v>
      </c>
      <c r="C3" t="n">
        <v>0.5</v>
      </c>
      <c r="D3" t="n">
        <v>0.0732989294150376</v>
      </c>
      <c r="E3" t="n">
        <v>0.0729465619520649</v>
      </c>
      <c r="F3" t="n">
        <v>0.0741692990003751</v>
      </c>
      <c r="G3" t="s">
        <v>914</v>
      </c>
      <c r="H3" t="s">
        <v>913</v>
      </c>
    </row>
    <row r="4">
      <c r="A4" t="s">
        <v>43</v>
      </c>
      <c r="B4" t="n">
        <v>0.6</v>
      </c>
      <c r="C4" t="n">
        <v>0.4</v>
      </c>
      <c r="D4" t="n">
        <v>0.0678930079613464</v>
      </c>
      <c r="E4" t="n">
        <v>0.0672973685424039</v>
      </c>
      <c r="F4" t="n">
        <v>0.0685976220366052</v>
      </c>
      <c r="G4" t="s">
        <v>915</v>
      </c>
      <c r="H4" t="s">
        <v>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9.71" hidden="0" customWidth="1"/>
    <col min="3" max="3" width="17.71" hidden="0" customWidth="1"/>
    <col min="4" max="4" width="8.71" hidden="0" customWidth="1"/>
    <col min="5" max="5" width="15.71" hidden="0" customWidth="1"/>
    <col min="6" max="6" width="14.71" hidden="0" customWidth="1"/>
  </cols>
  <sheetData>
    <row r="1">
      <c r="A1" s="16" t="s">
        <v>916</v>
      </c>
      <c r="B1" s="16" t="s">
        <v>23</v>
      </c>
      <c r="C1" s="16" t="s">
        <v>24</v>
      </c>
      <c r="D1" s="16" t="s">
        <v>805</v>
      </c>
      <c r="E1" s="16" t="s">
        <v>917</v>
      </c>
      <c r="F1" s="16" t="s">
        <v>918</v>
      </c>
    </row>
    <row r="2">
      <c r="A2" t="s">
        <v>919</v>
      </c>
      <c r="B2" t="s">
        <v>30</v>
      </c>
      <c r="C2" t="s">
        <v>31</v>
      </c>
      <c r="D2" t="s">
        <v>807</v>
      </c>
      <c r="E2" t="n">
        <v>22005599.4057114</v>
      </c>
      <c r="F2" t="n">
        <v>110.037030616546</v>
      </c>
    </row>
    <row r="3">
      <c r="A3" t="s">
        <v>919</v>
      </c>
      <c r="B3" t="s">
        <v>30</v>
      </c>
      <c r="C3" t="s">
        <v>32</v>
      </c>
      <c r="D3" t="s">
        <v>807</v>
      </c>
      <c r="E3" t="n">
        <v>35888573.6845725</v>
      </c>
      <c r="F3" t="n">
        <v>179.457601154392</v>
      </c>
    </row>
    <row r="4">
      <c r="A4" t="s">
        <v>919</v>
      </c>
      <c r="B4" t="s">
        <v>30</v>
      </c>
      <c r="C4" t="s">
        <v>33</v>
      </c>
      <c r="D4" t="s">
        <v>809</v>
      </c>
      <c r="E4" t="n">
        <v>40056646.4683972</v>
      </c>
      <c r="F4" t="n">
        <v>200.299676122214</v>
      </c>
    </row>
    <row r="5">
      <c r="A5" t="s">
        <v>919</v>
      </c>
      <c r="B5" t="s">
        <v>30</v>
      </c>
      <c r="C5" t="s">
        <v>34</v>
      </c>
      <c r="D5" t="s">
        <v>807</v>
      </c>
      <c r="E5" t="n">
        <v>9791964.89290826</v>
      </c>
      <c r="F5" t="n">
        <v>48.9638441949206</v>
      </c>
    </row>
    <row r="6">
      <c r="A6" t="s">
        <v>919</v>
      </c>
      <c r="B6" t="s">
        <v>30</v>
      </c>
      <c r="C6" t="s">
        <v>35</v>
      </c>
      <c r="D6" t="s">
        <v>807</v>
      </c>
      <c r="E6" t="n">
        <v>4994094.68087348</v>
      </c>
      <c r="F6" t="n">
        <v>24.9725235459197</v>
      </c>
    </row>
    <row r="7">
      <c r="A7" t="s">
        <v>919</v>
      </c>
      <c r="B7" t="s">
        <v>36</v>
      </c>
      <c r="C7" t="s">
        <v>37</v>
      </c>
      <c r="D7" t="s">
        <v>807</v>
      </c>
      <c r="E7" t="n">
        <v>9033794.02621294</v>
      </c>
      <c r="F7" t="n">
        <v>60.1275245059068</v>
      </c>
    </row>
    <row r="8">
      <c r="A8" t="s">
        <v>919</v>
      </c>
      <c r="B8" t="s">
        <v>36</v>
      </c>
      <c r="C8" t="s">
        <v>38</v>
      </c>
      <c r="D8" t="s">
        <v>807</v>
      </c>
      <c r="E8" t="n">
        <v>19951488.1902949</v>
      </c>
      <c r="F8" t="n">
        <v>132.793994595221</v>
      </c>
    </row>
    <row r="9">
      <c r="A9" t="s">
        <v>919</v>
      </c>
      <c r="B9" t="s">
        <v>36</v>
      </c>
      <c r="C9" t="s">
        <v>39</v>
      </c>
      <c r="D9" t="s">
        <v>807</v>
      </c>
      <c r="E9" t="n">
        <v>18971445.3470986</v>
      </c>
      <c r="F9" t="n">
        <v>126.270982237387</v>
      </c>
    </row>
    <row r="10">
      <c r="A10" t="s">
        <v>919</v>
      </c>
      <c r="B10" t="s">
        <v>36</v>
      </c>
      <c r="C10" t="s">
        <v>40</v>
      </c>
      <c r="D10" t="s">
        <v>807</v>
      </c>
      <c r="E10" t="n">
        <v>9155904.92712094</v>
      </c>
      <c r="F10" t="n">
        <v>60.9402756230431</v>
      </c>
    </row>
    <row r="11">
      <c r="A11" t="s">
        <v>919</v>
      </c>
      <c r="B11" t="s">
        <v>36</v>
      </c>
      <c r="C11" t="s">
        <v>41</v>
      </c>
      <c r="D11" t="s">
        <v>807</v>
      </c>
      <c r="E11" t="n">
        <v>14982750.8340224</v>
      </c>
      <c r="F11" t="n">
        <v>99.7228534682711</v>
      </c>
    </row>
    <row r="12">
      <c r="A12" t="s">
        <v>919</v>
      </c>
      <c r="B12" t="s">
        <v>36</v>
      </c>
      <c r="C12" t="s">
        <v>42</v>
      </c>
      <c r="D12" t="s">
        <v>807</v>
      </c>
      <c r="E12" t="n">
        <v>1298444.0396551</v>
      </c>
      <c r="F12" t="n">
        <v>8.64224107693537</v>
      </c>
    </row>
    <row r="13">
      <c r="A13" t="s">
        <v>919</v>
      </c>
      <c r="B13" t="s">
        <v>43</v>
      </c>
      <c r="C13" t="s">
        <v>34</v>
      </c>
      <c r="D13" t="s">
        <v>807</v>
      </c>
      <c r="E13" t="n">
        <v>8260076.58132306</v>
      </c>
      <c r="F13" t="n">
        <v>55.0217769568376</v>
      </c>
    </row>
    <row r="14">
      <c r="A14" t="s">
        <v>919</v>
      </c>
      <c r="B14" t="s">
        <v>43</v>
      </c>
      <c r="C14" t="s">
        <v>39</v>
      </c>
      <c r="D14" t="s">
        <v>809</v>
      </c>
      <c r="E14" t="n">
        <v>4089985.79557462</v>
      </c>
      <c r="F14" t="n">
        <v>27.2440919869408</v>
      </c>
    </row>
    <row r="15">
      <c r="A15" t="s">
        <v>919</v>
      </c>
      <c r="B15" t="s">
        <v>43</v>
      </c>
      <c r="C15" t="s">
        <v>42</v>
      </c>
      <c r="D15" t="s">
        <v>807</v>
      </c>
      <c r="E15" t="n">
        <v>2005420.27686063</v>
      </c>
      <c r="F15" t="n">
        <v>13.3584460255054</v>
      </c>
    </row>
    <row r="16">
      <c r="A16" t="s">
        <v>919</v>
      </c>
      <c r="B16" t="s">
        <v>43</v>
      </c>
      <c r="C16" t="s">
        <v>38</v>
      </c>
      <c r="D16" t="s">
        <v>807</v>
      </c>
      <c r="E16" t="n">
        <v>4613941.90023018</v>
      </c>
      <c r="F16" t="n">
        <v>30.7342528397732</v>
      </c>
    </row>
    <row r="17">
      <c r="A17" t="s">
        <v>920</v>
      </c>
      <c r="B17" t="s">
        <v>30</v>
      </c>
      <c r="C17" t="s">
        <v>844</v>
      </c>
      <c r="D17" t="s">
        <v>84</v>
      </c>
      <c r="E17" t="n">
        <v>112736879.13246</v>
      </c>
      <c r="F17" t="n">
        <v>563.730675633978</v>
      </c>
    </row>
    <row r="18">
      <c r="A18" t="s">
        <v>920</v>
      </c>
      <c r="B18" t="s">
        <v>36</v>
      </c>
      <c r="C18" t="s">
        <v>844</v>
      </c>
      <c r="D18" t="s">
        <v>84</v>
      </c>
      <c r="E18" t="n">
        <v>73393827.3644046</v>
      </c>
      <c r="F18" t="n">
        <v>488.497871506763</v>
      </c>
    </row>
    <row r="19">
      <c r="A19" t="s">
        <v>920</v>
      </c>
      <c r="B19" t="s">
        <v>43</v>
      </c>
      <c r="C19" t="s">
        <v>844</v>
      </c>
      <c r="D19" t="s">
        <v>84</v>
      </c>
      <c r="E19" t="n">
        <v>18969424.5539879</v>
      </c>
      <c r="F19" t="n">
        <v>126.358567809053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13.71" hidden="0" customWidth="1"/>
    <col min="4" max="4" width="12.71" hidden="0" customWidth="1"/>
    <col min="5" max="5" width="12.71" hidden="0" customWidth="1"/>
  </cols>
  <sheetData>
    <row r="1">
      <c r="A1" s="16" t="s">
        <v>23</v>
      </c>
      <c r="B1" s="16" t="s">
        <v>24</v>
      </c>
      <c r="C1" s="16" t="s">
        <v>921</v>
      </c>
      <c r="D1" s="16" t="s">
        <v>922</v>
      </c>
      <c r="E1" s="16" t="s">
        <v>923</v>
      </c>
    </row>
    <row r="2">
      <c r="A2" t="s">
        <v>30</v>
      </c>
      <c r="B2" t="s">
        <v>31</v>
      </c>
      <c r="C2" t="n">
        <v>38</v>
      </c>
      <c r="D2" t="n">
        <v>11</v>
      </c>
      <c r="E2" t="n">
        <v>39</v>
      </c>
    </row>
    <row r="3">
      <c r="A3" t="s">
        <v>30</v>
      </c>
      <c r="B3" t="s">
        <v>32</v>
      </c>
      <c r="C3" t="n">
        <v>31</v>
      </c>
      <c r="D3" t="n">
        <v>6</v>
      </c>
      <c r="E3" t="n">
        <v>31</v>
      </c>
    </row>
    <row r="4">
      <c r="A4" t="s">
        <v>30</v>
      </c>
      <c r="B4" t="s">
        <v>33</v>
      </c>
      <c r="C4" t="n">
        <v>18</v>
      </c>
      <c r="D4" t="n">
        <v>5</v>
      </c>
      <c r="E4" t="n">
        <v>19</v>
      </c>
    </row>
    <row r="5">
      <c r="A5" t="s">
        <v>30</v>
      </c>
      <c r="B5" t="s">
        <v>34</v>
      </c>
      <c r="C5" t="n">
        <v>21</v>
      </c>
      <c r="D5" t="n">
        <v>9</v>
      </c>
      <c r="E5" t="n">
        <v>21</v>
      </c>
    </row>
    <row r="6">
      <c r="A6" t="s">
        <v>30</v>
      </c>
      <c r="B6" t="s">
        <v>35</v>
      </c>
      <c r="C6" t="n">
        <v>16</v>
      </c>
      <c r="D6" t="n">
        <v>9</v>
      </c>
      <c r="E6" t="n">
        <v>18</v>
      </c>
    </row>
    <row r="7">
      <c r="A7" t="s">
        <v>36</v>
      </c>
      <c r="B7" t="s">
        <v>37</v>
      </c>
      <c r="C7" t="n">
        <v>17</v>
      </c>
      <c r="D7" t="n">
        <v>12</v>
      </c>
      <c r="E7" t="n">
        <v>22</v>
      </c>
    </row>
    <row r="8">
      <c r="A8" t="s">
        <v>36</v>
      </c>
      <c r="B8" t="s">
        <v>38</v>
      </c>
      <c r="C8" t="n">
        <v>10</v>
      </c>
      <c r="D8" t="n">
        <v>11</v>
      </c>
      <c r="E8" t="n">
        <v>13</v>
      </c>
    </row>
    <row r="9">
      <c r="A9" t="s">
        <v>36</v>
      </c>
      <c r="B9" t="s">
        <v>39</v>
      </c>
      <c r="C9" t="n">
        <v>28</v>
      </c>
      <c r="D9" t="n">
        <v>10</v>
      </c>
      <c r="E9" t="n">
        <v>31</v>
      </c>
    </row>
    <row r="10">
      <c r="A10" t="s">
        <v>36</v>
      </c>
      <c r="B10" t="s">
        <v>40</v>
      </c>
      <c r="C10" t="n">
        <v>14</v>
      </c>
      <c r="D10" t="n">
        <v>12</v>
      </c>
      <c r="E10" t="n">
        <v>18</v>
      </c>
    </row>
    <row r="11">
      <c r="A11" t="s">
        <v>36</v>
      </c>
      <c r="B11" t="s">
        <v>41</v>
      </c>
      <c r="C11" t="n">
        <v>20</v>
      </c>
      <c r="D11" t="n">
        <v>9</v>
      </c>
      <c r="E11" t="n">
        <v>24</v>
      </c>
    </row>
    <row r="12">
      <c r="A12" t="s">
        <v>36</v>
      </c>
      <c r="B12" t="s">
        <v>42</v>
      </c>
      <c r="C12" t="n">
        <v>21</v>
      </c>
      <c r="D12" t="n">
        <v>5</v>
      </c>
      <c r="E12" t="n">
        <v>23</v>
      </c>
    </row>
    <row r="13">
      <c r="A13" t="s">
        <v>43</v>
      </c>
      <c r="B13" t="s">
        <v>34</v>
      </c>
      <c r="C13" t="n">
        <v>25</v>
      </c>
      <c r="D13" t="n">
        <v>9</v>
      </c>
      <c r="E13" t="n">
        <v>27</v>
      </c>
    </row>
    <row r="14">
      <c r="A14" t="s">
        <v>43</v>
      </c>
      <c r="B14" t="s">
        <v>39</v>
      </c>
      <c r="C14" t="n">
        <v>19</v>
      </c>
      <c r="D14" t="n">
        <v>8</v>
      </c>
      <c r="E14" t="n">
        <v>22</v>
      </c>
    </row>
    <row r="15">
      <c r="A15" t="s">
        <v>43</v>
      </c>
      <c r="B15" t="s">
        <v>42</v>
      </c>
      <c r="C15" t="n">
        <v>21</v>
      </c>
      <c r="D15" t="n">
        <v>7</v>
      </c>
      <c r="E15" t="n">
        <v>24</v>
      </c>
    </row>
    <row r="16">
      <c r="A16" t="s">
        <v>43</v>
      </c>
      <c r="B16" t="s">
        <v>38</v>
      </c>
      <c r="C16" t="n">
        <v>13</v>
      </c>
      <c r="D16" t="n">
        <v>11</v>
      </c>
      <c r="E16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803</v>
      </c>
      <c r="B1" t="s">
        <v>191</v>
      </c>
      <c r="C1" t="s">
        <v>938</v>
      </c>
    </row>
    <row r="2">
      <c r="A2" t="s">
        <v>939</v>
      </c>
      <c r="B2" t="s">
        <v>201</v>
      </c>
      <c r="C2" t="s">
        <v>940</v>
      </c>
    </row>
    <row r="3">
      <c r="A3" t="s">
        <v>939</v>
      </c>
      <c r="B3" t="s">
        <v>287</v>
      </c>
      <c r="C3" t="s">
        <v>941</v>
      </c>
    </row>
    <row r="4">
      <c r="A4" t="s">
        <v>939</v>
      </c>
      <c r="B4" t="s">
        <v>291</v>
      </c>
      <c r="C4" t="s">
        <v>941</v>
      </c>
    </row>
    <row r="5">
      <c r="A5" t="s">
        <v>939</v>
      </c>
      <c r="B5" t="s">
        <v>302</v>
      </c>
      <c r="C5" t="s">
        <v>941</v>
      </c>
    </row>
    <row r="6">
      <c r="A6" t="s">
        <v>939</v>
      </c>
      <c r="B6" t="s">
        <v>353</v>
      </c>
      <c r="C6" t="s">
        <v>941</v>
      </c>
    </row>
    <row r="7">
      <c r="A7" t="s">
        <v>939</v>
      </c>
      <c r="B7" t="s">
        <v>401</v>
      </c>
      <c r="C7" t="s">
        <v>941</v>
      </c>
    </row>
    <row r="8">
      <c r="A8" t="s">
        <v>942</v>
      </c>
      <c r="B8" t="s">
        <v>503</v>
      </c>
      <c r="C8" t="s">
        <v>943</v>
      </c>
    </row>
    <row r="9">
      <c r="A9" t="s">
        <v>942</v>
      </c>
      <c r="B9" t="s">
        <v>302</v>
      </c>
      <c r="C9" t="s">
        <v>941</v>
      </c>
    </row>
    <row r="10">
      <c r="A10" t="s">
        <v>942</v>
      </c>
      <c r="B10" t="s">
        <v>353</v>
      </c>
      <c r="C10" t="s">
        <v>941</v>
      </c>
    </row>
    <row r="11">
      <c r="A11" t="s">
        <v>942</v>
      </c>
      <c r="B11" t="s">
        <v>401</v>
      </c>
      <c r="C11" t="s">
        <v>941</v>
      </c>
    </row>
    <row r="12">
      <c r="A12" t="s">
        <v>944</v>
      </c>
      <c r="B12" t="s">
        <v>503</v>
      </c>
      <c r="C12" t="s">
        <v>943</v>
      </c>
    </row>
    <row r="13">
      <c r="A13" t="s">
        <v>944</v>
      </c>
      <c r="B13" t="s">
        <v>302</v>
      </c>
      <c r="C13" t="s">
        <v>941</v>
      </c>
    </row>
    <row r="14">
      <c r="A14" t="s">
        <v>944</v>
      </c>
      <c r="B14" t="s">
        <v>353</v>
      </c>
      <c r="C14" t="s">
        <v>941</v>
      </c>
    </row>
    <row r="15">
      <c r="A15" t="s">
        <v>944</v>
      </c>
      <c r="B15" t="s">
        <v>401</v>
      </c>
      <c r="C15" t="s">
        <v>941</v>
      </c>
    </row>
    <row r="16">
      <c r="A16" t="s">
        <v>843</v>
      </c>
      <c r="B16" t="s">
        <v>800</v>
      </c>
      <c r="C16" t="s">
        <v>945</v>
      </c>
    </row>
    <row r="17">
      <c r="A17" t="s">
        <v>843</v>
      </c>
      <c r="B17" t="s">
        <v>693</v>
      </c>
      <c r="C17" t="s">
        <v>946</v>
      </c>
    </row>
    <row r="18">
      <c r="A18" t="s">
        <v>843</v>
      </c>
      <c r="B18" t="s">
        <v>802</v>
      </c>
      <c r="C18" t="s">
        <v>947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2026-10-21T10:23:13Z</dcterms:created>
  <dc:creator>openpyxl</dc:creator>
  <dc:description/>
  <dc:language>en-US</dc:language>
  <cp:lastModifiedBy/>
  <dcterms:modified xsi:type="dcterms:W3CDTF">2026-10-21T10:23:13Z</dcterms:modified>
  <cp:revision>0</cp:revision>
  <dc:subject/>
  <dc:title/>
</cp:coreProperties>
</file>