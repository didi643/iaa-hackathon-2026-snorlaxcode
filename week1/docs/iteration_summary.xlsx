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elow\Desktop\Local Project Testing\Kaggle_IAA_Oct2026\docs\"/>
    </mc:Choice>
  </mc:AlternateContent>
  <xr:revisionPtr revIDLastSave="0" documentId="13_ncr:1_{82728386-1C0E-4C65-A0CB-8C3462695746}" xr6:coauthVersionLast="47" xr6:coauthVersionMax="47" xr10:uidLastSave="{00000000-0000-0000-0000-000000000000}"/>
  <bookViews>
    <workbookView xWindow="864" yWindow="960" windowWidth="21600" windowHeight="11292" xr2:uid="{00000000-000D-0000-FFFF-FFFF00000000}"/>
  </bookViews>
  <sheets>
    <sheet name="README" sheetId="1" r:id="rId1"/>
    <sheet name="Iteration_Summary" sheetId="2" r:id="rId2"/>
    <sheet name="Change_Levers" sheetId="3" r:id="rId3"/>
    <sheet name="Local_vs_Public" sheetId="4" r:id="rId4"/>
    <sheet name="BEN1_Ladder" sheetId="5" r:id="rId5"/>
    <sheet name="Line_Scores" sheetId="6" r:id="rId6"/>
    <sheet name="Blend_Line" sheetId="7" r:id="rId7"/>
    <sheet name="Blend_Peril" sheetId="8" r:id="rId8"/>
    <sheet name="Next_Steps" sheetId="9" r:id="rId9"/>
    <sheet name="Submit_Gate" sheetId="10" r:id="rId10"/>
    <sheet name="SAM3_Components" sheetId="11" r:id="rId11"/>
  </sheets>
  <definedNames>
    <definedName name="_xlnm._FilterDatabase" localSheetId="4" hidden="1">BEN1_Ladder!$A$1:$L$8</definedName>
    <definedName name="_xlnm._FilterDatabase" localSheetId="6" hidden="1">Blend_Line!$A$1:$N$5</definedName>
    <definedName name="_xlnm._FilterDatabase" localSheetId="7" hidden="1">Blend_Peril!$A$1:$S$16</definedName>
    <definedName name="_xlnm._FilterDatabase" localSheetId="2" hidden="1">Change_Levers!$A$1:$H$18</definedName>
    <definedName name="_xlnm._FilterDatabase" localSheetId="1" hidden="1">Iteration_Summary!$A$1:$AA$16</definedName>
    <definedName name="_xlnm._FilterDatabase" localSheetId="5" hidden="1">Line_Scores!$A$1:$F$79</definedName>
    <definedName name="_xlnm._FilterDatabase" localSheetId="3" hidden="1">Local_vs_Public!$A$1:$H$10</definedName>
    <definedName name="_xlnm._FilterDatabase" localSheetId="8" hidden="1">Next_Steps!$A$1:$E$9</definedName>
    <definedName name="_xlnm._FilterDatabase" localSheetId="10" hidden="1">SAM3_Components!$A$1:$G$100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11" l="1"/>
  <c r="L28" i="11"/>
  <c r="K28" i="11"/>
  <c r="M27" i="11"/>
  <c r="L27" i="11"/>
  <c r="K27" i="11"/>
  <c r="M26" i="11"/>
  <c r="L26" i="11"/>
  <c r="K26" i="11"/>
  <c r="M25" i="11"/>
  <c r="L25" i="11"/>
  <c r="K25" i="11"/>
  <c r="M24" i="11"/>
  <c r="L24" i="11"/>
  <c r="K24" i="11"/>
  <c r="M23" i="11"/>
  <c r="L23" i="11"/>
  <c r="K23" i="11"/>
  <c r="M22" i="11"/>
  <c r="L22" i="11"/>
  <c r="K22" i="11"/>
  <c r="M21" i="11"/>
  <c r="L21" i="11"/>
  <c r="K21" i="11"/>
  <c r="M20" i="11"/>
  <c r="L20" i="11"/>
  <c r="K20" i="11"/>
  <c r="M19" i="11"/>
  <c r="L19" i="11"/>
  <c r="K19" i="11"/>
  <c r="M18" i="11"/>
  <c r="L18" i="11"/>
  <c r="K18" i="11"/>
  <c r="M17" i="11"/>
  <c r="L17" i="11"/>
  <c r="K17" i="11"/>
  <c r="M16" i="11"/>
  <c r="L16" i="11"/>
  <c r="K16" i="11"/>
  <c r="M15" i="11"/>
  <c r="L15" i="11"/>
  <c r="K15" i="11"/>
  <c r="M14" i="11"/>
  <c r="L14" i="11"/>
  <c r="K14" i="11"/>
  <c r="M13" i="11"/>
  <c r="L13" i="11"/>
  <c r="K13" i="11"/>
  <c r="M12" i="11"/>
  <c r="L12" i="11"/>
  <c r="K12" i="11"/>
  <c r="M11" i="11"/>
  <c r="L11" i="11"/>
  <c r="K11" i="11"/>
  <c r="M10" i="11"/>
  <c r="L10" i="11"/>
  <c r="K10" i="11"/>
  <c r="M9" i="11"/>
  <c r="L9" i="11"/>
  <c r="K9" i="11"/>
  <c r="M8" i="11"/>
  <c r="L8" i="11"/>
  <c r="K8" i="11"/>
  <c r="M7" i="11"/>
  <c r="L7" i="11"/>
  <c r="K7" i="11"/>
  <c r="M6" i="11"/>
  <c r="L6" i="11"/>
  <c r="K6" i="11"/>
  <c r="M5" i="11"/>
  <c r="L5" i="11"/>
  <c r="K5" i="11"/>
  <c r="M4" i="11"/>
  <c r="L4" i="11"/>
  <c r="K4" i="11"/>
  <c r="M3" i="11"/>
  <c r="L3" i="11"/>
  <c r="K3" i="11"/>
  <c r="M2" i="11"/>
  <c r="L2" i="11"/>
  <c r="K2" i="11"/>
  <c r="G9" i="10"/>
  <c r="H9" i="10" s="1"/>
  <c r="G8" i="10"/>
  <c r="H8" i="10" s="1"/>
  <c r="G7" i="10"/>
  <c r="H7" i="10" s="1"/>
  <c r="G6" i="10"/>
  <c r="H6" i="10" s="1"/>
  <c r="G5" i="10"/>
  <c r="H5" i="10" s="1"/>
  <c r="G4" i="10"/>
  <c r="H4" i="10" s="1"/>
  <c r="G3" i="10"/>
  <c r="H3" i="10" s="1"/>
  <c r="R16" i="8"/>
  <c r="Q16" i="8"/>
  <c r="R15" i="8"/>
  <c r="Q15" i="8"/>
  <c r="R14" i="8"/>
  <c r="Q14" i="8"/>
  <c r="R13" i="8"/>
  <c r="Q13" i="8"/>
  <c r="R12" i="8"/>
  <c r="Q12" i="8"/>
  <c r="R11" i="8"/>
  <c r="Q11" i="8"/>
  <c r="R10" i="8"/>
  <c r="Q10" i="8"/>
  <c r="R9" i="8"/>
  <c r="Q9" i="8"/>
  <c r="R8" i="8"/>
  <c r="Q8" i="8"/>
  <c r="R7" i="8"/>
  <c r="Q7" i="8"/>
  <c r="R6" i="8"/>
  <c r="Q6" i="8"/>
  <c r="R5" i="8"/>
  <c r="Q5" i="8"/>
  <c r="R4" i="8"/>
  <c r="Q4" i="8"/>
  <c r="R3" i="8"/>
  <c r="Q3" i="8"/>
  <c r="R2" i="8"/>
  <c r="Q2" i="8"/>
  <c r="K5" i="7"/>
  <c r="J5" i="7"/>
  <c r="I5" i="7"/>
  <c r="H5" i="7"/>
  <c r="G5" i="7"/>
  <c r="F5" i="7"/>
  <c r="E5" i="7"/>
  <c r="D5" i="7"/>
  <c r="C5" i="7"/>
  <c r="B5" i="7"/>
  <c r="K4" i="7"/>
  <c r="J4" i="7"/>
  <c r="I4" i="7"/>
  <c r="H4" i="7"/>
  <c r="G4" i="7"/>
  <c r="F4" i="7"/>
  <c r="E4" i="7"/>
  <c r="D4" i="7"/>
  <c r="C4" i="7"/>
  <c r="B4" i="7"/>
  <c r="M4" i="7" s="1"/>
  <c r="K3" i="7"/>
  <c r="J3" i="7"/>
  <c r="I3" i="7"/>
  <c r="H3" i="7"/>
  <c r="G3" i="7"/>
  <c r="F3" i="7"/>
  <c r="E3" i="7"/>
  <c r="D3" i="7"/>
  <c r="C3" i="7"/>
  <c r="B3" i="7"/>
  <c r="K2" i="7"/>
  <c r="J2" i="7"/>
  <c r="I2" i="7"/>
  <c r="H2" i="7"/>
  <c r="G2" i="7"/>
  <c r="F2" i="7"/>
  <c r="E2" i="7"/>
  <c r="D2" i="7"/>
  <c r="M2" i="7" s="1"/>
  <c r="C2" i="7"/>
  <c r="B2" i="7"/>
  <c r="L8" i="5"/>
  <c r="K8" i="5"/>
  <c r="J8" i="5"/>
  <c r="I8" i="5"/>
  <c r="L7" i="5"/>
  <c r="K7" i="5"/>
  <c r="J7" i="5"/>
  <c r="I7" i="5"/>
  <c r="L6" i="5"/>
  <c r="K6" i="5"/>
  <c r="J6" i="5"/>
  <c r="I6" i="5"/>
  <c r="L5" i="5"/>
  <c r="K5" i="5"/>
  <c r="J5" i="5"/>
  <c r="I5" i="5"/>
  <c r="L4" i="5"/>
  <c r="K4" i="5"/>
  <c r="J4" i="5"/>
  <c r="I4" i="5"/>
  <c r="L3" i="5"/>
  <c r="K3" i="5"/>
  <c r="J3" i="5"/>
  <c r="I3" i="5"/>
  <c r="I2" i="5"/>
  <c r="D15" i="4"/>
  <c r="D13" i="4"/>
  <c r="H10" i="4"/>
  <c r="G10" i="4"/>
  <c r="F10" i="4"/>
  <c r="H9" i="4"/>
  <c r="G9" i="4"/>
  <c r="F9" i="4"/>
  <c r="H8" i="4"/>
  <c r="G8" i="4"/>
  <c r="F8" i="4"/>
  <c r="H7" i="4"/>
  <c r="G7" i="4"/>
  <c r="F7" i="4"/>
  <c r="H6" i="4"/>
  <c r="G6" i="4"/>
  <c r="F6" i="4"/>
  <c r="H5" i="4"/>
  <c r="G5" i="4"/>
  <c r="F5" i="4"/>
  <c r="D14" i="4" s="1"/>
  <c r="H4" i="4"/>
  <c r="G4" i="4"/>
  <c r="F4" i="4"/>
  <c r="H3" i="4"/>
  <c r="G3" i="4"/>
  <c r="F3" i="4"/>
  <c r="H2" i="4"/>
  <c r="G2" i="4"/>
  <c r="F2" i="4"/>
  <c r="F19" i="2"/>
  <c r="F18" i="2"/>
  <c r="AA16" i="2"/>
  <c r="Z16" i="2"/>
  <c r="Y16" i="2"/>
  <c r="X16" i="2"/>
  <c r="AA15" i="2"/>
  <c r="Z15" i="2"/>
  <c r="Y15" i="2"/>
  <c r="X15" i="2"/>
  <c r="AA14" i="2"/>
  <c r="Z14" i="2"/>
  <c r="Y14" i="2"/>
  <c r="X14" i="2"/>
  <c r="AA13" i="2"/>
  <c r="Z13" i="2"/>
  <c r="Y13" i="2"/>
  <c r="X13" i="2"/>
  <c r="AA12" i="2"/>
  <c r="Z12" i="2"/>
  <c r="Y12" i="2"/>
  <c r="X12" i="2"/>
  <c r="AA11" i="2"/>
  <c r="Z11" i="2"/>
  <c r="Y11" i="2"/>
  <c r="X11" i="2"/>
  <c r="AA10" i="2"/>
  <c r="Z10" i="2"/>
  <c r="Y10" i="2"/>
  <c r="X10" i="2"/>
  <c r="AA9" i="2"/>
  <c r="Z9" i="2"/>
  <c r="Y9" i="2"/>
  <c r="X9" i="2"/>
  <c r="AA8" i="2"/>
  <c r="Z8" i="2"/>
  <c r="Y8" i="2"/>
  <c r="X8" i="2"/>
  <c r="AA7" i="2"/>
  <c r="Z7" i="2"/>
  <c r="Y7" i="2"/>
  <c r="X7" i="2"/>
  <c r="AA6" i="2"/>
  <c r="Z6" i="2"/>
  <c r="Y6" i="2"/>
  <c r="X6" i="2"/>
  <c r="AA5" i="2"/>
  <c r="Z5" i="2"/>
  <c r="Y5" i="2"/>
  <c r="X5" i="2"/>
  <c r="AA4" i="2"/>
  <c r="Z4" i="2"/>
  <c r="Y4" i="2"/>
  <c r="X4" i="2"/>
  <c r="AA3" i="2"/>
  <c r="Z3" i="2"/>
  <c r="Y3" i="2"/>
  <c r="X3" i="2"/>
  <c r="AA2" i="2"/>
  <c r="L4" i="7" l="1"/>
  <c r="M3" i="7"/>
  <c r="L5" i="7"/>
  <c r="L2" i="7"/>
  <c r="M5" i="7"/>
  <c r="L3" i="7"/>
</calcChain>
</file>

<file path=xl/sharedStrings.xml><?xml version="1.0" encoding="utf-8"?>
<sst xmlns="http://schemas.openxmlformats.org/spreadsheetml/2006/main" count="1597" uniqueCount="435">
  <si>
    <t>Model iterations - score summary, improvement reasons and blend plan</t>
  </si>
  <si>
    <t>Purpose</t>
  </si>
  <si>
    <t>Track every submission's public score against its local scores, record why each change probably helped or hurt, and plan the final per-line / per-peril blend.</t>
  </si>
  <si>
    <t>Target</t>
  </si>
  <si>
    <t>Public score = Kaggle Tweedie D2 (p = 1.5), higher = better. Best so far: SAM 2 0.12796.</t>
  </si>
  <si>
    <t>Sources</t>
  </si>
  <si>
    <t>Public and local D2: submission log and BEN 1 table in docs/workflow.md (22 Oct 2026). Predicted 2025 burn costs: comparison table in R/6_export_model_spreadsheet.R (only ITER 1, ITER 2, SAM 1, SAM 2 recorded there). Code facts: model_variations_register.xlsx.</t>
  </si>
  <si>
    <t>Main caution</t>
  </si>
  <si>
    <t>Local D2 is NOT on one basis (SAM 2 and SAM 3 share 3 reported folds; WENDY 4, WENDY 5, WENDY 6 and WENDY 4 SAM02-clean share the 2024 developed fold): WENDY 4 scores developed actuals, the others reported actuals; WENDY 3 has 2024 only; SAM 2 also has 2022. Use local scores to choose components only after re-scoring every model with one shared harness (Next_Steps #1).</t>
  </si>
  <si>
    <t>Reasons column</t>
  </si>
  <si>
    <t>'Potential reasons' are hypotheses from reading the code and the logged scores - not measured unless the evidence column says 'measured' (BEN 1 variant ladder).</t>
  </si>
  <si>
    <t>Editable cells</t>
  </si>
  <si>
    <t>Blue text on yellow fill = inputs. Iteration_Summary rows 9-12 take new submissions (formulas fill in). Blend_Peril: enter each candidate's mean out-of-fold D2 (developed actuals, 2023-24) - the best candidate fills in. Example format: 0.0612 in W4_freq_sev for motor / own_damage.</t>
  </si>
  <si>
    <t>Sheets</t>
  </si>
  <si>
    <t>Iteration_Summary | Change_Levers | Local_vs_Public | BEN1_Ladder | Line_Scores | Blend_Line | Blend_Peril | Next_Steps</t>
  </si>
  <si>
    <t>#</t>
  </si>
  <si>
    <t>iteration</t>
  </si>
  <si>
    <t>date</t>
  </si>
  <si>
    <t>time SGT</t>
  </si>
  <si>
    <t>file</t>
  </si>
  <si>
    <t>public D2</t>
  </si>
  <si>
    <t>local D2 ALL 2022</t>
  </si>
  <si>
    <t>local D2 ALL 2023</t>
  </si>
  <si>
    <t>local D2 ALL 2024</t>
  </si>
  <si>
    <t>local actual basis</t>
  </si>
  <si>
    <t>motor 2023</t>
  </si>
  <si>
    <t>motor 2024</t>
  </si>
  <si>
    <t>buildings 2023</t>
  </si>
  <si>
    <t>buildings 2024</t>
  </si>
  <si>
    <t>contents 2023</t>
  </si>
  <si>
    <t>contents 2024</t>
  </si>
  <si>
    <t>2025 burn motor</t>
  </si>
  <si>
    <t>2025 burn buildings</t>
  </si>
  <si>
    <t>2025 burn contents</t>
  </si>
  <si>
    <t>key change vs parent</t>
  </si>
  <si>
    <t>potential reasons (hypotheses)</t>
  </si>
  <si>
    <t>evidence</t>
  </si>
  <si>
    <t>confidence</t>
  </si>
  <si>
    <t>change vs previous submission</t>
  </si>
  <si>
    <t>change vs best before</t>
  </si>
  <si>
    <t>new best?</t>
  </si>
  <si>
    <t>public rank</t>
  </si>
  <si>
    <t>ITER 1</t>
  </si>
  <si>
    <t>2026-10-20</t>
  </si>
  <si>
    <t>~14:00</t>
  </si>
  <si>
    <t>submission_20261020_1400_submitted.csv</t>
  </si>
  <si>
    <t>reported</t>
  </si>
  <si>
    <t>Baseline: best of 4 candidates per line; GLM freq x sev won all lines; no trend</t>
  </si>
  <si>
    <t>Explainable GLM, but 2025 priced at the 2021-24 average level (no trend) and 2024 only count-developed.</t>
  </si>
  <si>
    <t>Local 2023 high (0.1055) yet public among the lowest -&gt; local 2023 does not track public.</t>
  </si>
  <si>
    <t>-</t>
  </si>
  <si>
    <t>Yes (first)</t>
  </si>
  <si>
    <t>ITER 2</t>
  </si>
  <si>
    <t>2026-10-21</t>
  </si>
  <si>
    <t>n/r</t>
  </si>
  <si>
    <t>submission_20261021_0951.csv</t>
  </si>
  <si>
    <t>XGBoost Tweedie per line + random grid search</t>
  </si>
  <si>
    <t>Trees capture non-linear effects and interactions (buildings +0.008 / +0.005 for 2023 / 2024). Features include written_premium (current price), which can carry a lot of rating signal.</t>
  </si>
  <si>
    <t>Public +0.00245; local 2024 +0.003 but local 2023 -0.006 (motor 0.055 -&gt; 0.038): public followed 2024, not 2023.</t>
  </si>
  <si>
    <t>Medium</t>
  </si>
  <si>
    <t>SAM 1</t>
  </si>
  <si>
    <t>13:36</t>
  </si>
  <si>
    <t>submission_20261021_1336.csv</t>
  </si>
  <si>
    <t>GLM (motor) and GLM/LightGBM blend (buildings, contents) chosen by mean local D2</t>
  </si>
  <si>
    <t>Selection leaned on the 2023 fold, which favours the GLM; the GLM has no trend and the blend lowered the buildings / contents level (411.79 / 111.80 vs 434.25 / 119.13 in ITER 2). Blend weights picked on the reported folds (optimistic).</t>
  </si>
  <si>
    <t>Public -0.00273 vs #2 despite the best local 2023 (0.1071).</t>
  </si>
  <si>
    <t>WENDY 3</t>
  </si>
  <si>
    <t>~17:15</t>
  </si>
  <si>
    <t>submission_20261021_1650.csv</t>
  </si>
  <si>
    <t>reported (2024 only)</t>
  </si>
  <si>
    <t>One XGBoost Tweedie per peril (15), line = sum</t>
  </si>
  <si>
    <t>Per-peril split helps buildings / contents a little but sparse perils give tiny Tweedie trees; ~72 s tuning per motor peril; motor lost 0.007. No trend; single immature fold.</t>
  </si>
  <si>
    <t>Public -0.00017 vs #2; local 2024 -0.002 (motor -0.007, buildings +0.001, contents +0.002).</t>
  </si>
  <si>
    <t>BEN 1</t>
  </si>
  <si>
    <t>submission_20261021_1658.csv</t>
  </si>
  <si>
    <t>ITER 2 + EDA feature fixes, per-peril IBNR, trend to 2025, time-fold tuning, monotone, expanding window</t>
  </si>
  <si>
    <t>Measured: trend helps buildings / contents; time-fold tuning + monotone helps motor 2023 and contents; expanding beats rolling by 0.002-0.004 (2024). Feature fixes cost a little locally but cut 2025 drift.</t>
  </si>
  <si>
    <t>Public +0.00075 vs #2, in line with local gains on both years (BEN1_Ladder).</t>
  </si>
  <si>
    <t>High (ladder measured)</t>
  </si>
  <si>
    <t>WENDY 4</t>
  </si>
  <si>
    <t>2026-10-22</t>
  </si>
  <si>
    <t>07:52</t>
  </si>
  <si>
    <t>submission_20261022_0715_wendy04.csv</t>
  </si>
  <si>
    <t>DEVELOPED</t>
  </si>
  <si>
    <t>Per-peril Poisson GBM freq x Gamma GBM/GLM sev (vs Tweedie challenger), ultimate frequency, severity trend, history, structural zeros</t>
  </si>
  <si>
    <t>Frequency fitted on exposure x reported share (ULTIMATE level), severity trended to 2025, outlier claim limited to 2m, open-claim recoveries, prior-year claims history, written_premium removed. Gini barely moved (0.502 vs 0.491 ITER 2) so most of the gain is probably LEVEL / calibration rather than ranking.</t>
  </si>
  <si>
    <t>Public +0.00447 vs #5 (largest single jump). Reported-basis re-score (R/4_check_reported_w4.R, 22 Oct; developed rows reproduce the card exactly): ALL 0.1028 / 0.0988 (2023 / 2024); motor 0.0403 / 0.0491, buildings 0.0706 / 0.0727, contents 0.0703 / 0.0637. Mean 0.1008 vs SAM 3 0.1015 / SAM 2 0.1014 - same order as the public board. Motor 2023 is hit by the 11.9m BI claim (raw basis has no 2m limit).</t>
  </si>
  <si>
    <t>SAM 2</t>
  </si>
  <si>
    <t>submission_20261021_1528.csv</t>
  </si>
  <si>
    <t>Raw rebuild: claim-history features, per-peril trended GLM level, LGB/XGB frequency bags, line Tweedie bags, greedy blend</t>
  </si>
  <si>
    <t>Highest 2025 level of all logged runs (motor 604 vs 499-518; buildings 487 vs 412-434; contents 125 vs 112-119) from per-peril trend (+/-10%) and IBNR; rich policy / customer / address claim history; blend of 5 model types.</t>
  </si>
  <si>
    <t>Best public (+0.00125 vs #6, +0.00647 vs #2). Local 2024 only 4th -&gt; gain again looks level-driven.</t>
  </si>
  <si>
    <t>WENDY 5</t>
  </si>
  <si>
    <t>submission_20261022_0912_wendy05.csv</t>
  </si>
  <si>
    <t>DEVELOPED (time_2024)</t>
  </si>
  <si>
    <t>WENDY 4 basis + random-search tuning per component (20 configs), severity GBM vs GLM per peril, method chosen on 5-fold policy-grouped CV over all years</t>
  </si>
  <si>
    <t>Same targets, features, caps, IBNR and trend as WENDY 4, so the 2025 LEVEL hardly changed - only ranking could move. Tuning optimised component deviance on a random policy fold and the method choice used folds that mix years (grouped CV 0.1118 looks much better than the 2024 time check 0.1025), which rewards fit to the past rather than the 2025 forecast. Chose freq_sev for 13/15 perils (WENDY 4: 12/15) and severity GBM for 11 perils, GLM for 4.</t>
  </si>
  <si>
    <t>Like-for-like with WENDY 4 on the 2024 developed fold: 0.1025 vs 0.1045 (-0.0020; motor 0.052 vs 0.055, buildings 0.069 vs 0.071, contents 0.063 vs 0.064) - local AGREES with the public drop (-0.00035). Grouped CV (not comparable): ALL 0.1118, motor 0.058, buildings 0.071, contents 0.073. MD5 33b990116f99a3b93ba90900c8864b25; replication passed.</t>
  </si>
  <si>
    <t>SAM 3</t>
  </si>
  <si>
    <t>14:01</t>
  </si>
  <si>
    <t>submission_20261022_1159.csv</t>
  </si>
  <si>
    <t>SAM 2 with ONE change: peril frequency models use observed counts over effective exposure (exposure / IBNR factor) instead of IBNR-inflated counts over exposure; same data, severity, tuning budget, blend method</t>
  </si>
  <si>
    <t>2025 level is the same as SAM 2 (burn within 0.2% on every line). The expected frequency rate is unchanged; what changes is the WEIGHT - immature 2024 rows now count less in the fit, so 2024 noise (open, late claims) moves the relativities less. Blend weights shifted to peril XGB + GLM; LightGBM got 0. The gain is small and may be within noise.</t>
  </si>
  <si>
    <t>Public +0.00022 vs SAM 2; local ALL 2022 / 2023 / 2024 = +0.0002 / -0.0002 / +0.0004 vs SAM 2 - consistent but tiny.</t>
  </si>
  <si>
    <t>Low-medium</t>
  </si>
  <si>
    <t>WENDY 4 SAM02-clean</t>
  </si>
  <si>
    <t>run done - not submitted</t>
  </si>
  <si>
    <t>submission_&lt;run id&gt;_wendy04_vsam02clean.csv</t>
  </si>
  <si>
    <t>WENDY 4 models unchanged on SAM 2-cleaned data (controlled cleaning test)</t>
  </si>
  <si>
    <t>Expected: almost identical to WENDY 4 (only sum_insured rule, missing-level scope and nil-claim filter order differ). A material move would point at data cleaning, not modelling, as part of SAM 2's edge.</t>
  </si>
  <si>
    <t>Reported 2024 figures supplied earlier (ALL 0.0988; motor 0.0491, buildings 0.0727, contents 0.0637) are IDENTICAL to WENDY 4's own reported re-score - either they came from the WENDY 4 run or cleaning changed nothing. Confirm with R/4_check_reported_w4.R on the SAM02-clean script + the compare script. Not submitted: see Submit_Gate.</t>
  </si>
  <si>
    <t>WENDY 6</t>
  </si>
  <si>
    <t>running</t>
  </si>
  <si>
    <t>submission_&lt;run id&gt;_wendy06.csv</t>
  </si>
  <si>
    <t>H2O AutoML per peril for frequency and severity on WENDY 5's folds; no monotone constraints</t>
  </si>
  <si>
    <t>Tests the learner only (same basis as WENDY 5). AutoML may rank better on data-rich perils; dropping monotone constraints and no Tweedie option can hurt sparse perils and the excess / NCB shape.</t>
  </si>
  <si>
    <t>Pending. Compare time_2024 peril and line D2 and component_cv with WENDY 5 (same folds and targets).</t>
  </si>
  <si>
    <t>Best public D2</t>
  </si>
  <si>
    <t>Best iteration</t>
  </si>
  <si>
    <t>Notes</t>
  </si>
  <si>
    <t>n/r = not recorded. Numbering follows workflow.md (22 Oct 15:14 version): SAM 2 #7, WENDY 5 #8, SAM 3 #9; #10-#11 are still running. Rows 12-16 take updates / new submissions. Blank burn cost = not recorded outside the model card (models/&lt;iteration&gt;/test_prediction_summary.csv was not in the zip). WENDY 3 has no 2023 fold.</t>
  </si>
  <si>
    <t>lever</t>
  </si>
  <si>
    <t>used in</t>
  </si>
  <si>
    <t>public evidence</t>
  </si>
  <si>
    <t>local evidence</t>
  </si>
  <si>
    <t>direction</t>
  </si>
  <si>
    <t>keep for final blend?</t>
  </si>
  <si>
    <t>test to confirm</t>
  </si>
  <si>
    <t>Level to 2025 ULTIMATE (trend + IBNR as ultimate)</t>
  </si>
  <si>
    <t>BEN 1 (trend), WENDY 4, SAM 2</t>
  </si>
  <si>
    <t>The two best public scores (SAM 2, WENDY 4) both target ultimate and trend to 2025; SAM 2 level is about 17% / 15% / 11% above ITER 1 (motor / buildings / contents).</t>
  </si>
  <si>
    <t>BEN 1 v4 (+trend): buildings +0.002 both years, contents +0.002 / +0.001.</t>
  </si>
  <si>
    <t>Positive</t>
  </si>
  <si>
    <t>Medium-high</t>
  </si>
  <si>
    <t>Yes - one consistent level method for all components</t>
  </si>
  <si>
    <t>Level sensitivity on developed 2023-24 actuals: scale predictions x0.9-1.1, read D2.</t>
  </si>
  <si>
    <t>Tree boosting vs GLM (line level)</t>
  </si>
  <si>
    <t>ITER 2, BEN 1, WENDY 3</t>
  </si>
  <si>
    <t>ITER 2 +0.00245 over ITER 1 GLM.</t>
  </si>
  <si>
    <t>2024 +0.003; 2023 -0.006 (motor).</t>
  </si>
  <si>
    <t>Yes</t>
  </si>
  <si>
    <t>Common harness: tree vs GLM per line on developed actuals.</t>
  </si>
  <si>
    <t>Frequency x severity per peril</t>
  </si>
  <si>
    <t>WENDY 4, SAM 2</t>
  </si>
  <si>
    <t>WENDY 4 beats WENDY 3 (Tweedie per peril) by 0.00539; freq_sev chosen for 12/15 perils.</t>
  </si>
  <si>
    <t>Within WENDY 4: freq_sev &gt; Tweedie challenger on 12/15 perils (developed basis).</t>
  </si>
  <si>
    <t>Positive (confounded with level and history)</t>
  </si>
  <si>
    <t>Re-run WENDY 3 targets on WENDY 4's ultimate frequency to isolate.</t>
  </si>
  <si>
    <t>Per-peril split with Tweedie trees</t>
  </si>
  <si>
    <t>-0.00017 vs ITER 2.</t>
  </si>
  <si>
    <t>Motor -0.007, buildings +0.001, contents +0.002 (2024).</t>
  </si>
  <si>
    <t>Neutral / negative for motor</t>
  </si>
  <si>
    <t>Only for buildings / contents perils</t>
  </si>
  <si>
    <t>Claim-history features</t>
  </si>
  <si>
    <t>WENDY 4 (prior year), SAM 2 (policy, customer, address)</t>
  </si>
  <si>
    <t>Present in the two best submissions.</t>
  </si>
  <si>
    <t>Not isolated.</t>
  </si>
  <si>
    <t>Probably positive</t>
  </si>
  <si>
    <t>Yes - SAM 2 set is richer</t>
  </si>
  <si>
    <t>Group-drop test of hist_* in the common harness.</t>
  </si>
  <si>
    <t>Remove written_premium / drifting fields</t>
  </si>
  <si>
    <t>BEN 1, WENDY 4, SAM 2</t>
  </si>
  <si>
    <t>BEN 1 up vs ITER 2 despite the removal; WENDY 4 and SAM 2 exclude it.</t>
  </si>
  <si>
    <t>BEN 1 v2 (feature fixes) mixed: -0.005 to +0.002 by line and year; premium_index worth 0.003-0.007.</t>
  </si>
  <si>
    <t>Neutral to slightly negative locally, safer for 2025</t>
  </si>
  <si>
    <t>Yes; test premium_index as a challenger</t>
  </si>
  <si>
    <t>premium_index on / off in WENDY 4 and SAM 2.</t>
  </si>
  <si>
    <t>Time-fold tuning + monotone constraints</t>
  </si>
  <si>
    <t>BEN 1 v5</t>
  </si>
  <si>
    <t>Part of BEN 1's +0.00075.</t>
  </si>
  <si>
    <t>Motor 2023 +0.003, contents +0.004 / +0.002.</t>
  </si>
  <si>
    <t>High (measured)</t>
  </si>
  <si>
    <t>Expanding vs rolling window</t>
  </si>
  <si>
    <t>BEN 1 v6</t>
  </si>
  <si>
    <t>Expanding kept for the final fit.</t>
  </si>
  <si>
    <t>2024: +0.002 motor, +0.0035 buildings, +0.003 contents.</t>
  </si>
  <si>
    <t>Yes - fit on 2021-24</t>
  </si>
  <si>
    <t>Blend selected on the reported folds</t>
  </si>
  <si>
    <t>-0.00273 vs ITER 2.</t>
  </si>
  <si>
    <t>Best local 2023 of all (0.1071).</t>
  </si>
  <si>
    <t>Negative</t>
  </si>
  <si>
    <t>Choose weights on developed actuals and mostly the 2024 fold</t>
  </si>
  <si>
    <t>Hyper-parameter tuning per component (random search)</t>
  </si>
  <si>
    <t>WENDY 5 -0.00035 vs WENDY 4.</t>
  </si>
  <si>
    <t>Tuning gain per component in wendy_iteration_05/tuning_gain.csv.</t>
  </si>
  <si>
    <t>Neutral / slightly negative</t>
  </si>
  <si>
    <t>Low (one test, near noise)</t>
  </si>
  <si>
    <t>Light tuning only; defaults are close</t>
  </si>
  <si>
    <t>Compare WENDY 5 vs WENDY 4 per peril on the 2024 time fold.</t>
  </si>
  <si>
    <t>Method choice on policy-grouped CV over all years</t>
  </si>
  <si>
    <t>Part of WENDY 5's -0.00035.</t>
  </si>
  <si>
    <t>WENDY 5 card: group_cv vs time_2024 picks.</t>
  </si>
  <si>
    <t>Unclear</t>
  </si>
  <si>
    <t>Low</t>
  </si>
  <si>
    <t>Prefer time-based choice for 2025</t>
  </si>
  <si>
    <t>Count perils where group_cv and time_2024 pick different methods.</t>
  </si>
  <si>
    <t>Cleaning basis (2_clean vs SAM 2 cleaning)</t>
  </si>
  <si>
    <t>Pending.</t>
  </si>
  <si>
    <t>Pending - same folds as WENDY 4.</t>
  </si>
  <si>
    <t>Expected ~0</t>
  </si>
  <si>
    <t>Keep 2_clean unless the score moves beyond noise</t>
  </si>
  <si>
    <t>Public and per-peril D2 vs WENDY 4.</t>
  </si>
  <si>
    <t>IBNR as exposure offset (frequency) instead of inflated counts / targets - i.e. down-weighting immature years</t>
  </si>
  <si>
    <t>WENDY 4, SAM 3</t>
  </si>
  <si>
    <t>SAM 3 +0.00022 vs SAM 2 (same level); WENDY 4 +0.00447 vs BEN 1 (confounded).</t>
  </si>
  <si>
    <t>SAM 3 local ALL +0.0002 / -0.0002 / +0.0004 (2022-24) vs SAM 2.</t>
  </si>
  <si>
    <t>Positive, small</t>
  </si>
  <si>
    <t>Medium (two pipelines agree)</t>
  </si>
  <si>
    <t>Yes - standard for every frequency model</t>
  </si>
  <si>
    <t>Learner: H2O AutoML vs tuned XGBoost</t>
  </si>
  <si>
    <t>Pending - component_cv comparable with WENDY 5.</t>
  </si>
  <si>
    <t>Per peril: use whichever component deviance is lower</t>
  </si>
  <si>
    <t>comparison/component_cv.csv WENDY 5 vs 6.</t>
  </si>
  <si>
    <t>Greedy multi-model blend + bagging</t>
  </si>
  <si>
    <t>Best public, but confounded with level and history.</t>
  </si>
  <si>
    <t>Weights in sam_iteration_02/blend_weights.csv (not in zip).</t>
  </si>
  <si>
    <t>Yes, as the final combination method</t>
  </si>
  <si>
    <t>Compare blend vs its best single component on the common harness.</t>
  </si>
  <si>
    <t>Large-loss handling (claim caps, 2m outlier limit)</t>
  </si>
  <si>
    <t>Unknown</t>
  </si>
  <si>
    <t>Pick one: claim-level cap per peril + loading</t>
  </si>
  <si>
    <t>Cap quantile 0.99 / 0.995 / 0.999 sensitivity.</t>
  </si>
  <si>
    <t>Structural zeros, open-claim recoveries</t>
  </si>
  <si>
    <t>Small</t>
  </si>
  <si>
    <t>Yes (cheap, logical)</t>
  </si>
  <si>
    <t>local ALL 2023</t>
  </si>
  <si>
    <t>local ALL 2024</t>
  </si>
  <si>
    <t>basis</t>
  </si>
  <si>
    <t>rank public</t>
  </si>
  <si>
    <t>rank local 2023</t>
  </si>
  <si>
    <t>rank local 2024</t>
  </si>
  <si>
    <t>reported (re-score)</t>
  </si>
  <si>
    <t>Pearson public vs local 2024 (n = 9)</t>
  </si>
  <si>
    <t>Spearman public vs local 2024 (n = 9)</t>
  </si>
  <si>
    <t>Pearson public vs local 2023 (n = 7; WENDY 3 blank skipped)</t>
  </si>
  <si>
    <t>Reading</t>
  </si>
  <si>
    <t>Local 2024 ranks the submissions roughly like the public board; local 2023 does not (it favoured the GLMs). WENDY 4 and WENDY 5 use developed actuals (higher by construction). Only 9 points - indicative, not a test. Use 2024 (developed) as the main selection fold and 2023 as a stability check.</t>
  </si>
  <si>
    <t>variant</t>
  </si>
  <si>
    <t>change</t>
  </si>
  <si>
    <t>mean of 6</t>
  </si>
  <si>
    <t>motor change vs previous</t>
  </si>
  <si>
    <t>buildings change</t>
  </si>
  <si>
    <t>contents change</t>
  </si>
  <si>
    <t>v0</t>
  </si>
  <si>
    <t>ITER 2 setup, expanding window</t>
  </si>
  <si>
    <t>v1</t>
  </si>
  <si>
    <t>+ rolling 2-year window</t>
  </si>
  <si>
    <t>v2</t>
  </si>
  <si>
    <t>+ EDA feature fixes</t>
  </si>
  <si>
    <t>v3</t>
  </si>
  <si>
    <t>+ IBNR by peril</t>
  </si>
  <si>
    <t>v4</t>
  </si>
  <si>
    <t>+ trend to the scored year</t>
  </si>
  <si>
    <t>v5</t>
  </si>
  <si>
    <t>+ tuned on a time fold, monotone constraints</t>
  </si>
  <si>
    <t>v6</t>
  </si>
  <si>
    <t>v5 on the expanding window (selected all lines)</t>
  </si>
  <si>
    <t>line</t>
  </si>
  <si>
    <t>valid_year</t>
  </si>
  <si>
    <t>local D2</t>
  </si>
  <si>
    <t>actual basis</t>
  </si>
  <si>
    <t>source</t>
  </si>
  <si>
    <t>motor</t>
  </si>
  <si>
    <t>docs/workflow.md submission log</t>
  </si>
  <si>
    <t>buildings</t>
  </si>
  <si>
    <t>contents</t>
  </si>
  <si>
    <t>ALL</t>
  </si>
  <si>
    <t>WENDY 4 (reported re-score)</t>
  </si>
  <si>
    <t>reported (R/4_check_reported_w4.R)</t>
  </si>
  <si>
    <t>best mean 2023-24 (reported basis, excl. WENDY 4 / 5)</t>
  </si>
  <si>
    <t>best value</t>
  </si>
  <si>
    <t>starting hypothesis</t>
  </si>
  <si>
    <t>SAM 2 / WENDY 4 (public); ITER 1 GLM strong on 2023 -&gt; keep a GLM component</t>
  </si>
  <si>
    <t>SAM 2 / BEN 1 / WENDY 3 close; per-peril (WENDY 4, SAM 2 GLM) for fire / flood / subsidence</t>
  </si>
  <si>
    <t>WENDY 4 highest (developed basis) - confirm on common harness</t>
  </si>
  <si>
    <t>Mean of the 2023 and 2024 folds from Line_Scores. WENDY 3 and WENDY 5 = 2024 only. WENDY 4 and WENDY 5 are on developed actuals (shaded) and is excluded from 'best'. Re-score all on one basis before trusting this pick.</t>
  </si>
  <si>
    <t>peril</t>
  </si>
  <si>
    <t>claims 2021-24 (approx.)</t>
  </si>
  <si>
    <t>mean severity CU (approx.)</t>
  </si>
  <si>
    <t>W3_xgb_tweedie</t>
  </si>
  <si>
    <t>W4_freq_sev</t>
  </si>
  <si>
    <t>W4_tweedie</t>
  </si>
  <si>
    <t>SAM2_peril_glm</t>
  </si>
  <si>
    <t>SAM2_peril_lgb</t>
  </si>
  <si>
    <t>SAM2_peril_xgb</t>
  </si>
  <si>
    <t>W5_chosen</t>
  </si>
  <si>
    <t>W4s_chosen</t>
  </si>
  <si>
    <t>W6_freq_sev</t>
  </si>
  <si>
    <t>SAM3_peril_glm</t>
  </si>
  <si>
    <t>SAM3_peril_xgb</t>
  </si>
  <si>
    <t>NEW_1</t>
  </si>
  <si>
    <t>best component</t>
  </si>
  <si>
    <t>best mean D2</t>
  </si>
  <si>
    <t>own_damage</t>
  </si>
  <si>
    <t>Data-rich: GBM freq x GBM sev (WENDY 4) vs SAM 2 tree freq; recoveries matter</t>
  </si>
  <si>
    <t>third_party_prop</t>
  </si>
  <si>
    <t>Data-rich: WENDY 4 freq_sev or SAM 2 tree freq</t>
  </si>
  <si>
    <t>bodily_injury</t>
  </si>
  <si>
    <t>Long tail + 11.9m claim: GLM severity, latest year out of severity, consistent outlier rule</t>
  </si>
  <si>
    <t>theft</t>
  </si>
  <si>
    <t>Mid-size: GBM freq, GLM or GBM sev</t>
  </si>
  <si>
    <t>glass_hail</t>
  </si>
  <si>
    <t>Weather-driven frequency; small severity</t>
  </si>
  <si>
    <t>storm</t>
  </si>
  <si>
    <t>Weather-driven; WENDY 4 or SAM 2</t>
  </si>
  <si>
    <t>flood</t>
  </si>
  <si>
    <t>Sparse, hazard-driven: GLM / constrained GBM with flood_zone monotone</t>
  </si>
  <si>
    <t>escape_of_water</t>
  </si>
  <si>
    <t>Data-rich: GBM freq x GBM sev</t>
  </si>
  <si>
    <t>subsidence</t>
  </si>
  <si>
    <t>Sparse + long tail: GLM short list (SAM 2) or WENDY 4 GLM sev</t>
  </si>
  <si>
    <t>fire</t>
  </si>
  <si>
    <t>Sparsest + heaviest: GLM level, lower cap (0.99)</t>
  </si>
  <si>
    <t>accidental_damage</t>
  </si>
  <si>
    <t>Structural zero without AD cover</t>
  </si>
  <si>
    <t>Security level, high-value items</t>
  </si>
  <si>
    <t>GBM freq</t>
  </si>
  <si>
    <t>Sparse: GLM short list or WENDY 4 GLM sev</t>
  </si>
  <si>
    <t>Enter each candidate's D2 on ONE shared basis. Ready now: the 2024 time fold on developed actuals (fit 2021-23) - WENDY 4 / WENDY 4 SAM02-clean validation_by_peril.csv (valid_year 2024, chosen method), WENDY 5 / 6 comparison/peril_scores.csv (scheme time_2024). WENDY 3 and SAM 2 need re-scoring on that basis (Next_Steps #1). Claims and severities: profiling of 20 Oct 2026 (uncapped, approximate - verify). Peril scores cannot be read from line models (ITER 1, ITER 2, SAM 1, BEN 1).</t>
  </si>
  <si>
    <t>step</t>
  </si>
  <si>
    <t>detail</t>
  </si>
  <si>
    <t>linked items</t>
  </si>
  <si>
    <t>priority</t>
  </si>
  <si>
    <t>Shared scoring harness</t>
  </si>
  <si>
    <t>One R helper (e.g. R/oof_io.R): fixed folds 2023 / 2024 (fit on earlier years), D2 on reported AND developed actuals, d2 and d2_flat, Gini, A/E. Every script writes row-level OOF predictions per peril and line. WENDY 5/6 already write comparison/peril_scores.csv, line_scores.csv, component_cv.csv and test_preds_by_peril (wendy_core.R) - extend that format to the rest.</t>
  </si>
  <si>
    <t>CR01, CR02, CR24</t>
  </si>
  <si>
    <t>High</t>
  </si>
  <si>
    <t>Re-run every iteration through the harness</t>
  </si>
  <si>
    <t>ITER 2, BEN 1, WENDY 3, WENDY 4, SAM 2 at minimum (ITER 1 / SAM 1 as GLM references), with voluntary_excess in every frequency and severity model.</t>
  </si>
  <si>
    <t>Excess_Treatment gaps</t>
  </si>
  <si>
    <t>Fill Blend_Peril and Blend_Line</t>
  </si>
  <si>
    <t>Per peril: pick the best component (or a 2-3 model blend) on developed mean D2; per line: compare sum-of-perils vs line models.</t>
  </si>
  <si>
    <t>Separate shape from level</t>
  </si>
  <si>
    <t>Choose ranking components on calibrated D2, then set each line's 2025 level once (ultimate + trend), as SAM 2 does. Test level x0.9-1.1.</t>
  </si>
  <si>
    <t>Change_Levers #1</t>
  </si>
  <si>
    <t>Fix code issues before the final fit</t>
  </si>
  <si>
    <t>noise_probe (CR12), drift fields in SAM 2 (CR13), BEN 1 IBNR weighting (CR10), WENDY 4 replication (CR17).</t>
  </si>
  <si>
    <t>Code_Review</t>
  </si>
  <si>
    <t>Final blend script</t>
  </si>
  <si>
    <t>R/4_models_iterfinal01.R: loads the chosen fitted components, applies per-peril / per-line weights from this workbook, one level step, replication check, submission log row.</t>
  </si>
  <si>
    <t>Log every new submission</t>
  </si>
  <si>
    <t>Add a row in Iteration_Summary (rows 9-12) and in docs/workflow.md.</t>
  </si>
  <si>
    <t>Ongoing</t>
  </si>
  <si>
    <t>Bootstrap noise threshold for Submit_Gate</t>
  </si>
  <si>
    <t>Save row-level 2024 predictions of both models (same rows), then: library(data.table); set.seed(1); pol &lt;- unique(v$policy_id); d &lt;- replicate(200, { s &lt;- v[policy_id %in% sample(pol, replace = TRUE)]; d2(s$actual, s$pred_a, s$exposure) - d2(s$actual, s$pred_b, s$exposure) }); sd(d) = standard error; put 2 x sd(d) in Submit_Gate!B1. (Sampling policies with replacement and filtering keeps each policy once; a strict bootstrap would repeat drawn policies - verify the approach suits your D2 function.)</t>
  </si>
  <si>
    <t>Submit_Gate</t>
  </si>
  <si>
    <t>Noise threshold (local D2)</t>
  </si>
  <si>
    <t>candidate</t>
  </si>
  <si>
    <t>comparator</t>
  </si>
  <si>
    <t>fold</t>
  </si>
  <si>
    <t>candidate local D2 ALL</t>
  </si>
  <si>
    <t>comparator local D2 ALL</t>
  </si>
  <si>
    <t>difference</t>
  </si>
  <si>
    <t>decision</t>
  </si>
  <si>
    <t>note</t>
  </si>
  <si>
    <t>SAM 3 (best public)</t>
  </si>
  <si>
    <t>User re-run 22 Oct; SAM 3 from workflow.md</t>
  </si>
  <si>
    <t>Identical to 4 decimals - cleaning made no visible difference (confirm with the compare script)</t>
  </si>
  <si>
    <t>2023-24 mean</t>
  </si>
  <si>
    <t>Back-test: public WENDY 4 0.12671 &lt; SAM 3 0.12818 - same direction</t>
  </si>
  <si>
    <t>developed</t>
  </si>
  <si>
    <t>Back-test: public later fell -0.00035, so the gate would have saved this submission</t>
  </si>
  <si>
    <t>Back-test: public later rose +0.00022 (a tie in practice)</t>
  </si>
  <si>
    <t>WENDY 5 / WENDY 4</t>
  </si>
  <si>
    <t>Fill when the run finishes (comparison/line_scores.csv, scheme time_2024)</t>
  </si>
  <si>
    <t>model</t>
  </si>
  <si>
    <t>d2 (reported)</t>
  </si>
  <si>
    <t>d2_cal</t>
  </si>
  <si>
    <t>gini</t>
  </si>
  <si>
    <t>A/E developed</t>
  </si>
  <si>
    <t>mean d2_cal 2022-24</t>
  </si>
  <si>
    <t>mean d2 2022-24</t>
  </si>
  <si>
    <t>d2 2024</t>
  </si>
  <si>
    <t>blend weight</t>
  </si>
  <si>
    <t>blend</t>
  </si>
  <si>
    <t>peril_glm</t>
  </si>
  <si>
    <t>peril_lgb</t>
  </si>
  <si>
    <t>peril_xgb</t>
  </si>
  <si>
    <t>lgb_tweedie</t>
  </si>
  <si>
    <t>xgb_tweedie</t>
  </si>
  <si>
    <t>burn_cost</t>
  </si>
  <si>
    <t>legacy_glm</t>
  </si>
  <si>
    <t>burn_trend</t>
  </si>
  <si>
    <t>legacy_xgb</t>
  </si>
  <si>
    <t>peril_glm_notrend</t>
  </si>
  <si>
    <t>Source: sam_iteration_03_model_summary.xlsx (Validation, Blend weights). Reported actuals; d2_cal removes the level (ranking only). Legacy = SAM's replays of ITER 1 GLM / ITER 2 XGBoost on the same folds.</t>
  </si>
  <si>
    <t>WENDY 7 A0 (=WENDY 4, mid-date IBNR)</t>
  </si>
  <si>
    <t>reported_raw (local protocol)</t>
  </si>
  <si>
    <t>output/4_check_reported/wendy07_a0/line_scores.csv</t>
  </si>
  <si>
    <t>WENDY 7 A1 (IBNR over row days)</t>
  </si>
  <si>
    <t>output/4_check_reported/wendy07_a1/line_scores.csv</t>
  </si>
  <si>
    <t>WENDY 7 A2 (chain ladder)</t>
  </si>
  <si>
    <t>output/4_check_reported/wendy07_a2/line_scores.csv</t>
  </si>
  <si>
    <t>WENDY 7 B6 (excess all perils)</t>
  </si>
  <si>
    <t>output/4_check_reported/wendy07_b6/line_scores.csv</t>
  </si>
  <si>
    <t>WENDY 7 B4 (history v2)</t>
  </si>
  <si>
    <t>output/4_check_reported/wendy07_b4/line_scores.csv</t>
  </si>
  <si>
    <t>WENDY 7 C1 (CL+excess+history)</t>
  </si>
  <si>
    <t>output/4_check_reported/wendy07_c1/line_scores.csv</t>
  </si>
  <si>
    <t>WENDY 7 C2 (CL+excess)</t>
  </si>
  <si>
    <t>output/4_check_reported/wendy07_c2/line_scores.csv</t>
  </si>
  <si>
    <t>WENDY 7 C2 bag5</t>
  </si>
  <si>
    <t>output/4_check_reported/wendy07_c2bag5/line_scores.csv</t>
  </si>
  <si>
    <t>WENDY 7 C3 (C2 bag5, final fit)</t>
  </si>
  <si>
    <t>output/4_check_reported/wendy07_c3/line_scores.csv</t>
  </si>
  <si>
    <t>WENDY 7 C4 (C3 + BI no trend)</t>
  </si>
  <si>
    <t>output/4_check_reported/wendy07_c4/line_scores.csv</t>
  </si>
  <si>
    <t>WENDY 7 final (0.5 C4 + 0.5 SAM 3)</t>
  </si>
  <si>
    <t>output/4_check_reported/wendy07_final/line_scores.csv</t>
  </si>
  <si>
    <t>SAM 3 (rerun for WENDY 7 blend)</t>
  </si>
  <si>
    <t>output/4_check_reported/sam03/line_scores.csv</t>
  </si>
  <si>
    <t>Measured 22 Oct (R/4_compare_wendy07.R, 200 policy draws, mean 2023-24 reported_raw): 2 x bootstrap SE of the ALL difference is 0.0004-0.0011 depending on the pair; 0.0011 is the largest (WENDY 7 variants vs A0). Use each pair's own 2 x SE from output/4_check_reported/compare_wendy07_vs_*.csv where given.</t>
  </si>
  <si>
    <t>SAM 3 (best public, rerun)</t>
  </si>
  <si>
    <t>reported_raw</t>
  </si>
  <si>
    <t>+0.00093 &gt; pair 2 x SE 0.00047, 100% of draws; cross-fold gain positive in 6/6; file submission_20261022_2135_wendy07_final.csv</t>
  </si>
  <si>
    <t>WENDY 7 C4 (alone)</t>
  </si>
  <si>
    <t>Hold - within noise</t>
  </si>
  <si>
    <t>Only worth submitting as part of the blend</t>
  </si>
  <si>
    <t>WENDY 7 A1</t>
  </si>
  <si>
    <t>WENDY 7 A0</t>
  </si>
  <si>
    <t>IBNR: judge on docs/wendy07_experiment_log.md step 6 backtest instead</t>
  </si>
  <si>
    <t>WENDY 7 A2</t>
  </si>
  <si>
    <t>IBNR: chain ladder adopted on the backtest, not on D2</t>
  </si>
  <si>
    <t>WENDY 7 B6</t>
  </si>
  <si>
    <t>Borderline (+0.00102 vs 0.00107), 100% of draws; kept in the final model</t>
  </si>
  <si>
    <t>Submitted #10 - public 0.12924 (+0.00106 vs SAM 3)</t>
  </si>
  <si>
    <t>WENDY 7 final2 (C5 x SAM 3)</t>
  </si>
  <si>
    <t>#10 WENDY 7 final (public 0.12924)</t>
  </si>
  <si>
    <t>+0.00074 &gt; pair 2 x SE 0.00051, 100% of draws; file submission_20261022_2328_wendy07_final2.csv</t>
  </si>
  <si>
    <t>WENDY 7 C5 (alone)</t>
  </si>
  <si>
    <t>Only as part of the blend</t>
  </si>
  <si>
    <t>WENDY 7 C5 (C4 + peril lab winners)</t>
  </si>
  <si>
    <t>output/4_check_reported/wendy07_c5/line_scores.csv</t>
  </si>
  <si>
    <t>output/4_check_reported/wendy07_final2/line_scores.csv</t>
  </si>
  <si>
    <t>On hold (Wendy, 23 Oct) - passes gate vs #10, not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</si>
</sst>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
    <numFmt numFmtId="167" formatCode="\+0.00000;\-0.00000;0"/>
    <numFmt numFmtId="168" formatCode="\+0.0000;\-0.0000;0"/>
  </numFmts>
  <fonts count="7" x14ac:knownFonts="1">
    <font>
      <sz val="11"/>
      <color theme="1"/>
      <name val="Calibri"/>
      <family val="2"/>
      <charset val="1"/>
    </font>
    <font>
      <b/>
      <sz val="14"/>
      <color theme="1"/>
      <name val="Arial"/>
      <family val="2"/>
    </font>
    <font>
      <b/>
      <sz val="10"/>
      <color theme="1"/>
      <name val="Arial"/>
      <family val="2"/>
    </font>
    <font>
      <sz val="10"/>
      <color theme="1"/>
      <name val="Arial"/>
      <family val="2"/>
    </font>
    <font>
      <sz val="10"/>
      <color rgb="FF0000FF"/>
      <name val="Arial"/>
      <family val="2"/>
    </font>
    <font>
      <sz val="11"/>
      <color theme="1"/>
      <name val="Calibri"/>
      <family val="2"/>
    </font>
    <font>
      <b/>
      <sz val="10"/>
      <color rgb="FFFFFFFF"/>
      <name val="Arial"/>
      <family val="2"/>
    </font>
  </fonts>
  <fills count="5">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CE4D6"/>
        <bgColor rgb="FFFFF2CC"/>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Protection="1">
      <protection locked="0"/>
    </xf>
    <xf numFmtId="0" fontId="2" fillId="0" borderId="0" xfId="0" applyFont="1" applyAlignment="1" applyProtection="1">
      <alignment vertical="top" wrapText="1"/>
      <protection locked="0"/>
    </xf>
    <xf numFmtId="0" fontId="3" fillId="0" borderId="0" xfId="0" applyFont="1" applyAlignment="1" applyProtection="1">
      <alignment vertical="top" wrapText="1"/>
      <protection locked="0"/>
    </xf>
    <xf numFmtId="164" fontId="4" fillId="2" borderId="0" xfId="0" applyNumberFormat="1" applyFont="1" applyFill="1" applyAlignment="1" applyProtection="1">
      <alignment vertical="top" wrapText="1"/>
      <protection locked="0"/>
    </xf>
    <xf numFmtId="4" fontId="4" fillId="2" borderId="0" xfId="0" applyNumberFormat="1" applyFont="1" applyFill="1" applyAlignment="1" applyProtection="1">
      <alignment vertical="top" wrapText="1"/>
      <protection locked="0"/>
    </xf>
    <xf numFmtId="0" fontId="2" fillId="0" borderId="0" xfId="0" applyFont="1" applyProtection="1">
      <protection locked="0"/>
    </xf>
    <xf numFmtId="165" fontId="5" fillId="0" borderId="0" xfId="0" applyNumberFormat="1" applyFont="1" applyProtection="1">
      <protection locked="0"/>
    </xf>
    <xf numFmtId="0" fontId="5" fillId="0" borderId="0" xfId="0" applyFont="1" applyProtection="1">
      <protection locked="0"/>
    </xf>
    <xf numFmtId="0" fontId="6" fillId="3" borderId="0" xfId="0" applyFont="1" applyFill="1" applyAlignment="1" applyProtection="1">
      <alignment horizontal="center" vertical="center" wrapText="1"/>
      <protection locked="0"/>
    </xf>
    <xf numFmtId="165" fontId="3" fillId="0" borderId="0" xfId="0" applyNumberFormat="1" applyFont="1" applyAlignment="1" applyProtection="1">
      <alignment vertical="top" wrapText="1"/>
      <protection locked="0"/>
    </xf>
    <xf numFmtId="166" fontId="3" fillId="0" borderId="0" xfId="0" applyNumberFormat="1" applyFont="1" applyAlignment="1" applyProtection="1">
      <alignment vertical="top" wrapText="1"/>
      <protection locked="0"/>
    </xf>
    <xf numFmtId="164" fontId="3" fillId="0" borderId="0" xfId="0" applyNumberFormat="1" applyFont="1" applyAlignment="1" applyProtection="1">
      <alignment vertical="top" wrapText="1"/>
      <protection locked="0"/>
    </xf>
    <xf numFmtId="4" fontId="3" fillId="0" borderId="0" xfId="0" applyNumberFormat="1" applyFont="1" applyAlignment="1" applyProtection="1">
      <alignment vertical="top" wrapText="1"/>
      <protection locked="0"/>
    </xf>
    <xf numFmtId="167" fontId="3" fillId="0" borderId="0" xfId="0" applyNumberFormat="1" applyFont="1" applyAlignment="1" applyProtection="1">
      <alignment vertical="top" wrapText="1"/>
      <protection locked="0"/>
    </xf>
    <xf numFmtId="0" fontId="4" fillId="2" borderId="0" xfId="0" applyFont="1" applyFill="1" applyAlignment="1" applyProtection="1">
      <alignment vertical="top" wrapText="1"/>
      <protection locked="0"/>
    </xf>
    <xf numFmtId="165" fontId="4" fillId="2" borderId="0" xfId="0" applyNumberFormat="1" applyFont="1" applyFill="1" applyAlignment="1" applyProtection="1">
      <alignment vertical="top" wrapText="1"/>
      <protection locked="0"/>
    </xf>
    <xf numFmtId="166" fontId="4" fillId="2" borderId="0" xfId="0" applyNumberFormat="1" applyFont="1" applyFill="1" applyAlignment="1" applyProtection="1">
      <alignment vertical="top" wrapText="1"/>
      <protection locked="0"/>
    </xf>
    <xf numFmtId="2" fontId="3" fillId="0" borderId="0" xfId="0" applyNumberFormat="1" applyFont="1" applyProtection="1">
      <protection locked="0"/>
    </xf>
    <xf numFmtId="0" fontId="3" fillId="0" borderId="0" xfId="0" applyFont="1" applyProtection="1">
      <protection locked="0"/>
    </xf>
    <xf numFmtId="168" fontId="3" fillId="0" borderId="0" xfId="0" applyNumberFormat="1" applyFont="1" applyAlignment="1" applyProtection="1">
      <alignment vertical="top" wrapText="1"/>
      <protection locked="0"/>
    </xf>
    <xf numFmtId="166" fontId="3" fillId="4" borderId="0" xfId="0" applyNumberFormat="1" applyFont="1" applyFill="1" applyAlignment="1" applyProtection="1">
      <alignment vertical="top" wrapText="1"/>
      <protection locked="0"/>
    </xf>
    <xf numFmtId="3" fontId="3" fillId="0" borderId="0" xfId="0" applyNumberFormat="1" applyFont="1" applyAlignment="1" applyProtection="1">
      <alignment vertical="top" wrapText="1"/>
      <protection locked="0"/>
    </xf>
    <xf numFmtId="166" fontId="4" fillId="2" borderId="0" xfId="0" applyNumberFormat="1" applyFont="1" applyFill="1" applyProtection="1">
      <protection locked="0"/>
    </xf>
    <xf numFmtId="0" fontId="3" fillId="0" borderId="0" xfId="0" applyFont="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zoomScaleNormal="100" workbookViewId="0"/>
  </sheetViews>
  <sheetFormatPr defaultColWidth="11.44140625" defaultRowHeight="14.4" x14ac:dyDescent="0.3"/>
  <cols>
    <col min="1" max="1" width="26" customWidth="1"/>
    <col min="2" max="2" width="110" customWidth="1"/>
  </cols>
  <sheetData>
    <row r="1" spans="1:2" ht="17.399999999999999" customHeight="1" x14ac:dyDescent="0.3">
      <c r="A1" s="1" t="s">
        <v>0</v>
      </c>
    </row>
    <row r="2" spans="1:2" ht="23.85" customHeight="1" x14ac:dyDescent="0.3">
      <c r="A2" s="2" t="s">
        <v>1</v>
      </c>
      <c r="B2" s="3" t="s">
        <v>2</v>
      </c>
    </row>
    <row r="3" spans="1:2" ht="15" customHeight="1" x14ac:dyDescent="0.3">
      <c r="A3" s="2" t="s">
        <v>3</v>
      </c>
      <c r="B3" s="3" t="s">
        <v>4</v>
      </c>
    </row>
    <row r="4" spans="1:2" ht="23.85" customHeight="1" x14ac:dyDescent="0.3">
      <c r="A4" s="2" t="s">
        <v>5</v>
      </c>
      <c r="B4" s="3" t="s">
        <v>6</v>
      </c>
    </row>
    <row r="5" spans="1:2" ht="35.1" customHeight="1" x14ac:dyDescent="0.3">
      <c r="A5" s="2" t="s">
        <v>7</v>
      </c>
      <c r="B5" s="3" t="s">
        <v>8</v>
      </c>
    </row>
    <row r="6" spans="1:2" ht="23.85" customHeight="1" x14ac:dyDescent="0.3">
      <c r="A6" s="2" t="s">
        <v>9</v>
      </c>
      <c r="B6" s="3" t="s">
        <v>10</v>
      </c>
    </row>
    <row r="7" spans="1:2" ht="35.1" customHeight="1" x14ac:dyDescent="0.3">
      <c r="A7" s="2" t="s">
        <v>11</v>
      </c>
      <c r="B7" s="3" t="s">
        <v>12</v>
      </c>
    </row>
    <row r="8" spans="1:2" ht="15" customHeight="1" x14ac:dyDescent="0.3">
      <c r="A8" s="2" t="s">
        <v>13</v>
      </c>
      <c r="B8" s="3" t="s">
        <v>14</v>
      </c>
    </row>
  </sheetData>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11.44140625" defaultRowHeight="14.4" x14ac:dyDescent="0.3"/>
  <cols>
    <col min="1" max="1" width="4" customWidth="1"/>
    <col min="2" max="2" width="10" customWidth="1"/>
    <col min="3" max="3" width="11" customWidth="1"/>
    <col min="4" max="4" width="8" customWidth="1"/>
    <col min="5" max="5" width="30" customWidth="1"/>
    <col min="6" max="6" width="10" customWidth="1"/>
    <col min="7" max="9" width="9" customWidth="1"/>
    <col min="10" max="10" width="12" customWidth="1"/>
    <col min="11" max="16" width="8" customWidth="1"/>
    <col min="17" max="19" width="10" customWidth="1"/>
    <col min="20" max="20" width="40" customWidth="1"/>
    <col min="21" max="21" width="60" customWidth="1"/>
    <col min="22" max="22" width="44" customWidth="1"/>
    <col min="23" max="25" width="12" customWidth="1"/>
    <col min="26" max="26" width="9" customWidth="1"/>
    <col min="27" max="27" width="7" customWidth="1"/>
  </cols>
  <sheetData>
    <row r="1" spans="1:27" ht="30" customHeight="1" x14ac:dyDescent="0.3">
      <c r="A1" s="9" t="s">
        <v>15</v>
      </c>
      <c r="B1" s="9" t="s">
        <v>16</v>
      </c>
      <c r="C1" s="9" t="s">
        <v>17</v>
      </c>
      <c r="D1" s="9" t="s">
        <v>18</v>
      </c>
      <c r="E1" s="9" t="s">
        <v>19</v>
      </c>
      <c r="F1" s="9" t="s">
        <v>20</v>
      </c>
      <c r="G1" s="9" t="s">
        <v>21</v>
      </c>
      <c r="H1" s="9" t="s">
        <v>22</v>
      </c>
      <c r="I1" s="9" t="s">
        <v>23</v>
      </c>
      <c r="J1" s="9" t="s">
        <v>24</v>
      </c>
      <c r="K1" s="9" t="s">
        <v>25</v>
      </c>
      <c r="L1" s="9" t="s">
        <v>26</v>
      </c>
      <c r="M1" s="9" t="s">
        <v>27</v>
      </c>
      <c r="N1" s="9" t="s">
        <v>28</v>
      </c>
      <c r="O1" s="9" t="s">
        <v>29</v>
      </c>
      <c r="P1" s="9" t="s">
        <v>30</v>
      </c>
      <c r="Q1" s="9" t="s">
        <v>31</v>
      </c>
      <c r="R1" s="9" t="s">
        <v>32</v>
      </c>
      <c r="S1" s="9" t="s">
        <v>33</v>
      </c>
      <c r="T1" s="9" t="s">
        <v>34</v>
      </c>
      <c r="U1" s="9" t="s">
        <v>35</v>
      </c>
      <c r="V1" s="9" t="s">
        <v>36</v>
      </c>
      <c r="W1" s="9" t="s">
        <v>37</v>
      </c>
      <c r="X1" s="9" t="s">
        <v>38</v>
      </c>
      <c r="Y1" s="9" t="s">
        <v>39</v>
      </c>
      <c r="Z1" s="9" t="s">
        <v>40</v>
      </c>
      <c r="AA1" s="9" t="s">
        <v>41</v>
      </c>
    </row>
    <row r="2" spans="1:27" ht="23.85" customHeight="1" x14ac:dyDescent="0.3">
      <c r="A2" s="3">
        <v>1</v>
      </c>
      <c r="B2" s="3" t="s">
        <v>42</v>
      </c>
      <c r="C2" s="3" t="s">
        <v>43</v>
      </c>
      <c r="D2" s="3" t="s">
        <v>44</v>
      </c>
      <c r="E2" s="3" t="s">
        <v>45</v>
      </c>
      <c r="F2" s="10">
        <v>0.11904000000000001</v>
      </c>
      <c r="G2" s="11"/>
      <c r="H2" s="11">
        <v>0.1055</v>
      </c>
      <c r="I2" s="11">
        <v>9.4399999999999998E-2</v>
      </c>
      <c r="J2" s="3" t="s">
        <v>46</v>
      </c>
      <c r="K2" s="12">
        <v>5.5E-2</v>
      </c>
      <c r="L2" s="12">
        <v>4.4999999999999998E-2</v>
      </c>
      <c r="M2" s="12">
        <v>6.2E-2</v>
      </c>
      <c r="N2" s="12">
        <v>6.6000000000000003E-2</v>
      </c>
      <c r="O2" s="12">
        <v>6.2E-2</v>
      </c>
      <c r="P2" s="12">
        <v>6.0999999999999999E-2</v>
      </c>
      <c r="Q2" s="13">
        <v>518.12</v>
      </c>
      <c r="R2" s="13">
        <v>425.08</v>
      </c>
      <c r="S2" s="13">
        <v>113.2</v>
      </c>
      <c r="T2" s="3" t="s">
        <v>47</v>
      </c>
      <c r="U2" s="3" t="s">
        <v>48</v>
      </c>
      <c r="V2" s="3" t="s">
        <v>49</v>
      </c>
      <c r="W2" s="3" t="s">
        <v>50</v>
      </c>
      <c r="X2" s="14" t="s">
        <v>50</v>
      </c>
      <c r="Y2" s="14" t="s">
        <v>50</v>
      </c>
      <c r="Z2" s="3" t="s">
        <v>51</v>
      </c>
      <c r="AA2" s="3">
        <f t="shared" ref="AA2:AA16" si="0">IF(F2="","",RANK(F2,$F$2:$F$16))</f>
        <v>8</v>
      </c>
    </row>
    <row r="3" spans="1:27" ht="35.1" customHeight="1" x14ac:dyDescent="0.3">
      <c r="A3" s="3">
        <v>2</v>
      </c>
      <c r="B3" s="3" t="s">
        <v>52</v>
      </c>
      <c r="C3" s="3" t="s">
        <v>53</v>
      </c>
      <c r="D3" s="3" t="s">
        <v>54</v>
      </c>
      <c r="E3" s="3" t="s">
        <v>55</v>
      </c>
      <c r="F3" s="10">
        <v>0.12149</v>
      </c>
      <c r="G3" s="11"/>
      <c r="H3" s="11">
        <v>9.9699999999999997E-2</v>
      </c>
      <c r="I3" s="11">
        <v>9.7299999999999998E-2</v>
      </c>
      <c r="J3" s="3" t="s">
        <v>46</v>
      </c>
      <c r="K3" s="12">
        <v>3.7999999999999999E-2</v>
      </c>
      <c r="L3" s="12">
        <v>0.05</v>
      </c>
      <c r="M3" s="12">
        <v>7.0000000000000007E-2</v>
      </c>
      <c r="N3" s="12">
        <v>7.0999999999999994E-2</v>
      </c>
      <c r="O3" s="12">
        <v>0.06</v>
      </c>
      <c r="P3" s="12">
        <v>5.7000000000000002E-2</v>
      </c>
      <c r="Q3" s="13">
        <v>498.8</v>
      </c>
      <c r="R3" s="13">
        <v>434.25</v>
      </c>
      <c r="S3" s="13">
        <v>119.13</v>
      </c>
      <c r="T3" s="3" t="s">
        <v>56</v>
      </c>
      <c r="U3" s="3" t="s">
        <v>57</v>
      </c>
      <c r="V3" s="3" t="s">
        <v>58</v>
      </c>
      <c r="W3" s="3" t="s">
        <v>59</v>
      </c>
      <c r="X3" s="14">
        <f t="shared" ref="X3:X16" si="1">IF(OR(F3="",F2=""),"",F3-F2)</f>
        <v>2.4499999999999938E-3</v>
      </c>
      <c r="Y3" s="14">
        <f>IF(F3="","",F3-MAX(F$2:F2))</f>
        <v>2.4499999999999938E-3</v>
      </c>
      <c r="Z3" s="3" t="str">
        <f>IF(F3="","",IF(F3&gt;MAX(F$2:F2),"Yes","No"))</f>
        <v>Yes</v>
      </c>
      <c r="AA3" s="3">
        <f t="shared" si="0"/>
        <v>6</v>
      </c>
    </row>
    <row r="4" spans="1:27" ht="46.35" customHeight="1" x14ac:dyDescent="0.3">
      <c r="A4" s="3">
        <v>3</v>
      </c>
      <c r="B4" s="3" t="s">
        <v>60</v>
      </c>
      <c r="C4" s="3" t="s">
        <v>53</v>
      </c>
      <c r="D4" s="3" t="s">
        <v>61</v>
      </c>
      <c r="E4" s="3" t="s">
        <v>62</v>
      </c>
      <c r="F4" s="10">
        <v>0.11876</v>
      </c>
      <c r="G4" s="11"/>
      <c r="H4" s="11">
        <v>0.1071</v>
      </c>
      <c r="I4" s="11">
        <v>9.5899999999999999E-2</v>
      </c>
      <c r="J4" s="3" t="s">
        <v>46</v>
      </c>
      <c r="K4" s="12">
        <v>5.6000000000000001E-2</v>
      </c>
      <c r="L4" s="12">
        <v>4.4999999999999998E-2</v>
      </c>
      <c r="M4" s="12">
        <v>6.5000000000000002E-2</v>
      </c>
      <c r="N4" s="12">
        <v>7.0000000000000007E-2</v>
      </c>
      <c r="O4" s="12">
        <v>6.4000000000000001E-2</v>
      </c>
      <c r="P4" s="12">
        <v>6.2E-2</v>
      </c>
      <c r="Q4" s="13">
        <v>518.12</v>
      </c>
      <c r="R4" s="13">
        <v>411.79</v>
      </c>
      <c r="S4" s="13">
        <v>111.8</v>
      </c>
      <c r="T4" s="3" t="s">
        <v>63</v>
      </c>
      <c r="U4" s="3" t="s">
        <v>64</v>
      </c>
      <c r="V4" s="3" t="s">
        <v>65</v>
      </c>
      <c r="W4" s="3" t="s">
        <v>59</v>
      </c>
      <c r="X4" s="14">
        <f t="shared" si="1"/>
        <v>-2.7299999999999963E-3</v>
      </c>
      <c r="Y4" s="14">
        <f>IF(F4="","",F4-MAX(F$2:F3))</f>
        <v>-2.7299999999999963E-3</v>
      </c>
      <c r="Z4" s="3" t="str">
        <f>IF(F4="","",IF(F4&gt;MAX(F$2:F3),"Yes","No"))</f>
        <v>No</v>
      </c>
      <c r="AA4" s="3">
        <f t="shared" si="0"/>
        <v>9</v>
      </c>
    </row>
    <row r="5" spans="1:27" ht="35.1" customHeight="1" x14ac:dyDescent="0.3">
      <c r="A5" s="3">
        <v>4</v>
      </c>
      <c r="B5" s="3" t="s">
        <v>66</v>
      </c>
      <c r="C5" s="3" t="s">
        <v>53</v>
      </c>
      <c r="D5" s="3" t="s">
        <v>67</v>
      </c>
      <c r="E5" s="3" t="s">
        <v>68</v>
      </c>
      <c r="F5" s="10">
        <v>0.12132</v>
      </c>
      <c r="G5" s="11"/>
      <c r="H5" s="11"/>
      <c r="I5" s="11">
        <v>9.5399999999999999E-2</v>
      </c>
      <c r="J5" s="3" t="s">
        <v>69</v>
      </c>
      <c r="K5" s="12"/>
      <c r="L5" s="12">
        <v>4.2999999999999997E-2</v>
      </c>
      <c r="M5" s="12"/>
      <c r="N5" s="12">
        <v>7.1999999999999995E-2</v>
      </c>
      <c r="O5" s="12"/>
      <c r="P5" s="12">
        <v>5.8999999999999997E-2</v>
      </c>
      <c r="Q5" s="13"/>
      <c r="R5" s="13"/>
      <c r="S5" s="13"/>
      <c r="T5" s="3" t="s">
        <v>70</v>
      </c>
      <c r="U5" s="3" t="s">
        <v>71</v>
      </c>
      <c r="V5" s="3" t="s">
        <v>72</v>
      </c>
      <c r="W5" s="3" t="s">
        <v>59</v>
      </c>
      <c r="X5" s="14">
        <f t="shared" si="1"/>
        <v>2.5599999999999928E-3</v>
      </c>
      <c r="Y5" s="14">
        <f>IF(F5="","",F5-MAX(F$2:F4))</f>
        <v>-1.7000000000000348E-4</v>
      </c>
      <c r="Z5" s="3" t="str">
        <f>IF(F5="","",IF(F5&gt;MAX(F$2:F4),"Yes","No"))</f>
        <v>No</v>
      </c>
      <c r="AA5" s="3">
        <f t="shared" si="0"/>
        <v>7</v>
      </c>
    </row>
    <row r="6" spans="1:27" ht="35.1" customHeight="1" x14ac:dyDescent="0.3">
      <c r="A6" s="3">
        <v>5</v>
      </c>
      <c r="B6" s="3" t="s">
        <v>73</v>
      </c>
      <c r="C6" s="3" t="s">
        <v>53</v>
      </c>
      <c r="D6" s="3" t="s">
        <v>54</v>
      </c>
      <c r="E6" s="3" t="s">
        <v>74</v>
      </c>
      <c r="F6" s="10">
        <v>0.12224</v>
      </c>
      <c r="G6" s="11"/>
      <c r="H6" s="11">
        <v>0.1</v>
      </c>
      <c r="I6" s="11">
        <v>9.98E-2</v>
      </c>
      <c r="J6" s="3" t="s">
        <v>46</v>
      </c>
      <c r="K6" s="12">
        <v>3.7999999999999999E-2</v>
      </c>
      <c r="L6" s="12">
        <v>5.0999999999999997E-2</v>
      </c>
      <c r="M6" s="12">
        <v>6.9000000000000006E-2</v>
      </c>
      <c r="N6" s="12">
        <v>7.2999999999999995E-2</v>
      </c>
      <c r="O6" s="12">
        <v>6.2E-2</v>
      </c>
      <c r="P6" s="12">
        <v>6.2E-2</v>
      </c>
      <c r="Q6" s="13"/>
      <c r="R6" s="13"/>
      <c r="S6" s="13"/>
      <c r="T6" s="3" t="s">
        <v>75</v>
      </c>
      <c r="U6" s="3" t="s">
        <v>76</v>
      </c>
      <c r="V6" s="3" t="s">
        <v>77</v>
      </c>
      <c r="W6" s="3" t="s">
        <v>78</v>
      </c>
      <c r="X6" s="14">
        <f t="shared" si="1"/>
        <v>9.2000000000000415E-4</v>
      </c>
      <c r="Y6" s="14">
        <f>IF(F6="","",F6-MAX(F$2:F5))</f>
        <v>7.5000000000000067E-4</v>
      </c>
      <c r="Z6" s="3" t="str">
        <f>IF(F6="","",IF(F6&gt;MAX(F$2:F5),"Yes","No"))</f>
        <v>Yes</v>
      </c>
      <c r="AA6" s="3">
        <f t="shared" si="0"/>
        <v>5</v>
      </c>
    </row>
    <row r="7" spans="1:27" ht="102.15" customHeight="1" x14ac:dyDescent="0.3">
      <c r="A7" s="3">
        <v>6</v>
      </c>
      <c r="B7" s="3" t="s">
        <v>79</v>
      </c>
      <c r="C7" s="3" t="s">
        <v>80</v>
      </c>
      <c r="D7" s="3" t="s">
        <v>81</v>
      </c>
      <c r="E7" s="3" t="s">
        <v>82</v>
      </c>
      <c r="F7" s="10">
        <v>0.12670999999999999</v>
      </c>
      <c r="G7" s="11"/>
      <c r="H7" s="11">
        <v>0.1053</v>
      </c>
      <c r="I7" s="11">
        <v>0.1045</v>
      </c>
      <c r="J7" s="3" t="s">
        <v>83</v>
      </c>
      <c r="K7" s="12">
        <v>5.0999999999999997E-2</v>
      </c>
      <c r="L7" s="12">
        <v>5.5E-2</v>
      </c>
      <c r="M7" s="12">
        <v>7.0000000000000007E-2</v>
      </c>
      <c r="N7" s="12">
        <v>7.0999999999999994E-2</v>
      </c>
      <c r="O7" s="12">
        <v>7.0000000000000007E-2</v>
      </c>
      <c r="P7" s="12">
        <v>6.4000000000000001E-2</v>
      </c>
      <c r="Q7" s="13"/>
      <c r="R7" s="13"/>
      <c r="S7" s="13"/>
      <c r="T7" s="3" t="s">
        <v>84</v>
      </c>
      <c r="U7" s="3" t="s">
        <v>85</v>
      </c>
      <c r="V7" s="3" t="s">
        <v>86</v>
      </c>
      <c r="W7" s="3" t="s">
        <v>59</v>
      </c>
      <c r="X7" s="14">
        <f t="shared" si="1"/>
        <v>4.4699999999999879E-3</v>
      </c>
      <c r="Y7" s="14">
        <f>IF(F7="","",F7-MAX(F$2:F6))</f>
        <v>4.4699999999999879E-3</v>
      </c>
      <c r="Z7" s="3" t="str">
        <f>IF(F7="","",IF(F7&gt;MAX(F$2:F6),"Yes","No"))</f>
        <v>Yes</v>
      </c>
      <c r="AA7" s="3">
        <f t="shared" si="0"/>
        <v>3</v>
      </c>
    </row>
    <row r="8" spans="1:27" ht="46.35" customHeight="1" x14ac:dyDescent="0.3">
      <c r="A8" s="3">
        <v>7</v>
      </c>
      <c r="B8" s="3" t="s">
        <v>87</v>
      </c>
      <c r="C8" s="3" t="s">
        <v>80</v>
      </c>
      <c r="D8" s="3" t="s">
        <v>54</v>
      </c>
      <c r="E8" s="3" t="s">
        <v>88</v>
      </c>
      <c r="F8" s="10">
        <v>0.12795999999999999</v>
      </c>
      <c r="G8" s="11">
        <v>0.1143</v>
      </c>
      <c r="H8" s="11">
        <v>0.1045</v>
      </c>
      <c r="I8" s="11">
        <v>9.8199999999999996E-2</v>
      </c>
      <c r="J8" s="3" t="s">
        <v>46</v>
      </c>
      <c r="K8" s="12">
        <v>4.9000000000000002E-2</v>
      </c>
      <c r="L8" s="12">
        <v>4.5999999999999999E-2</v>
      </c>
      <c r="M8" s="12">
        <v>7.0999999999999994E-2</v>
      </c>
      <c r="N8" s="12">
        <v>7.0999999999999994E-2</v>
      </c>
      <c r="O8" s="12">
        <v>6.6000000000000003E-2</v>
      </c>
      <c r="P8" s="12">
        <v>6.7000000000000004E-2</v>
      </c>
      <c r="Q8" s="13">
        <v>604.13</v>
      </c>
      <c r="R8" s="13">
        <v>487.37</v>
      </c>
      <c r="S8" s="13">
        <v>125.14</v>
      </c>
      <c r="T8" s="3" t="s">
        <v>89</v>
      </c>
      <c r="U8" s="3" t="s">
        <v>90</v>
      </c>
      <c r="V8" s="3" t="s">
        <v>91</v>
      </c>
      <c r="W8" s="3" t="s">
        <v>59</v>
      </c>
      <c r="X8" s="14">
        <f t="shared" si="1"/>
        <v>1.2500000000000011E-3</v>
      </c>
      <c r="Y8" s="14">
        <f>IF(F8="","",F8-MAX(F$2:F7))</f>
        <v>1.2500000000000011E-3</v>
      </c>
      <c r="Z8" s="3" t="str">
        <f>IF(F8="","",IF(F8&gt;MAX(F$2:F7),"Yes","No"))</f>
        <v>Yes</v>
      </c>
      <c r="AA8" s="3">
        <f t="shared" si="0"/>
        <v>2</v>
      </c>
    </row>
    <row r="9" spans="1:27" ht="90.9" customHeight="1" x14ac:dyDescent="0.3">
      <c r="A9" s="3">
        <v>8</v>
      </c>
      <c r="B9" s="3" t="s">
        <v>92</v>
      </c>
      <c r="C9" s="3" t="s">
        <v>80</v>
      </c>
      <c r="D9" s="3" t="s">
        <v>54</v>
      </c>
      <c r="E9" s="3" t="s">
        <v>93</v>
      </c>
      <c r="F9" s="10">
        <v>0.12636</v>
      </c>
      <c r="G9" s="11"/>
      <c r="H9" s="11"/>
      <c r="I9" s="11">
        <v>0.10249999999999999</v>
      </c>
      <c r="J9" s="3" t="s">
        <v>94</v>
      </c>
      <c r="K9" s="12"/>
      <c r="L9" s="12">
        <v>5.1999999999999998E-2</v>
      </c>
      <c r="M9" s="12"/>
      <c r="N9" s="12">
        <v>6.9000000000000006E-2</v>
      </c>
      <c r="O9" s="12"/>
      <c r="P9" s="12">
        <v>6.3E-2</v>
      </c>
      <c r="Q9" s="13"/>
      <c r="R9" s="13"/>
      <c r="S9" s="13"/>
      <c r="T9" s="3" t="s">
        <v>95</v>
      </c>
      <c r="U9" s="3" t="s">
        <v>96</v>
      </c>
      <c r="V9" s="3" t="s">
        <v>97</v>
      </c>
      <c r="W9" s="3" t="s">
        <v>59</v>
      </c>
      <c r="X9" s="14">
        <f t="shared" si="1"/>
        <v>-1.5999999999999903E-3</v>
      </c>
      <c r="Y9" s="14">
        <f>IF(F9="","",F9-MAX(F$2:F8))</f>
        <v>-1.5999999999999903E-3</v>
      </c>
      <c r="Z9" s="3" t="str">
        <f>IF(F9="","",IF(F9&gt;MAX(F$2:F8),"Yes","No"))</f>
        <v>No</v>
      </c>
      <c r="AA9" s="3">
        <f t="shared" si="0"/>
        <v>4</v>
      </c>
    </row>
    <row r="10" spans="1:27" ht="57.45" customHeight="1" x14ac:dyDescent="0.3">
      <c r="A10" s="3">
        <v>9</v>
      </c>
      <c r="B10" s="3" t="s">
        <v>98</v>
      </c>
      <c r="C10" s="3" t="s">
        <v>80</v>
      </c>
      <c r="D10" s="3" t="s">
        <v>99</v>
      </c>
      <c r="E10" s="3" t="s">
        <v>100</v>
      </c>
      <c r="F10" s="10">
        <v>0.12817999999999999</v>
      </c>
      <c r="G10" s="11">
        <v>0.1145</v>
      </c>
      <c r="H10" s="11">
        <v>0.1043</v>
      </c>
      <c r="I10" s="11">
        <v>9.8599999999999993E-2</v>
      </c>
      <c r="J10" s="3" t="s">
        <v>46</v>
      </c>
      <c r="K10" s="12">
        <v>4.2999999999999997E-2</v>
      </c>
      <c r="L10" s="12">
        <v>4.7E-2</v>
      </c>
      <c r="M10" s="12">
        <v>7.0999999999999994E-2</v>
      </c>
      <c r="N10" s="12">
        <v>7.4999999999999997E-2</v>
      </c>
      <c r="O10" s="12">
        <v>7.0999999999999994E-2</v>
      </c>
      <c r="P10" s="12">
        <v>6.4000000000000001E-2</v>
      </c>
      <c r="Q10" s="13">
        <v>603.26</v>
      </c>
      <c r="R10" s="13">
        <v>487.44</v>
      </c>
      <c r="S10" s="13">
        <v>125.17</v>
      </c>
      <c r="T10" s="3" t="s">
        <v>101</v>
      </c>
      <c r="U10" s="3" t="s">
        <v>102</v>
      </c>
      <c r="V10" s="3" t="s">
        <v>103</v>
      </c>
      <c r="W10" s="3" t="s">
        <v>104</v>
      </c>
      <c r="X10" s="14">
        <f t="shared" si="1"/>
        <v>1.8199999999999883E-3</v>
      </c>
      <c r="Y10" s="14">
        <f>IF(F10="","",F10-MAX(F$2:F9))</f>
        <v>2.1999999999999797E-4</v>
      </c>
      <c r="Z10" s="3" t="str">
        <f>IF(F10="","",IF(F10&gt;MAX(F$2:F9),"Yes","No"))</f>
        <v>Yes</v>
      </c>
      <c r="AA10" s="3">
        <f t="shared" si="0"/>
        <v>1</v>
      </c>
    </row>
    <row r="11" spans="1:27" ht="90.9" customHeight="1" x14ac:dyDescent="0.3">
      <c r="A11" s="3">
        <v>10</v>
      </c>
      <c r="B11" s="3" t="s">
        <v>105</v>
      </c>
      <c r="C11" s="3" t="s">
        <v>106</v>
      </c>
      <c r="D11" s="3"/>
      <c r="E11" s="3" t="s">
        <v>107</v>
      </c>
      <c r="F11" s="10"/>
      <c r="G11" s="11"/>
      <c r="H11" s="11"/>
      <c r="I11" s="11">
        <v>9.8799999999999999E-2</v>
      </c>
      <c r="J11" s="3" t="s">
        <v>69</v>
      </c>
      <c r="K11" s="12"/>
      <c r="L11" s="12">
        <v>4.9099999999999998E-2</v>
      </c>
      <c r="M11" s="12"/>
      <c r="N11" s="12">
        <v>7.2700000000000001E-2</v>
      </c>
      <c r="O11" s="12"/>
      <c r="P11" s="12">
        <v>6.3700000000000007E-2</v>
      </c>
      <c r="Q11" s="13"/>
      <c r="R11" s="13"/>
      <c r="S11" s="13"/>
      <c r="T11" s="3" t="s">
        <v>108</v>
      </c>
      <c r="U11" s="3" t="s">
        <v>109</v>
      </c>
      <c r="V11" s="3" t="s">
        <v>110</v>
      </c>
      <c r="W11" s="3" t="s">
        <v>50</v>
      </c>
      <c r="X11" s="14" t="str">
        <f t="shared" si="1"/>
        <v/>
      </c>
      <c r="Y11" s="14" t="str">
        <f>IF(F11="","",F11-MAX(F$2:F10))</f>
        <v/>
      </c>
      <c r="Z11" s="3" t="str">
        <f>IF(F11="","",IF(F11&gt;MAX(F$2:F10),"Yes","No"))</f>
        <v/>
      </c>
      <c r="AA11" s="3" t="str">
        <f t="shared" si="0"/>
        <v/>
      </c>
    </row>
    <row r="12" spans="1:27" ht="35.1" customHeight="1" x14ac:dyDescent="0.3">
      <c r="A12" s="15">
        <v>11</v>
      </c>
      <c r="B12" s="15" t="s">
        <v>111</v>
      </c>
      <c r="C12" s="15" t="s">
        <v>112</v>
      </c>
      <c r="D12" s="15"/>
      <c r="E12" s="15" t="s">
        <v>113</v>
      </c>
      <c r="F12" s="16"/>
      <c r="G12" s="17"/>
      <c r="H12" s="17"/>
      <c r="I12" s="17"/>
      <c r="J12" s="15" t="s">
        <v>83</v>
      </c>
      <c r="K12" s="4"/>
      <c r="L12" s="4"/>
      <c r="M12" s="4"/>
      <c r="N12" s="4"/>
      <c r="O12" s="4"/>
      <c r="P12" s="4"/>
      <c r="Q12" s="5"/>
      <c r="R12" s="5"/>
      <c r="S12" s="5"/>
      <c r="T12" s="15" t="s">
        <v>114</v>
      </c>
      <c r="U12" s="15" t="s">
        <v>115</v>
      </c>
      <c r="V12" s="15" t="s">
        <v>116</v>
      </c>
      <c r="W12" s="15" t="s">
        <v>50</v>
      </c>
      <c r="X12" s="14" t="str">
        <f t="shared" si="1"/>
        <v/>
      </c>
      <c r="Y12" s="14" t="str">
        <f>IF(F12="","",F12-MAX(F$2:F11))</f>
        <v/>
      </c>
      <c r="Z12" s="3" t="str">
        <f>IF(F12="","",IF(F12&gt;MAX(F$2:F11),"Yes","No"))</f>
        <v/>
      </c>
      <c r="AA12" s="3" t="str">
        <f t="shared" si="0"/>
        <v/>
      </c>
    </row>
    <row r="13" spans="1:27" ht="15" customHeight="1" x14ac:dyDescent="0.3">
      <c r="A13" s="15"/>
      <c r="B13" s="15"/>
      <c r="C13" s="15"/>
      <c r="D13" s="15"/>
      <c r="E13" s="15"/>
      <c r="F13" s="16"/>
      <c r="G13" s="17"/>
      <c r="H13" s="17"/>
      <c r="I13" s="17"/>
      <c r="J13" s="15"/>
      <c r="K13" s="4"/>
      <c r="L13" s="4"/>
      <c r="M13" s="4"/>
      <c r="N13" s="4"/>
      <c r="O13" s="4"/>
      <c r="P13" s="4"/>
      <c r="Q13" s="5"/>
      <c r="R13" s="5"/>
      <c r="S13" s="5"/>
      <c r="T13" s="15"/>
      <c r="U13" s="15"/>
      <c r="V13" s="15"/>
      <c r="W13" s="15"/>
      <c r="X13" s="14" t="str">
        <f t="shared" si="1"/>
        <v/>
      </c>
      <c r="Y13" s="14" t="str">
        <f>IF(F13="","",F13-MAX(F$2:F12))</f>
        <v/>
      </c>
      <c r="Z13" s="3" t="str">
        <f>IF(F13="","",IF(F13&gt;MAX(F$2:F12),"Yes","No"))</f>
        <v/>
      </c>
      <c r="AA13" s="3" t="str">
        <f t="shared" si="0"/>
        <v/>
      </c>
    </row>
    <row r="14" spans="1:27" ht="15" customHeight="1" x14ac:dyDescent="0.3">
      <c r="A14" s="15"/>
      <c r="B14" s="15"/>
      <c r="C14" s="15"/>
      <c r="D14" s="15"/>
      <c r="E14" s="15"/>
      <c r="F14" s="16"/>
      <c r="G14" s="17"/>
      <c r="H14" s="17"/>
      <c r="I14" s="17"/>
      <c r="J14" s="15"/>
      <c r="K14" s="4"/>
      <c r="L14" s="4"/>
      <c r="M14" s="4"/>
      <c r="N14" s="4"/>
      <c r="O14" s="4"/>
      <c r="P14" s="4"/>
      <c r="Q14" s="5"/>
      <c r="R14" s="5"/>
      <c r="S14" s="5"/>
      <c r="T14" s="15"/>
      <c r="U14" s="15"/>
      <c r="V14" s="15"/>
      <c r="W14" s="15"/>
      <c r="X14" s="14" t="str">
        <f t="shared" si="1"/>
        <v/>
      </c>
      <c r="Y14" s="14" t="str">
        <f>IF(F14="","",F14-MAX(F$2:F13))</f>
        <v/>
      </c>
      <c r="Z14" s="3" t="str">
        <f>IF(F14="","",IF(F14&gt;MAX(F$2:F13),"Yes","No"))</f>
        <v/>
      </c>
      <c r="AA14" s="3" t="str">
        <f t="shared" si="0"/>
        <v/>
      </c>
    </row>
    <row r="15" spans="1:27" ht="15" customHeight="1" x14ac:dyDescent="0.3">
      <c r="A15" s="15"/>
      <c r="B15" s="15"/>
      <c r="C15" s="15"/>
      <c r="D15" s="15"/>
      <c r="E15" s="15"/>
      <c r="F15" s="16"/>
      <c r="G15" s="17"/>
      <c r="H15" s="17"/>
      <c r="I15" s="17"/>
      <c r="J15" s="15"/>
      <c r="K15" s="4"/>
      <c r="L15" s="4"/>
      <c r="M15" s="4"/>
      <c r="N15" s="4"/>
      <c r="O15" s="4"/>
      <c r="P15" s="4"/>
      <c r="Q15" s="5"/>
      <c r="R15" s="5"/>
      <c r="S15" s="5"/>
      <c r="T15" s="15"/>
      <c r="U15" s="15"/>
      <c r="V15" s="15"/>
      <c r="W15" s="15"/>
      <c r="X15" s="14" t="str">
        <f t="shared" si="1"/>
        <v/>
      </c>
      <c r="Y15" s="14" t="str">
        <f>IF(F15="","",F15-MAX(F$2:F14))</f>
        <v/>
      </c>
      <c r="Z15" s="3" t="str">
        <f>IF(F15="","",IF(F15&gt;MAX(F$2:F14),"Yes","No"))</f>
        <v/>
      </c>
      <c r="AA15" s="3" t="str">
        <f t="shared" si="0"/>
        <v/>
      </c>
    </row>
    <row r="16" spans="1:27" ht="15" customHeight="1" x14ac:dyDescent="0.3">
      <c r="A16" s="15"/>
      <c r="B16" s="15"/>
      <c r="C16" s="15"/>
      <c r="D16" s="15"/>
      <c r="E16" s="15"/>
      <c r="F16" s="16"/>
      <c r="G16" s="17"/>
      <c r="H16" s="17"/>
      <c r="I16" s="17"/>
      <c r="J16" s="15"/>
      <c r="K16" s="4"/>
      <c r="L16" s="4"/>
      <c r="M16" s="4"/>
      <c r="N16" s="4"/>
      <c r="O16" s="4"/>
      <c r="P16" s="4"/>
      <c r="Q16" s="5"/>
      <c r="R16" s="5"/>
      <c r="S16" s="5"/>
      <c r="T16" s="15"/>
      <c r="U16" s="15"/>
      <c r="V16" s="15"/>
      <c r="W16" s="15"/>
      <c r="X16" s="14" t="str">
        <f t="shared" si="1"/>
        <v/>
      </c>
      <c r="Y16" s="14" t="str">
        <f>IF(F16="","",F16-MAX(F$2:F15))</f>
        <v/>
      </c>
      <c r="Z16" s="3" t="str">
        <f>IF(F16="","",IF(F16&gt;MAX(F$2:F15),"Yes","No"))</f>
        <v/>
      </c>
      <c r="AA16" s="3" t="str">
        <f t="shared" si="0"/>
        <v/>
      </c>
    </row>
    <row r="18" spans="5:6" ht="15" customHeight="1" x14ac:dyDescent="0.3">
      <c r="E18" s="6" t="s">
        <v>117</v>
      </c>
      <c r="F18" s="7">
        <f>MAX(F2:F16)</f>
        <v>0.12817999999999999</v>
      </c>
    </row>
    <row r="19" spans="5:6" ht="15" customHeight="1" x14ac:dyDescent="0.3">
      <c r="E19" s="6" t="s">
        <v>118</v>
      </c>
      <c r="F19" t="str">
        <f>INDEX(B2:B16,MATCH(MAX(F2:F16),F2:F16,0))</f>
        <v>SAM 3</v>
      </c>
    </row>
    <row r="20" spans="5:6" ht="15" customHeight="1" x14ac:dyDescent="0.3">
      <c r="E20" s="6" t="s">
        <v>119</v>
      </c>
      <c r="F20" s="8" t="s">
        <v>120</v>
      </c>
    </row>
  </sheetData>
  <autoFilter ref="A1:AA16" xr:uid="{00000000-0009-0000-0000-000001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34" customWidth="1"/>
    <col min="2" max="2" width="26" customWidth="1"/>
    <col min="3" max="3" width="48" customWidth="1"/>
    <col min="4" max="4" width="44" customWidth="1"/>
    <col min="5" max="5" width="22" customWidth="1"/>
    <col min="6" max="6" width="14" customWidth="1"/>
    <col min="7" max="7" width="28" customWidth="1"/>
    <col min="8" max="8" width="40" customWidth="1"/>
  </cols>
  <sheetData>
    <row r="1" spans="1:8" ht="30" customHeight="1" x14ac:dyDescent="0.3">
      <c r="A1" s="9" t="s">
        <v>121</v>
      </c>
      <c r="B1" s="9" t="s">
        <v>122</v>
      </c>
      <c r="C1" s="9" t="s">
        <v>123</v>
      </c>
      <c r="D1" s="9" t="s">
        <v>124</v>
      </c>
      <c r="E1" s="9" t="s">
        <v>125</v>
      </c>
      <c r="F1" s="9" t="s">
        <v>37</v>
      </c>
      <c r="G1" s="9" t="s">
        <v>126</v>
      </c>
      <c r="H1" s="9" t="s">
        <v>127</v>
      </c>
    </row>
    <row r="2" spans="1:8" ht="35.1" customHeight="1" x14ac:dyDescent="0.3">
      <c r="A2" s="3" t="s">
        <v>128</v>
      </c>
      <c r="B2" s="3" t="s">
        <v>129</v>
      </c>
      <c r="C2" s="3" t="s">
        <v>130</v>
      </c>
      <c r="D2" s="3" t="s">
        <v>131</v>
      </c>
      <c r="E2" s="3" t="s">
        <v>132</v>
      </c>
      <c r="F2" s="3" t="s">
        <v>133</v>
      </c>
      <c r="G2" s="3" t="s">
        <v>134</v>
      </c>
      <c r="H2" s="3" t="s">
        <v>135</v>
      </c>
    </row>
    <row r="3" spans="1:8" ht="23.85" customHeight="1" x14ac:dyDescent="0.3">
      <c r="A3" s="3" t="s">
        <v>136</v>
      </c>
      <c r="B3" s="3" t="s">
        <v>137</v>
      </c>
      <c r="C3" s="3" t="s">
        <v>138</v>
      </c>
      <c r="D3" s="3" t="s">
        <v>139</v>
      </c>
      <c r="E3" s="3" t="s">
        <v>132</v>
      </c>
      <c r="F3" s="3" t="s">
        <v>59</v>
      </c>
      <c r="G3" s="3" t="s">
        <v>140</v>
      </c>
      <c r="H3" s="3" t="s">
        <v>141</v>
      </c>
    </row>
    <row r="4" spans="1:8" ht="23.85" customHeight="1" x14ac:dyDescent="0.3">
      <c r="A4" s="3" t="s">
        <v>142</v>
      </c>
      <c r="B4" s="3" t="s">
        <v>143</v>
      </c>
      <c r="C4" s="3" t="s">
        <v>144</v>
      </c>
      <c r="D4" s="3" t="s">
        <v>145</v>
      </c>
      <c r="E4" s="3" t="s">
        <v>146</v>
      </c>
      <c r="F4" s="3" t="s">
        <v>59</v>
      </c>
      <c r="G4" s="3" t="s">
        <v>140</v>
      </c>
      <c r="H4" s="3" t="s">
        <v>147</v>
      </c>
    </row>
    <row r="5" spans="1:8" ht="23.85" customHeight="1" x14ac:dyDescent="0.3">
      <c r="A5" s="3" t="s">
        <v>148</v>
      </c>
      <c r="B5" s="3" t="s">
        <v>66</v>
      </c>
      <c r="C5" s="3" t="s">
        <v>149</v>
      </c>
      <c r="D5" s="3" t="s">
        <v>150</v>
      </c>
      <c r="E5" s="3" t="s">
        <v>151</v>
      </c>
      <c r="F5" s="3" t="s">
        <v>59</v>
      </c>
      <c r="G5" s="3" t="s">
        <v>152</v>
      </c>
      <c r="H5" s="3" t="s">
        <v>50</v>
      </c>
    </row>
    <row r="6" spans="1:8" ht="23.85" customHeight="1" x14ac:dyDescent="0.3">
      <c r="A6" s="3" t="s">
        <v>153</v>
      </c>
      <c r="B6" s="3" t="s">
        <v>154</v>
      </c>
      <c r="C6" s="3" t="s">
        <v>155</v>
      </c>
      <c r="D6" s="3" t="s">
        <v>156</v>
      </c>
      <c r="E6" s="3" t="s">
        <v>157</v>
      </c>
      <c r="F6" s="3" t="s">
        <v>104</v>
      </c>
      <c r="G6" s="3" t="s">
        <v>158</v>
      </c>
      <c r="H6" s="3" t="s">
        <v>159</v>
      </c>
    </row>
    <row r="7" spans="1:8" ht="23.85" customHeight="1" x14ac:dyDescent="0.3">
      <c r="A7" s="3" t="s">
        <v>160</v>
      </c>
      <c r="B7" s="3" t="s">
        <v>161</v>
      </c>
      <c r="C7" s="3" t="s">
        <v>162</v>
      </c>
      <c r="D7" s="3" t="s">
        <v>163</v>
      </c>
      <c r="E7" s="3" t="s">
        <v>164</v>
      </c>
      <c r="F7" s="3" t="s">
        <v>59</v>
      </c>
      <c r="G7" s="3" t="s">
        <v>165</v>
      </c>
      <c r="H7" s="3" t="s">
        <v>166</v>
      </c>
    </row>
    <row r="8" spans="1:8" ht="15" customHeight="1" x14ac:dyDescent="0.3">
      <c r="A8" s="3" t="s">
        <v>167</v>
      </c>
      <c r="B8" s="3" t="s">
        <v>168</v>
      </c>
      <c r="C8" s="3" t="s">
        <v>169</v>
      </c>
      <c r="D8" s="3" t="s">
        <v>170</v>
      </c>
      <c r="E8" s="3" t="s">
        <v>132</v>
      </c>
      <c r="F8" s="3" t="s">
        <v>171</v>
      </c>
      <c r="G8" s="3" t="s">
        <v>140</v>
      </c>
      <c r="H8" s="3" t="s">
        <v>50</v>
      </c>
    </row>
    <row r="9" spans="1:8" ht="23.85" customHeight="1" x14ac:dyDescent="0.3">
      <c r="A9" s="3" t="s">
        <v>172</v>
      </c>
      <c r="B9" s="3" t="s">
        <v>173</v>
      </c>
      <c r="C9" s="3" t="s">
        <v>174</v>
      </c>
      <c r="D9" s="3" t="s">
        <v>175</v>
      </c>
      <c r="E9" s="3" t="s">
        <v>132</v>
      </c>
      <c r="F9" s="3" t="s">
        <v>171</v>
      </c>
      <c r="G9" s="3" t="s">
        <v>176</v>
      </c>
      <c r="H9" s="3" t="s">
        <v>50</v>
      </c>
    </row>
    <row r="10" spans="1:8" ht="23.85" customHeight="1" x14ac:dyDescent="0.3">
      <c r="A10" s="3" t="s">
        <v>177</v>
      </c>
      <c r="B10" s="3" t="s">
        <v>60</v>
      </c>
      <c r="C10" s="3" t="s">
        <v>178</v>
      </c>
      <c r="D10" s="3" t="s">
        <v>179</v>
      </c>
      <c r="E10" s="3" t="s">
        <v>180</v>
      </c>
      <c r="F10" s="3" t="s">
        <v>59</v>
      </c>
      <c r="G10" s="3" t="s">
        <v>181</v>
      </c>
      <c r="H10" s="3" t="s">
        <v>50</v>
      </c>
    </row>
    <row r="11" spans="1:8" ht="23.85" customHeight="1" x14ac:dyDescent="0.3">
      <c r="A11" s="3" t="s">
        <v>182</v>
      </c>
      <c r="B11" s="3" t="s">
        <v>92</v>
      </c>
      <c r="C11" s="3" t="s">
        <v>183</v>
      </c>
      <c r="D11" s="3" t="s">
        <v>184</v>
      </c>
      <c r="E11" s="3" t="s">
        <v>185</v>
      </c>
      <c r="F11" s="3" t="s">
        <v>186</v>
      </c>
      <c r="G11" s="3" t="s">
        <v>187</v>
      </c>
      <c r="H11" s="3" t="s">
        <v>188</v>
      </c>
    </row>
    <row r="12" spans="1:8" ht="23.85" customHeight="1" x14ac:dyDescent="0.3">
      <c r="A12" s="3" t="s">
        <v>189</v>
      </c>
      <c r="B12" s="3" t="s">
        <v>92</v>
      </c>
      <c r="C12" s="3" t="s">
        <v>190</v>
      </c>
      <c r="D12" s="3" t="s">
        <v>191</v>
      </c>
      <c r="E12" s="3" t="s">
        <v>192</v>
      </c>
      <c r="F12" s="3" t="s">
        <v>193</v>
      </c>
      <c r="G12" s="3" t="s">
        <v>194</v>
      </c>
      <c r="H12" s="3" t="s">
        <v>195</v>
      </c>
    </row>
    <row r="13" spans="1:8" ht="23.85" customHeight="1" x14ac:dyDescent="0.3">
      <c r="A13" s="3" t="s">
        <v>196</v>
      </c>
      <c r="B13" s="3" t="s">
        <v>105</v>
      </c>
      <c r="C13" s="3" t="s">
        <v>197</v>
      </c>
      <c r="D13" s="3" t="s">
        <v>198</v>
      </c>
      <c r="E13" s="3" t="s">
        <v>199</v>
      </c>
      <c r="F13" s="3" t="s">
        <v>50</v>
      </c>
      <c r="G13" s="3" t="s">
        <v>200</v>
      </c>
      <c r="H13" s="3" t="s">
        <v>201</v>
      </c>
    </row>
    <row r="14" spans="1:8" ht="35.1" customHeight="1" x14ac:dyDescent="0.3">
      <c r="A14" s="3" t="s">
        <v>202</v>
      </c>
      <c r="B14" s="3" t="s">
        <v>203</v>
      </c>
      <c r="C14" s="3" t="s">
        <v>204</v>
      </c>
      <c r="D14" s="3" t="s">
        <v>205</v>
      </c>
      <c r="E14" s="3" t="s">
        <v>206</v>
      </c>
      <c r="F14" s="3" t="s">
        <v>207</v>
      </c>
      <c r="G14" s="3" t="s">
        <v>208</v>
      </c>
      <c r="H14" s="3" t="s">
        <v>50</v>
      </c>
    </row>
    <row r="15" spans="1:8" ht="23.85" customHeight="1" x14ac:dyDescent="0.3">
      <c r="A15" s="3" t="s">
        <v>209</v>
      </c>
      <c r="B15" s="3" t="s">
        <v>111</v>
      </c>
      <c r="C15" s="3" t="s">
        <v>197</v>
      </c>
      <c r="D15" s="3" t="s">
        <v>210</v>
      </c>
      <c r="E15" s="3" t="s">
        <v>50</v>
      </c>
      <c r="F15" s="3" t="s">
        <v>50</v>
      </c>
      <c r="G15" s="3" t="s">
        <v>211</v>
      </c>
      <c r="H15" s="3" t="s">
        <v>212</v>
      </c>
    </row>
    <row r="16" spans="1:8" ht="23.85" customHeight="1" x14ac:dyDescent="0.3">
      <c r="A16" s="3" t="s">
        <v>213</v>
      </c>
      <c r="B16" s="3" t="s">
        <v>87</v>
      </c>
      <c r="C16" s="3" t="s">
        <v>214</v>
      </c>
      <c r="D16" s="3" t="s">
        <v>215</v>
      </c>
      <c r="E16" s="3" t="s">
        <v>157</v>
      </c>
      <c r="F16" s="3" t="s">
        <v>193</v>
      </c>
      <c r="G16" s="3" t="s">
        <v>216</v>
      </c>
      <c r="H16" s="3" t="s">
        <v>217</v>
      </c>
    </row>
    <row r="17" spans="1:8" ht="23.85" customHeight="1" x14ac:dyDescent="0.3">
      <c r="A17" s="3" t="s">
        <v>218</v>
      </c>
      <c r="B17" s="3" t="s">
        <v>143</v>
      </c>
      <c r="C17" s="3" t="s">
        <v>156</v>
      </c>
      <c r="D17" s="3" t="s">
        <v>50</v>
      </c>
      <c r="E17" s="3" t="s">
        <v>219</v>
      </c>
      <c r="F17" s="3" t="s">
        <v>193</v>
      </c>
      <c r="G17" s="3" t="s">
        <v>220</v>
      </c>
      <c r="H17" s="3" t="s">
        <v>221</v>
      </c>
    </row>
    <row r="18" spans="1:8" ht="15" customHeight="1" x14ac:dyDescent="0.3">
      <c r="A18" s="3" t="s">
        <v>222</v>
      </c>
      <c r="B18" s="3" t="s">
        <v>79</v>
      </c>
      <c r="C18" s="3" t="s">
        <v>156</v>
      </c>
      <c r="D18" s="3" t="s">
        <v>50</v>
      </c>
      <c r="E18" s="3" t="s">
        <v>223</v>
      </c>
      <c r="F18" s="3" t="s">
        <v>193</v>
      </c>
      <c r="G18" s="3" t="s">
        <v>224</v>
      </c>
      <c r="H18" s="3" t="s">
        <v>50</v>
      </c>
    </row>
  </sheetData>
  <autoFilter ref="A1:H18" xr:uid="{00000000-0009-0000-0000-000002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12" customWidth="1"/>
    <col min="2" max="2" width="11" customWidth="1"/>
    <col min="3" max="4" width="12" customWidth="1"/>
    <col min="5" max="5" width="18" customWidth="1"/>
    <col min="6" max="6" width="11" customWidth="1"/>
    <col min="7" max="8" width="13" customWidth="1"/>
  </cols>
  <sheetData>
    <row r="1" spans="1:8" ht="30" customHeight="1" x14ac:dyDescent="0.3">
      <c r="A1" s="9" t="s">
        <v>16</v>
      </c>
      <c r="B1" s="9" t="s">
        <v>20</v>
      </c>
      <c r="C1" s="9" t="s">
        <v>225</v>
      </c>
      <c r="D1" s="9" t="s">
        <v>226</v>
      </c>
      <c r="E1" s="9" t="s">
        <v>227</v>
      </c>
      <c r="F1" s="9" t="s">
        <v>228</v>
      </c>
      <c r="G1" s="9" t="s">
        <v>229</v>
      </c>
      <c r="H1" s="9" t="s">
        <v>230</v>
      </c>
    </row>
    <row r="2" spans="1:8" ht="15" customHeight="1" x14ac:dyDescent="0.3">
      <c r="A2" s="3" t="s">
        <v>42</v>
      </c>
      <c r="B2" s="10">
        <v>0.11904000000000001</v>
      </c>
      <c r="C2" s="11">
        <v>0.1055</v>
      </c>
      <c r="D2" s="11">
        <v>9.4399999999999998E-2</v>
      </c>
      <c r="E2" s="3" t="s">
        <v>46</v>
      </c>
      <c r="F2" s="3">
        <f t="shared" ref="F2:F10" si="0">RANK(B2,$B$2:$B$10)</f>
        <v>8</v>
      </c>
      <c r="G2" s="3">
        <f t="shared" ref="G2:G10" si="1">IF(C2="","",RANK(C2,$C$2:$C$10))</f>
        <v>2</v>
      </c>
      <c r="H2" s="3">
        <f t="shared" ref="H2:H10" si="2">IF(D2="","",RANK(D2,$D$2:$D$10))</f>
        <v>9</v>
      </c>
    </row>
    <row r="3" spans="1:8" ht="15" customHeight="1" x14ac:dyDescent="0.3">
      <c r="A3" s="3" t="s">
        <v>52</v>
      </c>
      <c r="B3" s="10">
        <v>0.12149</v>
      </c>
      <c r="C3" s="11">
        <v>9.9699999999999997E-2</v>
      </c>
      <c r="D3" s="11">
        <v>9.7299999999999998E-2</v>
      </c>
      <c r="E3" s="3" t="s">
        <v>46</v>
      </c>
      <c r="F3" s="3">
        <f t="shared" si="0"/>
        <v>6</v>
      </c>
      <c r="G3" s="3">
        <f t="shared" si="1"/>
        <v>7</v>
      </c>
      <c r="H3" s="3">
        <f t="shared" si="2"/>
        <v>6</v>
      </c>
    </row>
    <row r="4" spans="1:8" ht="15" customHeight="1" x14ac:dyDescent="0.3">
      <c r="A4" s="3" t="s">
        <v>60</v>
      </c>
      <c r="B4" s="10">
        <v>0.11876</v>
      </c>
      <c r="C4" s="11">
        <v>0.1071</v>
      </c>
      <c r="D4" s="11">
        <v>9.5899999999999999E-2</v>
      </c>
      <c r="E4" s="3" t="s">
        <v>46</v>
      </c>
      <c r="F4" s="3">
        <f t="shared" si="0"/>
        <v>9</v>
      </c>
      <c r="G4" s="3">
        <f t="shared" si="1"/>
        <v>1</v>
      </c>
      <c r="H4" s="3">
        <f t="shared" si="2"/>
        <v>7</v>
      </c>
    </row>
    <row r="5" spans="1:8" ht="15" customHeight="1" x14ac:dyDescent="0.3">
      <c r="A5" s="3" t="s">
        <v>66</v>
      </c>
      <c r="B5" s="10">
        <v>0.12132</v>
      </c>
      <c r="C5" s="11"/>
      <c r="D5" s="11">
        <v>9.5399999999999999E-2</v>
      </c>
      <c r="E5" s="3" t="s">
        <v>69</v>
      </c>
      <c r="F5" s="3">
        <f t="shared" si="0"/>
        <v>7</v>
      </c>
      <c r="G5" s="3" t="str">
        <f t="shared" si="1"/>
        <v/>
      </c>
      <c r="H5" s="3">
        <f t="shared" si="2"/>
        <v>8</v>
      </c>
    </row>
    <row r="6" spans="1:8" ht="15" customHeight="1" x14ac:dyDescent="0.3">
      <c r="A6" s="3" t="s">
        <v>73</v>
      </c>
      <c r="B6" s="10">
        <v>0.12224</v>
      </c>
      <c r="C6" s="11">
        <v>0.1</v>
      </c>
      <c r="D6" s="11">
        <v>9.98E-2</v>
      </c>
      <c r="E6" s="3" t="s">
        <v>46</v>
      </c>
      <c r="F6" s="3">
        <f t="shared" si="0"/>
        <v>5</v>
      </c>
      <c r="G6" s="3">
        <f t="shared" si="1"/>
        <v>6</v>
      </c>
      <c r="H6" s="3">
        <f t="shared" si="2"/>
        <v>2</v>
      </c>
    </row>
    <row r="7" spans="1:8" ht="15" customHeight="1" x14ac:dyDescent="0.3">
      <c r="A7" s="3" t="s">
        <v>79</v>
      </c>
      <c r="B7" s="10">
        <v>0.12670999999999999</v>
      </c>
      <c r="C7" s="11">
        <v>0.1028</v>
      </c>
      <c r="D7" s="11">
        <v>9.8799999999999999E-2</v>
      </c>
      <c r="E7" s="3" t="s">
        <v>231</v>
      </c>
      <c r="F7" s="3">
        <f t="shared" si="0"/>
        <v>3</v>
      </c>
      <c r="G7" s="3">
        <f t="shared" si="1"/>
        <v>5</v>
      </c>
      <c r="H7" s="3">
        <f t="shared" si="2"/>
        <v>3</v>
      </c>
    </row>
    <row r="8" spans="1:8" ht="15" customHeight="1" x14ac:dyDescent="0.3">
      <c r="A8" s="3" t="s">
        <v>87</v>
      </c>
      <c r="B8" s="10">
        <v>0.12795999999999999</v>
      </c>
      <c r="C8" s="11">
        <v>0.1045</v>
      </c>
      <c r="D8" s="11">
        <v>9.8199999999999996E-2</v>
      </c>
      <c r="E8" s="3" t="s">
        <v>46</v>
      </c>
      <c r="F8" s="3">
        <f t="shared" si="0"/>
        <v>2</v>
      </c>
      <c r="G8" s="3">
        <f t="shared" si="1"/>
        <v>3</v>
      </c>
      <c r="H8" s="3">
        <f t="shared" si="2"/>
        <v>5</v>
      </c>
    </row>
    <row r="9" spans="1:8" ht="23.85" customHeight="1" x14ac:dyDescent="0.3">
      <c r="A9" s="3" t="s">
        <v>92</v>
      </c>
      <c r="B9" s="10">
        <v>0.12636</v>
      </c>
      <c r="C9" s="11"/>
      <c r="D9" s="11">
        <v>0.10249999999999999</v>
      </c>
      <c r="E9" s="3" t="s">
        <v>94</v>
      </c>
      <c r="F9" s="3">
        <f t="shared" si="0"/>
        <v>4</v>
      </c>
      <c r="G9" s="3" t="str">
        <f t="shared" si="1"/>
        <v/>
      </c>
      <c r="H9" s="3">
        <f t="shared" si="2"/>
        <v>1</v>
      </c>
    </row>
    <row r="10" spans="1:8" ht="15" customHeight="1" x14ac:dyDescent="0.3">
      <c r="A10" s="3" t="s">
        <v>98</v>
      </c>
      <c r="B10" s="10">
        <v>0.12817999999999999</v>
      </c>
      <c r="C10" s="11">
        <v>0.1043</v>
      </c>
      <c r="D10" s="11">
        <v>9.8599999999999993E-2</v>
      </c>
      <c r="E10" s="3" t="s">
        <v>46</v>
      </c>
      <c r="F10" s="3">
        <f t="shared" si="0"/>
        <v>1</v>
      </c>
      <c r="G10" s="3">
        <f t="shared" si="1"/>
        <v>4</v>
      </c>
      <c r="H10" s="3">
        <f t="shared" si="2"/>
        <v>4</v>
      </c>
    </row>
    <row r="13" spans="1:8" ht="15" customHeight="1" x14ac:dyDescent="0.3">
      <c r="A13" s="6" t="s">
        <v>232</v>
      </c>
      <c r="D13" s="18">
        <f>CORREL(B2:B10,D2:D10)</f>
        <v>0.67220493980595497</v>
      </c>
    </row>
    <row r="14" spans="1:8" ht="15" customHeight="1" x14ac:dyDescent="0.3">
      <c r="A14" s="6" t="s">
        <v>233</v>
      </c>
      <c r="D14" s="18">
        <f>CORREL(F2:F10,H2:H10)</f>
        <v>0.65</v>
      </c>
    </row>
    <row r="15" spans="1:8" ht="15" customHeight="1" x14ac:dyDescent="0.3">
      <c r="A15" s="6" t="s">
        <v>234</v>
      </c>
      <c r="D15" s="18">
        <f>CORREL(B2:B10,C2:C10)</f>
        <v>-0.11809570475189037</v>
      </c>
    </row>
    <row r="16" spans="1:8" ht="15" customHeight="1" x14ac:dyDescent="0.3">
      <c r="A16" s="6" t="s">
        <v>235</v>
      </c>
      <c r="B16" s="19" t="s">
        <v>236</v>
      </c>
    </row>
  </sheetData>
  <autoFilter ref="A1:H10" xr:uid="{00000000-0009-0000-0000-000003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8" customWidth="1"/>
    <col min="2" max="2" width="40" customWidth="1"/>
    <col min="3" max="4" width="10" customWidth="1"/>
    <col min="5" max="8" width="11" customWidth="1"/>
    <col min="9" max="9" width="10" customWidth="1"/>
    <col min="10" max="12" width="12" customWidth="1"/>
  </cols>
  <sheetData>
    <row r="1" spans="1:12" ht="30" customHeight="1" x14ac:dyDescent="0.3">
      <c r="A1" s="9" t="s">
        <v>237</v>
      </c>
      <c r="B1" s="9" t="s">
        <v>238</v>
      </c>
      <c r="C1" s="9" t="s">
        <v>25</v>
      </c>
      <c r="D1" s="9" t="s">
        <v>26</v>
      </c>
      <c r="E1" s="9" t="s">
        <v>27</v>
      </c>
      <c r="F1" s="9" t="s">
        <v>28</v>
      </c>
      <c r="G1" s="9" t="s">
        <v>29</v>
      </c>
      <c r="H1" s="9" t="s">
        <v>30</v>
      </c>
      <c r="I1" s="9" t="s">
        <v>239</v>
      </c>
      <c r="J1" s="9" t="s">
        <v>240</v>
      </c>
      <c r="K1" s="9" t="s">
        <v>241</v>
      </c>
      <c r="L1" s="9" t="s">
        <v>242</v>
      </c>
    </row>
    <row r="2" spans="1:12" ht="15" customHeight="1" x14ac:dyDescent="0.3">
      <c r="A2" s="3" t="s">
        <v>243</v>
      </c>
      <c r="B2" s="3" t="s">
        <v>244</v>
      </c>
      <c r="C2" s="11">
        <v>3.85E-2</v>
      </c>
      <c r="D2" s="11">
        <v>4.9599999999999998E-2</v>
      </c>
      <c r="E2" s="11">
        <v>6.88E-2</v>
      </c>
      <c r="F2" s="11">
        <v>7.2400000000000006E-2</v>
      </c>
      <c r="G2" s="11">
        <v>5.9200000000000003E-2</v>
      </c>
      <c r="H2" s="11">
        <v>5.8900000000000001E-2</v>
      </c>
      <c r="I2" s="11">
        <f t="shared" ref="I2:I8" si="0">AVERAGE(C2:H2)</f>
        <v>5.79E-2</v>
      </c>
      <c r="J2" s="20" t="s">
        <v>50</v>
      </c>
      <c r="K2" s="20" t="s">
        <v>50</v>
      </c>
      <c r="L2" s="20" t="s">
        <v>50</v>
      </c>
    </row>
    <row r="3" spans="1:12" ht="15" customHeight="1" x14ac:dyDescent="0.3">
      <c r="A3" s="3" t="s">
        <v>245</v>
      </c>
      <c r="B3" s="3" t="s">
        <v>246</v>
      </c>
      <c r="C3" s="11">
        <v>3.85E-2</v>
      </c>
      <c r="D3" s="11">
        <v>4.7899999999999998E-2</v>
      </c>
      <c r="E3" s="11">
        <v>6.88E-2</v>
      </c>
      <c r="F3" s="11">
        <v>6.9599999999999995E-2</v>
      </c>
      <c r="G3" s="11">
        <v>5.9200000000000003E-2</v>
      </c>
      <c r="H3" s="11">
        <v>5.45E-2</v>
      </c>
      <c r="I3" s="11">
        <f t="shared" si="0"/>
        <v>5.6416666666666671E-2</v>
      </c>
      <c r="J3" s="20">
        <f t="shared" ref="J3:J8" si="1">AVERAGE(C3:D3)-AVERAGE(C2:D2)</f>
        <v>-8.4999999999999659E-4</v>
      </c>
      <c r="K3" s="20">
        <f t="shared" ref="K3:K8" si="2">AVERAGE(E3:F3)-AVERAGE(E2:F2)</f>
        <v>-1.3999999999999985E-3</v>
      </c>
      <c r="L3" s="20">
        <f t="shared" ref="L3:L8" si="3">AVERAGE(G3:H3)-AVERAGE(G2:H2)</f>
        <v>-2.2000000000000075E-3</v>
      </c>
    </row>
    <row r="4" spans="1:12" ht="15" customHeight="1" x14ac:dyDescent="0.3">
      <c r="A4" s="3" t="s">
        <v>247</v>
      </c>
      <c r="B4" s="3" t="s">
        <v>248</v>
      </c>
      <c r="C4" s="11">
        <v>3.3700000000000001E-2</v>
      </c>
      <c r="D4" s="11">
        <v>4.82E-2</v>
      </c>
      <c r="E4" s="11">
        <v>6.7599999999999993E-2</v>
      </c>
      <c r="F4" s="11">
        <v>6.8000000000000005E-2</v>
      </c>
      <c r="G4" s="11">
        <v>5.6000000000000001E-2</v>
      </c>
      <c r="H4" s="11">
        <v>5.67E-2</v>
      </c>
      <c r="I4" s="11">
        <f t="shared" si="0"/>
        <v>5.5033333333333344E-2</v>
      </c>
      <c r="J4" s="20">
        <f t="shared" si="1"/>
        <v>-2.250000000000002E-3</v>
      </c>
      <c r="K4" s="20">
        <f t="shared" si="2"/>
        <v>-1.3999999999999985E-3</v>
      </c>
      <c r="L4" s="20">
        <f t="shared" si="3"/>
        <v>-5.0000000000000044E-4</v>
      </c>
    </row>
    <row r="5" spans="1:12" ht="15" customHeight="1" x14ac:dyDescent="0.3">
      <c r="A5" s="3" t="s">
        <v>249</v>
      </c>
      <c r="B5" s="3" t="s">
        <v>250</v>
      </c>
      <c r="C5" s="11">
        <v>3.5999999999999997E-2</v>
      </c>
      <c r="D5" s="11">
        <v>4.7500000000000001E-2</v>
      </c>
      <c r="E5" s="11">
        <v>6.7599999999999993E-2</v>
      </c>
      <c r="F5" s="11">
        <v>6.7599999999999993E-2</v>
      </c>
      <c r="G5" s="11">
        <v>5.6000000000000001E-2</v>
      </c>
      <c r="H5" s="11">
        <v>5.6599999999999998E-2</v>
      </c>
      <c r="I5" s="11">
        <f t="shared" si="0"/>
        <v>5.5216666666666664E-2</v>
      </c>
      <c r="J5" s="20">
        <f t="shared" si="1"/>
        <v>7.9999999999999516E-4</v>
      </c>
      <c r="K5" s="20">
        <f t="shared" si="2"/>
        <v>-2.0000000000000573E-4</v>
      </c>
      <c r="L5" s="20">
        <f t="shared" si="3"/>
        <v>-4.9999999999994493E-5</v>
      </c>
    </row>
    <row r="6" spans="1:12" ht="15" customHeight="1" x14ac:dyDescent="0.3">
      <c r="A6" s="3" t="s">
        <v>251</v>
      </c>
      <c r="B6" s="3" t="s">
        <v>252</v>
      </c>
      <c r="C6" s="11">
        <v>3.5299999999999998E-2</v>
      </c>
      <c r="D6" s="11">
        <v>4.8899999999999999E-2</v>
      </c>
      <c r="E6" s="11">
        <v>6.9500000000000006E-2</v>
      </c>
      <c r="F6" s="11">
        <v>6.9500000000000006E-2</v>
      </c>
      <c r="G6" s="11">
        <v>5.8099999999999999E-2</v>
      </c>
      <c r="H6" s="11">
        <v>5.74E-2</v>
      </c>
      <c r="I6" s="11">
        <f t="shared" si="0"/>
        <v>5.645E-2</v>
      </c>
      <c r="J6" s="20">
        <f t="shared" si="1"/>
        <v>3.5000000000000309E-4</v>
      </c>
      <c r="K6" s="20">
        <f t="shared" si="2"/>
        <v>1.9000000000000128E-3</v>
      </c>
      <c r="L6" s="20">
        <f t="shared" si="3"/>
        <v>1.449999999999993E-3</v>
      </c>
    </row>
    <row r="7" spans="1:12" ht="15" customHeight="1" x14ac:dyDescent="0.3">
      <c r="A7" s="3" t="s">
        <v>253</v>
      </c>
      <c r="B7" s="3" t="s">
        <v>254</v>
      </c>
      <c r="C7" s="11">
        <v>3.8399999999999997E-2</v>
      </c>
      <c r="D7" s="11">
        <v>4.9399999999999999E-2</v>
      </c>
      <c r="E7" s="11">
        <v>6.8599999999999994E-2</v>
      </c>
      <c r="F7" s="11">
        <v>6.9599999999999995E-2</v>
      </c>
      <c r="G7" s="11">
        <v>6.25E-2</v>
      </c>
      <c r="H7" s="11">
        <v>5.9799999999999999E-2</v>
      </c>
      <c r="I7" s="11">
        <f t="shared" si="0"/>
        <v>5.8049999999999997E-2</v>
      </c>
      <c r="J7" s="20">
        <f t="shared" si="1"/>
        <v>1.799999999999996E-3</v>
      </c>
      <c r="K7" s="20">
        <f t="shared" si="2"/>
        <v>-4.0000000000001146E-4</v>
      </c>
      <c r="L7" s="20">
        <f t="shared" si="3"/>
        <v>3.4000000000000002E-3</v>
      </c>
    </row>
    <row r="8" spans="1:12" ht="15" customHeight="1" x14ac:dyDescent="0.3">
      <c r="A8" s="3" t="s">
        <v>255</v>
      </c>
      <c r="B8" s="3" t="s">
        <v>256</v>
      </c>
      <c r="C8" s="11">
        <v>3.8399999999999997E-2</v>
      </c>
      <c r="D8" s="11">
        <v>5.1400000000000001E-2</v>
      </c>
      <c r="E8" s="11">
        <v>6.8599999999999994E-2</v>
      </c>
      <c r="F8" s="11">
        <v>7.3099999999999998E-2</v>
      </c>
      <c r="G8" s="11">
        <v>6.25E-2</v>
      </c>
      <c r="H8" s="11">
        <v>6.25E-2</v>
      </c>
      <c r="I8" s="11">
        <f t="shared" si="0"/>
        <v>5.9416666666666666E-2</v>
      </c>
      <c r="J8" s="20">
        <f t="shared" si="1"/>
        <v>1.0000000000000009E-3</v>
      </c>
      <c r="K8" s="20">
        <f t="shared" si="2"/>
        <v>1.7500000000000016E-3</v>
      </c>
      <c r="L8" s="20">
        <f t="shared" si="3"/>
        <v>1.350000000000004E-3</v>
      </c>
    </row>
  </sheetData>
  <autoFilter ref="A1:L8" xr:uid="{00000000-0009-0000-0000-000004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12" customWidth="1"/>
    <col min="2" max="2" width="11" customWidth="1"/>
    <col min="3" max="4" width="10" customWidth="1"/>
    <col min="5" max="5" width="20" customWidth="1"/>
    <col min="6" max="6" width="32" customWidth="1"/>
  </cols>
  <sheetData>
    <row r="1" spans="1:6" ht="30" customHeight="1" x14ac:dyDescent="0.3">
      <c r="A1" s="9" t="s">
        <v>16</v>
      </c>
      <c r="B1" s="9" t="s">
        <v>257</v>
      </c>
      <c r="C1" s="9" t="s">
        <v>258</v>
      </c>
      <c r="D1" s="9" t="s">
        <v>259</v>
      </c>
      <c r="E1" s="9" t="s">
        <v>260</v>
      </c>
      <c r="F1" s="9" t="s">
        <v>261</v>
      </c>
    </row>
    <row r="2" spans="1:6" ht="15" customHeight="1" x14ac:dyDescent="0.3">
      <c r="A2" s="3" t="s">
        <v>42</v>
      </c>
      <c r="B2" s="3" t="s">
        <v>262</v>
      </c>
      <c r="C2" s="3">
        <v>2023</v>
      </c>
      <c r="D2" s="11">
        <v>5.5E-2</v>
      </c>
      <c r="E2" s="3" t="s">
        <v>46</v>
      </c>
      <c r="F2" s="3" t="s">
        <v>263</v>
      </c>
    </row>
    <row r="3" spans="1:6" ht="15" customHeight="1" x14ac:dyDescent="0.3">
      <c r="A3" s="3" t="s">
        <v>42</v>
      </c>
      <c r="B3" s="3" t="s">
        <v>262</v>
      </c>
      <c r="C3" s="3">
        <v>2024</v>
      </c>
      <c r="D3" s="11">
        <v>4.4999999999999998E-2</v>
      </c>
      <c r="E3" s="3" t="s">
        <v>46</v>
      </c>
      <c r="F3" s="3" t="s">
        <v>263</v>
      </c>
    </row>
    <row r="4" spans="1:6" ht="15" customHeight="1" x14ac:dyDescent="0.3">
      <c r="A4" s="3" t="s">
        <v>42</v>
      </c>
      <c r="B4" s="3" t="s">
        <v>264</v>
      </c>
      <c r="C4" s="3">
        <v>2023</v>
      </c>
      <c r="D4" s="11">
        <v>6.2E-2</v>
      </c>
      <c r="E4" s="3" t="s">
        <v>46</v>
      </c>
      <c r="F4" s="3" t="s">
        <v>263</v>
      </c>
    </row>
    <row r="5" spans="1:6" ht="15" customHeight="1" x14ac:dyDescent="0.3">
      <c r="A5" s="3" t="s">
        <v>42</v>
      </c>
      <c r="B5" s="3" t="s">
        <v>264</v>
      </c>
      <c r="C5" s="3">
        <v>2024</v>
      </c>
      <c r="D5" s="11">
        <v>6.6000000000000003E-2</v>
      </c>
      <c r="E5" s="3" t="s">
        <v>46</v>
      </c>
      <c r="F5" s="3" t="s">
        <v>263</v>
      </c>
    </row>
    <row r="6" spans="1:6" ht="15" customHeight="1" x14ac:dyDescent="0.3">
      <c r="A6" s="3" t="s">
        <v>42</v>
      </c>
      <c r="B6" s="3" t="s">
        <v>265</v>
      </c>
      <c r="C6" s="3">
        <v>2023</v>
      </c>
      <c r="D6" s="11">
        <v>6.2E-2</v>
      </c>
      <c r="E6" s="3" t="s">
        <v>46</v>
      </c>
      <c r="F6" s="3" t="s">
        <v>263</v>
      </c>
    </row>
    <row r="7" spans="1:6" ht="15" customHeight="1" x14ac:dyDescent="0.3">
      <c r="A7" s="3" t="s">
        <v>42</v>
      </c>
      <c r="B7" s="3" t="s">
        <v>265</v>
      </c>
      <c r="C7" s="3">
        <v>2024</v>
      </c>
      <c r="D7" s="11">
        <v>6.0999999999999999E-2</v>
      </c>
      <c r="E7" s="3" t="s">
        <v>46</v>
      </c>
      <c r="F7" s="3" t="s">
        <v>263</v>
      </c>
    </row>
    <row r="8" spans="1:6" ht="15" customHeight="1" x14ac:dyDescent="0.3">
      <c r="A8" s="3" t="s">
        <v>42</v>
      </c>
      <c r="B8" s="3" t="s">
        <v>266</v>
      </c>
      <c r="C8" s="3">
        <v>2023</v>
      </c>
      <c r="D8" s="11">
        <v>0.1055</v>
      </c>
      <c r="E8" s="3" t="s">
        <v>46</v>
      </c>
      <c r="F8" s="3" t="s">
        <v>263</v>
      </c>
    </row>
    <row r="9" spans="1:6" ht="15" customHeight="1" x14ac:dyDescent="0.3">
      <c r="A9" s="3" t="s">
        <v>42</v>
      </c>
      <c r="B9" s="3" t="s">
        <v>266</v>
      </c>
      <c r="C9" s="3">
        <v>2024</v>
      </c>
      <c r="D9" s="11">
        <v>9.4399999999999998E-2</v>
      </c>
      <c r="E9" s="3" t="s">
        <v>46</v>
      </c>
      <c r="F9" s="3" t="s">
        <v>263</v>
      </c>
    </row>
    <row r="10" spans="1:6" ht="15" customHeight="1" x14ac:dyDescent="0.3">
      <c r="A10" s="3" t="s">
        <v>52</v>
      </c>
      <c r="B10" s="3" t="s">
        <v>262</v>
      </c>
      <c r="C10" s="3">
        <v>2023</v>
      </c>
      <c r="D10" s="11">
        <v>3.7999999999999999E-2</v>
      </c>
      <c r="E10" s="3" t="s">
        <v>46</v>
      </c>
      <c r="F10" s="3" t="s">
        <v>263</v>
      </c>
    </row>
    <row r="11" spans="1:6" ht="15" customHeight="1" x14ac:dyDescent="0.3">
      <c r="A11" s="3" t="s">
        <v>52</v>
      </c>
      <c r="B11" s="3" t="s">
        <v>262</v>
      </c>
      <c r="C11" s="3">
        <v>2024</v>
      </c>
      <c r="D11" s="11">
        <v>0.05</v>
      </c>
      <c r="E11" s="3" t="s">
        <v>46</v>
      </c>
      <c r="F11" s="3" t="s">
        <v>263</v>
      </c>
    </row>
    <row r="12" spans="1:6" ht="15" customHeight="1" x14ac:dyDescent="0.3">
      <c r="A12" s="3" t="s">
        <v>52</v>
      </c>
      <c r="B12" s="3" t="s">
        <v>264</v>
      </c>
      <c r="C12" s="3">
        <v>2023</v>
      </c>
      <c r="D12" s="11">
        <v>7.0000000000000007E-2</v>
      </c>
      <c r="E12" s="3" t="s">
        <v>46</v>
      </c>
      <c r="F12" s="3" t="s">
        <v>263</v>
      </c>
    </row>
    <row r="13" spans="1:6" ht="15" customHeight="1" x14ac:dyDescent="0.3">
      <c r="A13" s="3" t="s">
        <v>52</v>
      </c>
      <c r="B13" s="3" t="s">
        <v>264</v>
      </c>
      <c r="C13" s="3">
        <v>2024</v>
      </c>
      <c r="D13" s="11">
        <v>7.0999999999999994E-2</v>
      </c>
      <c r="E13" s="3" t="s">
        <v>46</v>
      </c>
      <c r="F13" s="3" t="s">
        <v>263</v>
      </c>
    </row>
    <row r="14" spans="1:6" ht="15" customHeight="1" x14ac:dyDescent="0.3">
      <c r="A14" s="3" t="s">
        <v>52</v>
      </c>
      <c r="B14" s="3" t="s">
        <v>265</v>
      </c>
      <c r="C14" s="3">
        <v>2023</v>
      </c>
      <c r="D14" s="11">
        <v>0.06</v>
      </c>
      <c r="E14" s="3" t="s">
        <v>46</v>
      </c>
      <c r="F14" s="3" t="s">
        <v>263</v>
      </c>
    </row>
    <row r="15" spans="1:6" ht="15" customHeight="1" x14ac:dyDescent="0.3">
      <c r="A15" s="3" t="s">
        <v>52</v>
      </c>
      <c r="B15" s="3" t="s">
        <v>265</v>
      </c>
      <c r="C15" s="3">
        <v>2024</v>
      </c>
      <c r="D15" s="11">
        <v>5.7000000000000002E-2</v>
      </c>
      <c r="E15" s="3" t="s">
        <v>46</v>
      </c>
      <c r="F15" s="3" t="s">
        <v>263</v>
      </c>
    </row>
    <row r="16" spans="1:6" ht="15" customHeight="1" x14ac:dyDescent="0.3">
      <c r="A16" s="3" t="s">
        <v>52</v>
      </c>
      <c r="B16" s="3" t="s">
        <v>266</v>
      </c>
      <c r="C16" s="3">
        <v>2023</v>
      </c>
      <c r="D16" s="11">
        <v>9.9699999999999997E-2</v>
      </c>
      <c r="E16" s="3" t="s">
        <v>46</v>
      </c>
      <c r="F16" s="3" t="s">
        <v>263</v>
      </c>
    </row>
    <row r="17" spans="1:6" ht="15" customHeight="1" x14ac:dyDescent="0.3">
      <c r="A17" s="3" t="s">
        <v>52</v>
      </c>
      <c r="B17" s="3" t="s">
        <v>266</v>
      </c>
      <c r="C17" s="3">
        <v>2024</v>
      </c>
      <c r="D17" s="11">
        <v>9.7299999999999998E-2</v>
      </c>
      <c r="E17" s="3" t="s">
        <v>46</v>
      </c>
      <c r="F17" s="3" t="s">
        <v>263</v>
      </c>
    </row>
    <row r="18" spans="1:6" ht="15" customHeight="1" x14ac:dyDescent="0.3">
      <c r="A18" s="3" t="s">
        <v>60</v>
      </c>
      <c r="B18" s="3" t="s">
        <v>262</v>
      </c>
      <c r="C18" s="3">
        <v>2023</v>
      </c>
      <c r="D18" s="11">
        <v>5.6000000000000001E-2</v>
      </c>
      <c r="E18" s="3" t="s">
        <v>46</v>
      </c>
      <c r="F18" s="3" t="s">
        <v>263</v>
      </c>
    </row>
    <row r="19" spans="1:6" ht="15" customHeight="1" x14ac:dyDescent="0.3">
      <c r="A19" s="3" t="s">
        <v>60</v>
      </c>
      <c r="B19" s="3" t="s">
        <v>262</v>
      </c>
      <c r="C19" s="3">
        <v>2024</v>
      </c>
      <c r="D19" s="11">
        <v>4.4999999999999998E-2</v>
      </c>
      <c r="E19" s="3" t="s">
        <v>46</v>
      </c>
      <c r="F19" s="3" t="s">
        <v>263</v>
      </c>
    </row>
    <row r="20" spans="1:6" ht="15" customHeight="1" x14ac:dyDescent="0.3">
      <c r="A20" s="3" t="s">
        <v>60</v>
      </c>
      <c r="B20" s="3" t="s">
        <v>264</v>
      </c>
      <c r="C20" s="3">
        <v>2023</v>
      </c>
      <c r="D20" s="11">
        <v>6.5000000000000002E-2</v>
      </c>
      <c r="E20" s="3" t="s">
        <v>46</v>
      </c>
      <c r="F20" s="3" t="s">
        <v>263</v>
      </c>
    </row>
    <row r="21" spans="1:6" ht="15" customHeight="1" x14ac:dyDescent="0.3">
      <c r="A21" s="3" t="s">
        <v>60</v>
      </c>
      <c r="B21" s="3" t="s">
        <v>264</v>
      </c>
      <c r="C21" s="3">
        <v>2024</v>
      </c>
      <c r="D21" s="11">
        <v>7.0000000000000007E-2</v>
      </c>
      <c r="E21" s="3" t="s">
        <v>46</v>
      </c>
      <c r="F21" s="3" t="s">
        <v>263</v>
      </c>
    </row>
    <row r="22" spans="1:6" ht="15" customHeight="1" x14ac:dyDescent="0.3">
      <c r="A22" s="3" t="s">
        <v>60</v>
      </c>
      <c r="B22" s="3" t="s">
        <v>265</v>
      </c>
      <c r="C22" s="3">
        <v>2023</v>
      </c>
      <c r="D22" s="11">
        <v>6.4000000000000001E-2</v>
      </c>
      <c r="E22" s="3" t="s">
        <v>46</v>
      </c>
      <c r="F22" s="3" t="s">
        <v>263</v>
      </c>
    </row>
    <row r="23" spans="1:6" ht="15" customHeight="1" x14ac:dyDescent="0.3">
      <c r="A23" s="3" t="s">
        <v>60</v>
      </c>
      <c r="B23" s="3" t="s">
        <v>265</v>
      </c>
      <c r="C23" s="3">
        <v>2024</v>
      </c>
      <c r="D23" s="11">
        <v>6.2E-2</v>
      </c>
      <c r="E23" s="3" t="s">
        <v>46</v>
      </c>
      <c r="F23" s="3" t="s">
        <v>263</v>
      </c>
    </row>
    <row r="24" spans="1:6" ht="15" customHeight="1" x14ac:dyDescent="0.3">
      <c r="A24" s="3" t="s">
        <v>60</v>
      </c>
      <c r="B24" s="3" t="s">
        <v>266</v>
      </c>
      <c r="C24" s="3">
        <v>2023</v>
      </c>
      <c r="D24" s="11">
        <v>0.1071</v>
      </c>
      <c r="E24" s="3" t="s">
        <v>46</v>
      </c>
      <c r="F24" s="3" t="s">
        <v>263</v>
      </c>
    </row>
    <row r="25" spans="1:6" ht="15" customHeight="1" x14ac:dyDescent="0.3">
      <c r="A25" s="3" t="s">
        <v>60</v>
      </c>
      <c r="B25" s="3" t="s">
        <v>266</v>
      </c>
      <c r="C25" s="3">
        <v>2024</v>
      </c>
      <c r="D25" s="11">
        <v>9.5899999999999999E-2</v>
      </c>
      <c r="E25" s="3" t="s">
        <v>46</v>
      </c>
      <c r="F25" s="3" t="s">
        <v>263</v>
      </c>
    </row>
    <row r="26" spans="1:6" ht="15" customHeight="1" x14ac:dyDescent="0.3">
      <c r="A26" s="3" t="s">
        <v>66</v>
      </c>
      <c r="B26" s="3" t="s">
        <v>262</v>
      </c>
      <c r="C26" s="3">
        <v>2024</v>
      </c>
      <c r="D26" s="11">
        <v>4.2999999999999997E-2</v>
      </c>
      <c r="E26" s="3" t="s">
        <v>69</v>
      </c>
      <c r="F26" s="3" t="s">
        <v>263</v>
      </c>
    </row>
    <row r="27" spans="1:6" ht="15" customHeight="1" x14ac:dyDescent="0.3">
      <c r="A27" s="3" t="s">
        <v>66</v>
      </c>
      <c r="B27" s="3" t="s">
        <v>264</v>
      </c>
      <c r="C27" s="3">
        <v>2024</v>
      </c>
      <c r="D27" s="11">
        <v>7.1999999999999995E-2</v>
      </c>
      <c r="E27" s="3" t="s">
        <v>69</v>
      </c>
      <c r="F27" s="3" t="s">
        <v>263</v>
      </c>
    </row>
    <row r="28" spans="1:6" ht="15" customHeight="1" x14ac:dyDescent="0.3">
      <c r="A28" s="3" t="s">
        <v>66</v>
      </c>
      <c r="B28" s="3" t="s">
        <v>265</v>
      </c>
      <c r="C28" s="3">
        <v>2024</v>
      </c>
      <c r="D28" s="11">
        <v>5.8999999999999997E-2</v>
      </c>
      <c r="E28" s="3" t="s">
        <v>69</v>
      </c>
      <c r="F28" s="3" t="s">
        <v>263</v>
      </c>
    </row>
    <row r="29" spans="1:6" ht="15" customHeight="1" x14ac:dyDescent="0.3">
      <c r="A29" s="3" t="s">
        <v>66</v>
      </c>
      <c r="B29" s="3" t="s">
        <v>266</v>
      </c>
      <c r="C29" s="3">
        <v>2024</v>
      </c>
      <c r="D29" s="11">
        <v>9.5399999999999999E-2</v>
      </c>
      <c r="E29" s="3" t="s">
        <v>69</v>
      </c>
      <c r="F29" s="3" t="s">
        <v>263</v>
      </c>
    </row>
    <row r="30" spans="1:6" ht="15" customHeight="1" x14ac:dyDescent="0.3">
      <c r="A30" s="3" t="s">
        <v>73</v>
      </c>
      <c r="B30" s="3" t="s">
        <v>262</v>
      </c>
      <c r="C30" s="3">
        <v>2023</v>
      </c>
      <c r="D30" s="11">
        <v>3.7999999999999999E-2</v>
      </c>
      <c r="E30" s="3" t="s">
        <v>46</v>
      </c>
      <c r="F30" s="3" t="s">
        <v>263</v>
      </c>
    </row>
    <row r="31" spans="1:6" ht="15" customHeight="1" x14ac:dyDescent="0.3">
      <c r="A31" s="3" t="s">
        <v>73</v>
      </c>
      <c r="B31" s="3" t="s">
        <v>262</v>
      </c>
      <c r="C31" s="3">
        <v>2024</v>
      </c>
      <c r="D31" s="11">
        <v>5.0999999999999997E-2</v>
      </c>
      <c r="E31" s="3" t="s">
        <v>46</v>
      </c>
      <c r="F31" s="3" t="s">
        <v>263</v>
      </c>
    </row>
    <row r="32" spans="1:6" ht="15" customHeight="1" x14ac:dyDescent="0.3">
      <c r="A32" s="3" t="s">
        <v>73</v>
      </c>
      <c r="B32" s="3" t="s">
        <v>264</v>
      </c>
      <c r="C32" s="3">
        <v>2023</v>
      </c>
      <c r="D32" s="11">
        <v>6.9000000000000006E-2</v>
      </c>
      <c r="E32" s="3" t="s">
        <v>46</v>
      </c>
      <c r="F32" s="3" t="s">
        <v>263</v>
      </c>
    </row>
    <row r="33" spans="1:6" ht="15" customHeight="1" x14ac:dyDescent="0.3">
      <c r="A33" s="3" t="s">
        <v>73</v>
      </c>
      <c r="B33" s="3" t="s">
        <v>264</v>
      </c>
      <c r="C33" s="3">
        <v>2024</v>
      </c>
      <c r="D33" s="11">
        <v>7.2999999999999995E-2</v>
      </c>
      <c r="E33" s="3" t="s">
        <v>46</v>
      </c>
      <c r="F33" s="3" t="s">
        <v>263</v>
      </c>
    </row>
    <row r="34" spans="1:6" ht="15" customHeight="1" x14ac:dyDescent="0.3">
      <c r="A34" s="3" t="s">
        <v>73</v>
      </c>
      <c r="B34" s="3" t="s">
        <v>265</v>
      </c>
      <c r="C34" s="3">
        <v>2023</v>
      </c>
      <c r="D34" s="11">
        <v>6.2E-2</v>
      </c>
      <c r="E34" s="3" t="s">
        <v>46</v>
      </c>
      <c r="F34" s="3" t="s">
        <v>263</v>
      </c>
    </row>
    <row r="35" spans="1:6" ht="15" customHeight="1" x14ac:dyDescent="0.3">
      <c r="A35" s="3" t="s">
        <v>73</v>
      </c>
      <c r="B35" s="3" t="s">
        <v>265</v>
      </c>
      <c r="C35" s="3">
        <v>2024</v>
      </c>
      <c r="D35" s="11">
        <v>6.2E-2</v>
      </c>
      <c r="E35" s="3" t="s">
        <v>46</v>
      </c>
      <c r="F35" s="3" t="s">
        <v>263</v>
      </c>
    </row>
    <row r="36" spans="1:6" ht="15" customHeight="1" x14ac:dyDescent="0.3">
      <c r="A36" s="3" t="s">
        <v>73</v>
      </c>
      <c r="B36" s="3" t="s">
        <v>266</v>
      </c>
      <c r="C36" s="3">
        <v>2023</v>
      </c>
      <c r="D36" s="11">
        <v>0.1</v>
      </c>
      <c r="E36" s="3" t="s">
        <v>46</v>
      </c>
      <c r="F36" s="3" t="s">
        <v>263</v>
      </c>
    </row>
    <row r="37" spans="1:6" ht="15" customHeight="1" x14ac:dyDescent="0.3">
      <c r="A37" s="3" t="s">
        <v>73</v>
      </c>
      <c r="B37" s="3" t="s">
        <v>266</v>
      </c>
      <c r="C37" s="3">
        <v>2024</v>
      </c>
      <c r="D37" s="11">
        <v>9.98E-2</v>
      </c>
      <c r="E37" s="3" t="s">
        <v>46</v>
      </c>
      <c r="F37" s="3" t="s">
        <v>263</v>
      </c>
    </row>
    <row r="38" spans="1:6" ht="15" customHeight="1" x14ac:dyDescent="0.3">
      <c r="A38" s="3" t="s">
        <v>79</v>
      </c>
      <c r="B38" s="3" t="s">
        <v>262</v>
      </c>
      <c r="C38" s="3">
        <v>2023</v>
      </c>
      <c r="D38" s="11">
        <v>5.0999999999999997E-2</v>
      </c>
      <c r="E38" s="3" t="s">
        <v>83</v>
      </c>
      <c r="F38" s="3" t="s">
        <v>263</v>
      </c>
    </row>
    <row r="39" spans="1:6" ht="15" customHeight="1" x14ac:dyDescent="0.3">
      <c r="A39" s="3" t="s">
        <v>79</v>
      </c>
      <c r="B39" s="3" t="s">
        <v>262</v>
      </c>
      <c r="C39" s="3">
        <v>2024</v>
      </c>
      <c r="D39" s="11">
        <v>5.5E-2</v>
      </c>
      <c r="E39" s="3" t="s">
        <v>83</v>
      </c>
      <c r="F39" s="3" t="s">
        <v>263</v>
      </c>
    </row>
    <row r="40" spans="1:6" ht="15" customHeight="1" x14ac:dyDescent="0.3">
      <c r="A40" s="3" t="s">
        <v>79</v>
      </c>
      <c r="B40" s="3" t="s">
        <v>264</v>
      </c>
      <c r="C40" s="3">
        <v>2023</v>
      </c>
      <c r="D40" s="11">
        <v>7.0000000000000007E-2</v>
      </c>
      <c r="E40" s="3" t="s">
        <v>83</v>
      </c>
      <c r="F40" s="3" t="s">
        <v>263</v>
      </c>
    </row>
    <row r="41" spans="1:6" ht="15" customHeight="1" x14ac:dyDescent="0.3">
      <c r="A41" s="3" t="s">
        <v>79</v>
      </c>
      <c r="B41" s="3" t="s">
        <v>264</v>
      </c>
      <c r="C41" s="3">
        <v>2024</v>
      </c>
      <c r="D41" s="11">
        <v>7.0999999999999994E-2</v>
      </c>
      <c r="E41" s="3" t="s">
        <v>83</v>
      </c>
      <c r="F41" s="3" t="s">
        <v>263</v>
      </c>
    </row>
    <row r="42" spans="1:6" ht="15" customHeight="1" x14ac:dyDescent="0.3">
      <c r="A42" s="3" t="s">
        <v>79</v>
      </c>
      <c r="B42" s="3" t="s">
        <v>265</v>
      </c>
      <c r="C42" s="3">
        <v>2023</v>
      </c>
      <c r="D42" s="11">
        <v>7.0000000000000007E-2</v>
      </c>
      <c r="E42" s="3" t="s">
        <v>83</v>
      </c>
      <c r="F42" s="3" t="s">
        <v>263</v>
      </c>
    </row>
    <row r="43" spans="1:6" ht="15" customHeight="1" x14ac:dyDescent="0.3">
      <c r="A43" s="3" t="s">
        <v>79</v>
      </c>
      <c r="B43" s="3" t="s">
        <v>265</v>
      </c>
      <c r="C43" s="3">
        <v>2024</v>
      </c>
      <c r="D43" s="11">
        <v>6.4000000000000001E-2</v>
      </c>
      <c r="E43" s="3" t="s">
        <v>83</v>
      </c>
      <c r="F43" s="3" t="s">
        <v>263</v>
      </c>
    </row>
    <row r="44" spans="1:6" ht="15" customHeight="1" x14ac:dyDescent="0.3">
      <c r="A44" s="3" t="s">
        <v>79</v>
      </c>
      <c r="B44" s="3" t="s">
        <v>266</v>
      </c>
      <c r="C44" s="3">
        <v>2023</v>
      </c>
      <c r="D44" s="11">
        <v>0.1053</v>
      </c>
      <c r="E44" s="3" t="s">
        <v>83</v>
      </c>
      <c r="F44" s="3" t="s">
        <v>263</v>
      </c>
    </row>
    <row r="45" spans="1:6" ht="15" customHeight="1" x14ac:dyDescent="0.3">
      <c r="A45" s="3" t="s">
        <v>79</v>
      </c>
      <c r="B45" s="3" t="s">
        <v>266</v>
      </c>
      <c r="C45" s="3">
        <v>2024</v>
      </c>
      <c r="D45" s="11">
        <v>0.1045</v>
      </c>
      <c r="E45" s="3" t="s">
        <v>83</v>
      </c>
      <c r="F45" s="3" t="s">
        <v>263</v>
      </c>
    </row>
    <row r="46" spans="1:6" ht="15" customHeight="1" x14ac:dyDescent="0.3">
      <c r="A46" s="3" t="s">
        <v>87</v>
      </c>
      <c r="B46" s="3" t="s">
        <v>262</v>
      </c>
      <c r="C46" s="3">
        <v>2023</v>
      </c>
      <c r="D46" s="11">
        <v>4.9000000000000002E-2</v>
      </c>
      <c r="E46" s="3" t="s">
        <v>46</v>
      </c>
      <c r="F46" s="3" t="s">
        <v>263</v>
      </c>
    </row>
    <row r="47" spans="1:6" ht="15" customHeight="1" x14ac:dyDescent="0.3">
      <c r="A47" s="3" t="s">
        <v>87</v>
      </c>
      <c r="B47" s="3" t="s">
        <v>262</v>
      </c>
      <c r="C47" s="3">
        <v>2024</v>
      </c>
      <c r="D47" s="11">
        <v>4.5999999999999999E-2</v>
      </c>
      <c r="E47" s="3" t="s">
        <v>46</v>
      </c>
      <c r="F47" s="3" t="s">
        <v>263</v>
      </c>
    </row>
    <row r="48" spans="1:6" ht="15" customHeight="1" x14ac:dyDescent="0.3">
      <c r="A48" s="3" t="s">
        <v>87</v>
      </c>
      <c r="B48" s="3" t="s">
        <v>264</v>
      </c>
      <c r="C48" s="3">
        <v>2023</v>
      </c>
      <c r="D48" s="11">
        <v>7.0999999999999994E-2</v>
      </c>
      <c r="E48" s="3" t="s">
        <v>46</v>
      </c>
      <c r="F48" s="3" t="s">
        <v>263</v>
      </c>
    </row>
    <row r="49" spans="1:6" ht="15" customHeight="1" x14ac:dyDescent="0.3">
      <c r="A49" s="3" t="s">
        <v>87</v>
      </c>
      <c r="B49" s="3" t="s">
        <v>264</v>
      </c>
      <c r="C49" s="3">
        <v>2024</v>
      </c>
      <c r="D49" s="11">
        <v>7.0999999999999994E-2</v>
      </c>
      <c r="E49" s="3" t="s">
        <v>46</v>
      </c>
      <c r="F49" s="3" t="s">
        <v>263</v>
      </c>
    </row>
    <row r="50" spans="1:6" ht="15" customHeight="1" x14ac:dyDescent="0.3">
      <c r="A50" s="3" t="s">
        <v>87</v>
      </c>
      <c r="B50" s="3" t="s">
        <v>265</v>
      </c>
      <c r="C50" s="3">
        <v>2023</v>
      </c>
      <c r="D50" s="11">
        <v>6.6000000000000003E-2</v>
      </c>
      <c r="E50" s="3" t="s">
        <v>46</v>
      </c>
      <c r="F50" s="3" t="s">
        <v>263</v>
      </c>
    </row>
    <row r="51" spans="1:6" ht="15" customHeight="1" x14ac:dyDescent="0.3">
      <c r="A51" s="3" t="s">
        <v>87</v>
      </c>
      <c r="B51" s="3" t="s">
        <v>265</v>
      </c>
      <c r="C51" s="3">
        <v>2024</v>
      </c>
      <c r="D51" s="11">
        <v>6.7000000000000004E-2</v>
      </c>
      <c r="E51" s="3" t="s">
        <v>46</v>
      </c>
      <c r="F51" s="3" t="s">
        <v>263</v>
      </c>
    </row>
    <row r="52" spans="1:6" ht="15" customHeight="1" x14ac:dyDescent="0.3">
      <c r="A52" s="3" t="s">
        <v>87</v>
      </c>
      <c r="B52" s="3" t="s">
        <v>266</v>
      </c>
      <c r="C52" s="3">
        <v>2023</v>
      </c>
      <c r="D52" s="11">
        <v>0.1045</v>
      </c>
      <c r="E52" s="3" t="s">
        <v>46</v>
      </c>
      <c r="F52" s="3" t="s">
        <v>263</v>
      </c>
    </row>
    <row r="53" spans="1:6" ht="15" customHeight="1" x14ac:dyDescent="0.3">
      <c r="A53" s="3" t="s">
        <v>87</v>
      </c>
      <c r="B53" s="3" t="s">
        <v>266</v>
      </c>
      <c r="C53" s="3">
        <v>2024</v>
      </c>
      <c r="D53" s="11">
        <v>9.8199999999999996E-2</v>
      </c>
      <c r="E53" s="3" t="s">
        <v>46</v>
      </c>
      <c r="F53" s="3" t="s">
        <v>263</v>
      </c>
    </row>
    <row r="54" spans="1:6" ht="15" customHeight="1" x14ac:dyDescent="0.3">
      <c r="A54" s="3" t="s">
        <v>87</v>
      </c>
      <c r="B54" s="3" t="s">
        <v>266</v>
      </c>
      <c r="C54" s="3">
        <v>2022</v>
      </c>
      <c r="D54" s="11">
        <v>0.1143</v>
      </c>
      <c r="E54" s="3" t="s">
        <v>46</v>
      </c>
      <c r="F54" s="3" t="s">
        <v>263</v>
      </c>
    </row>
    <row r="55" spans="1:6" ht="23.85" customHeight="1" x14ac:dyDescent="0.3">
      <c r="A55" s="3" t="s">
        <v>92</v>
      </c>
      <c r="B55" s="3" t="s">
        <v>262</v>
      </c>
      <c r="C55" s="3">
        <v>2024</v>
      </c>
      <c r="D55" s="11">
        <v>5.1999999999999998E-2</v>
      </c>
      <c r="E55" s="3" t="s">
        <v>94</v>
      </c>
      <c r="F55" s="3" t="s">
        <v>263</v>
      </c>
    </row>
    <row r="56" spans="1:6" ht="23.85" customHeight="1" x14ac:dyDescent="0.3">
      <c r="A56" s="3" t="s">
        <v>92</v>
      </c>
      <c r="B56" s="3" t="s">
        <v>264</v>
      </c>
      <c r="C56" s="3">
        <v>2024</v>
      </c>
      <c r="D56" s="11">
        <v>6.9000000000000006E-2</v>
      </c>
      <c r="E56" s="3" t="s">
        <v>94</v>
      </c>
      <c r="F56" s="3" t="s">
        <v>263</v>
      </c>
    </row>
    <row r="57" spans="1:6" ht="23.85" customHeight="1" x14ac:dyDescent="0.3">
      <c r="A57" s="3" t="s">
        <v>92</v>
      </c>
      <c r="B57" s="3" t="s">
        <v>265</v>
      </c>
      <c r="C57" s="3">
        <v>2024</v>
      </c>
      <c r="D57" s="11">
        <v>6.3E-2</v>
      </c>
      <c r="E57" s="3" t="s">
        <v>94</v>
      </c>
      <c r="F57" s="3" t="s">
        <v>263</v>
      </c>
    </row>
    <row r="58" spans="1:6" ht="23.85" customHeight="1" x14ac:dyDescent="0.3">
      <c r="A58" s="3" t="s">
        <v>92</v>
      </c>
      <c r="B58" s="3" t="s">
        <v>266</v>
      </c>
      <c r="C58" s="3">
        <v>2024</v>
      </c>
      <c r="D58" s="11">
        <v>0.10249999999999999</v>
      </c>
      <c r="E58" s="3" t="s">
        <v>94</v>
      </c>
      <c r="F58" s="3" t="s">
        <v>263</v>
      </c>
    </row>
    <row r="59" spans="1:6" ht="15" customHeight="1" x14ac:dyDescent="0.3">
      <c r="A59" s="3" t="s">
        <v>98</v>
      </c>
      <c r="B59" s="3" t="s">
        <v>262</v>
      </c>
      <c r="C59" s="3">
        <v>2023</v>
      </c>
      <c r="D59" s="11">
        <v>4.2999999999999997E-2</v>
      </c>
      <c r="E59" s="3" t="s">
        <v>46</v>
      </c>
      <c r="F59" s="3" t="s">
        <v>263</v>
      </c>
    </row>
    <row r="60" spans="1:6" ht="15" customHeight="1" x14ac:dyDescent="0.3">
      <c r="A60" s="3" t="s">
        <v>98</v>
      </c>
      <c r="B60" s="3" t="s">
        <v>262</v>
      </c>
      <c r="C60" s="3">
        <v>2024</v>
      </c>
      <c r="D60" s="11">
        <v>4.7E-2</v>
      </c>
      <c r="E60" s="3" t="s">
        <v>46</v>
      </c>
      <c r="F60" s="3" t="s">
        <v>263</v>
      </c>
    </row>
    <row r="61" spans="1:6" ht="15" customHeight="1" x14ac:dyDescent="0.3">
      <c r="A61" s="3" t="s">
        <v>98</v>
      </c>
      <c r="B61" s="3" t="s">
        <v>264</v>
      </c>
      <c r="C61" s="3">
        <v>2023</v>
      </c>
      <c r="D61" s="11">
        <v>7.0999999999999994E-2</v>
      </c>
      <c r="E61" s="3" t="s">
        <v>46</v>
      </c>
      <c r="F61" s="3" t="s">
        <v>263</v>
      </c>
    </row>
    <row r="62" spans="1:6" ht="15" customHeight="1" x14ac:dyDescent="0.3">
      <c r="A62" s="3" t="s">
        <v>98</v>
      </c>
      <c r="B62" s="3" t="s">
        <v>264</v>
      </c>
      <c r="C62" s="3">
        <v>2024</v>
      </c>
      <c r="D62" s="11">
        <v>7.4999999999999997E-2</v>
      </c>
      <c r="E62" s="3" t="s">
        <v>46</v>
      </c>
      <c r="F62" s="3" t="s">
        <v>263</v>
      </c>
    </row>
    <row r="63" spans="1:6" ht="15" customHeight="1" x14ac:dyDescent="0.3">
      <c r="A63" s="3" t="s">
        <v>98</v>
      </c>
      <c r="B63" s="3" t="s">
        <v>265</v>
      </c>
      <c r="C63" s="3">
        <v>2023</v>
      </c>
      <c r="D63" s="11">
        <v>7.0999999999999994E-2</v>
      </c>
      <c r="E63" s="3" t="s">
        <v>46</v>
      </c>
      <c r="F63" s="3" t="s">
        <v>263</v>
      </c>
    </row>
    <row r="64" spans="1:6" ht="15" customHeight="1" x14ac:dyDescent="0.3">
      <c r="A64" s="3" t="s">
        <v>98</v>
      </c>
      <c r="B64" s="3" t="s">
        <v>265</v>
      </c>
      <c r="C64" s="3">
        <v>2024</v>
      </c>
      <c r="D64" s="11">
        <v>6.4000000000000001E-2</v>
      </c>
      <c r="E64" s="3" t="s">
        <v>46</v>
      </c>
      <c r="F64" s="3" t="s">
        <v>263</v>
      </c>
    </row>
    <row r="65" spans="1:6" ht="15" customHeight="1" x14ac:dyDescent="0.3">
      <c r="A65" s="3" t="s">
        <v>98</v>
      </c>
      <c r="B65" s="3" t="s">
        <v>266</v>
      </c>
      <c r="C65" s="3">
        <v>2023</v>
      </c>
      <c r="D65" s="11">
        <v>0.1043</v>
      </c>
      <c r="E65" s="3" t="s">
        <v>46</v>
      </c>
      <c r="F65" s="3" t="s">
        <v>263</v>
      </c>
    </row>
    <row r="66" spans="1:6" ht="15" customHeight="1" x14ac:dyDescent="0.3">
      <c r="A66" s="3" t="s">
        <v>98</v>
      </c>
      <c r="B66" s="3" t="s">
        <v>266</v>
      </c>
      <c r="C66" s="3">
        <v>2024</v>
      </c>
      <c r="D66" s="11">
        <v>9.8599999999999993E-2</v>
      </c>
      <c r="E66" s="3" t="s">
        <v>46</v>
      </c>
      <c r="F66" s="3" t="s">
        <v>263</v>
      </c>
    </row>
    <row r="67" spans="1:6" ht="15" customHeight="1" x14ac:dyDescent="0.3">
      <c r="A67" s="3" t="s">
        <v>98</v>
      </c>
      <c r="B67" s="3" t="s">
        <v>266</v>
      </c>
      <c r="C67" s="3">
        <v>2022</v>
      </c>
      <c r="D67" s="11">
        <v>0.1145</v>
      </c>
      <c r="E67" s="3" t="s">
        <v>46</v>
      </c>
      <c r="F67" s="3" t="s">
        <v>263</v>
      </c>
    </row>
    <row r="68" spans="1:6" ht="23.85" customHeight="1" x14ac:dyDescent="0.3">
      <c r="A68" s="3" t="s">
        <v>105</v>
      </c>
      <c r="B68" s="3" t="s">
        <v>262</v>
      </c>
      <c r="C68" s="3">
        <v>2024</v>
      </c>
      <c r="D68" s="11">
        <v>4.9099999999999998E-2</v>
      </c>
      <c r="E68" s="3" t="s">
        <v>69</v>
      </c>
      <c r="F68" s="3" t="s">
        <v>263</v>
      </c>
    </row>
    <row r="69" spans="1:6" ht="23.85" customHeight="1" x14ac:dyDescent="0.3">
      <c r="A69" s="3" t="s">
        <v>105</v>
      </c>
      <c r="B69" s="3" t="s">
        <v>264</v>
      </c>
      <c r="C69" s="3">
        <v>2024</v>
      </c>
      <c r="D69" s="11">
        <v>7.2700000000000001E-2</v>
      </c>
      <c r="E69" s="3" t="s">
        <v>69</v>
      </c>
      <c r="F69" s="3" t="s">
        <v>263</v>
      </c>
    </row>
    <row r="70" spans="1:6" ht="23.85" customHeight="1" x14ac:dyDescent="0.3">
      <c r="A70" s="3" t="s">
        <v>105</v>
      </c>
      <c r="B70" s="3" t="s">
        <v>265</v>
      </c>
      <c r="C70" s="3">
        <v>2024</v>
      </c>
      <c r="D70" s="11">
        <v>6.3700000000000007E-2</v>
      </c>
      <c r="E70" s="3" t="s">
        <v>69</v>
      </c>
      <c r="F70" s="3" t="s">
        <v>263</v>
      </c>
    </row>
    <row r="71" spans="1:6" ht="23.85" customHeight="1" x14ac:dyDescent="0.3">
      <c r="A71" s="3" t="s">
        <v>105</v>
      </c>
      <c r="B71" s="3" t="s">
        <v>266</v>
      </c>
      <c r="C71" s="3">
        <v>2024</v>
      </c>
      <c r="D71" s="11">
        <v>9.8799999999999999E-2</v>
      </c>
      <c r="E71" s="3" t="s">
        <v>69</v>
      </c>
      <c r="F71" s="3" t="s">
        <v>263</v>
      </c>
    </row>
    <row r="72" spans="1:6" ht="35.1" customHeight="1" x14ac:dyDescent="0.3">
      <c r="A72" s="3" t="s">
        <v>267</v>
      </c>
      <c r="B72" s="3" t="s">
        <v>262</v>
      </c>
      <c r="C72" s="3">
        <v>2023</v>
      </c>
      <c r="D72" s="11">
        <v>4.0300000000000002E-2</v>
      </c>
      <c r="E72" s="3" t="s">
        <v>268</v>
      </c>
      <c r="F72" s="3" t="s">
        <v>263</v>
      </c>
    </row>
    <row r="73" spans="1:6" ht="35.1" customHeight="1" x14ac:dyDescent="0.3">
      <c r="A73" s="3" t="s">
        <v>267</v>
      </c>
      <c r="B73" s="3" t="s">
        <v>262</v>
      </c>
      <c r="C73" s="3">
        <v>2024</v>
      </c>
      <c r="D73" s="11">
        <v>4.9099999999999998E-2</v>
      </c>
      <c r="E73" s="3" t="s">
        <v>268</v>
      </c>
      <c r="F73" s="3" t="s">
        <v>263</v>
      </c>
    </row>
    <row r="74" spans="1:6" ht="35.1" customHeight="1" x14ac:dyDescent="0.3">
      <c r="A74" s="3" t="s">
        <v>267</v>
      </c>
      <c r="B74" s="3" t="s">
        <v>264</v>
      </c>
      <c r="C74" s="3">
        <v>2023</v>
      </c>
      <c r="D74" s="11">
        <v>7.0599999999999996E-2</v>
      </c>
      <c r="E74" s="3" t="s">
        <v>268</v>
      </c>
      <c r="F74" s="3" t="s">
        <v>263</v>
      </c>
    </row>
    <row r="75" spans="1:6" ht="35.1" customHeight="1" x14ac:dyDescent="0.3">
      <c r="A75" s="3" t="s">
        <v>267</v>
      </c>
      <c r="B75" s="3" t="s">
        <v>264</v>
      </c>
      <c r="C75" s="3">
        <v>2024</v>
      </c>
      <c r="D75" s="11">
        <v>7.2700000000000001E-2</v>
      </c>
      <c r="E75" s="3" t="s">
        <v>268</v>
      </c>
      <c r="F75" s="3" t="s">
        <v>263</v>
      </c>
    </row>
    <row r="76" spans="1:6" ht="35.1" customHeight="1" x14ac:dyDescent="0.3">
      <c r="A76" s="3" t="s">
        <v>267</v>
      </c>
      <c r="B76" s="3" t="s">
        <v>265</v>
      </c>
      <c r="C76" s="3">
        <v>2023</v>
      </c>
      <c r="D76" s="11">
        <v>7.0300000000000001E-2</v>
      </c>
      <c r="E76" s="3" t="s">
        <v>268</v>
      </c>
      <c r="F76" s="3" t="s">
        <v>263</v>
      </c>
    </row>
    <row r="77" spans="1:6" ht="35.1" customHeight="1" x14ac:dyDescent="0.3">
      <c r="A77" s="3" t="s">
        <v>267</v>
      </c>
      <c r="B77" s="3" t="s">
        <v>265</v>
      </c>
      <c r="C77" s="3">
        <v>2024</v>
      </c>
      <c r="D77" s="11">
        <v>6.3700000000000007E-2</v>
      </c>
      <c r="E77" s="3" t="s">
        <v>268</v>
      </c>
      <c r="F77" s="3" t="s">
        <v>263</v>
      </c>
    </row>
    <row r="78" spans="1:6" ht="35.1" customHeight="1" x14ac:dyDescent="0.3">
      <c r="A78" s="3" t="s">
        <v>267</v>
      </c>
      <c r="B78" s="3" t="s">
        <v>266</v>
      </c>
      <c r="C78" s="3">
        <v>2023</v>
      </c>
      <c r="D78" s="11">
        <v>0.1028</v>
      </c>
      <c r="E78" s="3" t="s">
        <v>268</v>
      </c>
      <c r="F78" s="3" t="s">
        <v>263</v>
      </c>
    </row>
    <row r="79" spans="1:6" ht="35.1" customHeight="1" x14ac:dyDescent="0.3">
      <c r="A79" s="3" t="s">
        <v>267</v>
      </c>
      <c r="B79" s="3" t="s">
        <v>266</v>
      </c>
      <c r="C79" s="3">
        <v>2024</v>
      </c>
      <c r="D79" s="11">
        <v>9.8799999999999999E-2</v>
      </c>
      <c r="E79" s="3" t="s">
        <v>268</v>
      </c>
      <c r="F79" s="3" t="s">
        <v>263</v>
      </c>
    </row>
    <row r="80" spans="1:6" x14ac:dyDescent="0.3">
      <c r="A80" t="s">
        <v>386</v>
      </c>
      <c r="B80" t="s">
        <v>266</v>
      </c>
      <c r="C80">
        <v>2023</v>
      </c>
      <c r="D80">
        <v>0.10406</v>
      </c>
      <c r="E80" t="s">
        <v>387</v>
      </c>
      <c r="F80" t="s">
        <v>388</v>
      </c>
    </row>
    <row r="81" spans="1:6" x14ac:dyDescent="0.3">
      <c r="A81" t="s">
        <v>386</v>
      </c>
      <c r="B81" t="s">
        <v>264</v>
      </c>
      <c r="C81">
        <v>2023</v>
      </c>
      <c r="D81">
        <v>7.0800000000000002E-2</v>
      </c>
      <c r="E81" t="s">
        <v>387</v>
      </c>
      <c r="F81" t="s">
        <v>388</v>
      </c>
    </row>
    <row r="82" spans="1:6" x14ac:dyDescent="0.3">
      <c r="A82" t="s">
        <v>386</v>
      </c>
      <c r="B82" t="s">
        <v>265</v>
      </c>
      <c r="C82">
        <v>2023</v>
      </c>
      <c r="D82">
        <v>7.0889999999999995E-2</v>
      </c>
      <c r="E82" t="s">
        <v>387</v>
      </c>
      <c r="F82" t="s">
        <v>388</v>
      </c>
    </row>
    <row r="83" spans="1:6" x14ac:dyDescent="0.3">
      <c r="A83" t="s">
        <v>386</v>
      </c>
      <c r="B83" t="s">
        <v>262</v>
      </c>
      <c r="C83">
        <v>2023</v>
      </c>
      <c r="D83">
        <v>4.2619999999999998E-2</v>
      </c>
      <c r="E83" t="s">
        <v>387</v>
      </c>
      <c r="F83" t="s">
        <v>388</v>
      </c>
    </row>
    <row r="84" spans="1:6" x14ac:dyDescent="0.3">
      <c r="A84" t="s">
        <v>386</v>
      </c>
      <c r="B84" t="s">
        <v>266</v>
      </c>
      <c r="C84">
        <v>2024</v>
      </c>
      <c r="D84">
        <v>9.8659999999999998E-2</v>
      </c>
      <c r="E84" t="s">
        <v>387</v>
      </c>
      <c r="F84" t="s">
        <v>388</v>
      </c>
    </row>
    <row r="85" spans="1:6" x14ac:dyDescent="0.3">
      <c r="A85" t="s">
        <v>386</v>
      </c>
      <c r="B85" t="s">
        <v>264</v>
      </c>
      <c r="C85">
        <v>2024</v>
      </c>
      <c r="D85">
        <v>7.2440000000000004E-2</v>
      </c>
      <c r="E85" t="s">
        <v>387</v>
      </c>
      <c r="F85" t="s">
        <v>388</v>
      </c>
    </row>
    <row r="86" spans="1:6" x14ac:dyDescent="0.3">
      <c r="A86" t="s">
        <v>386</v>
      </c>
      <c r="B86" t="s">
        <v>265</v>
      </c>
      <c r="C86">
        <v>2024</v>
      </c>
      <c r="D86">
        <v>6.3490000000000005E-2</v>
      </c>
      <c r="E86" t="s">
        <v>387</v>
      </c>
      <c r="F86" t="s">
        <v>388</v>
      </c>
    </row>
    <row r="87" spans="1:6" x14ac:dyDescent="0.3">
      <c r="A87" t="s">
        <v>386</v>
      </c>
      <c r="B87" t="s">
        <v>262</v>
      </c>
      <c r="C87">
        <v>2024</v>
      </c>
      <c r="D87">
        <v>4.8910000000000002E-2</v>
      </c>
      <c r="E87" t="s">
        <v>387</v>
      </c>
      <c r="F87" t="s">
        <v>388</v>
      </c>
    </row>
    <row r="88" spans="1:6" x14ac:dyDescent="0.3">
      <c r="A88" t="s">
        <v>389</v>
      </c>
      <c r="B88" t="s">
        <v>266</v>
      </c>
      <c r="C88">
        <v>2023</v>
      </c>
      <c r="D88">
        <v>0.10406</v>
      </c>
      <c r="E88" t="s">
        <v>387</v>
      </c>
      <c r="F88" t="s">
        <v>390</v>
      </c>
    </row>
    <row r="89" spans="1:6" x14ac:dyDescent="0.3">
      <c r="A89" t="s">
        <v>389</v>
      </c>
      <c r="B89" t="s">
        <v>264</v>
      </c>
      <c r="C89">
        <v>2023</v>
      </c>
      <c r="D89">
        <v>7.0800000000000002E-2</v>
      </c>
      <c r="E89" t="s">
        <v>387</v>
      </c>
      <c r="F89" t="s">
        <v>390</v>
      </c>
    </row>
    <row r="90" spans="1:6" x14ac:dyDescent="0.3">
      <c r="A90" t="s">
        <v>389</v>
      </c>
      <c r="B90" t="s">
        <v>265</v>
      </c>
      <c r="C90">
        <v>2023</v>
      </c>
      <c r="D90">
        <v>7.0889999999999995E-2</v>
      </c>
      <c r="E90" t="s">
        <v>387</v>
      </c>
      <c r="F90" t="s">
        <v>390</v>
      </c>
    </row>
    <row r="91" spans="1:6" x14ac:dyDescent="0.3">
      <c r="A91" t="s">
        <v>389</v>
      </c>
      <c r="B91" t="s">
        <v>262</v>
      </c>
      <c r="C91">
        <v>2023</v>
      </c>
      <c r="D91">
        <v>4.2639999999999997E-2</v>
      </c>
      <c r="E91" t="s">
        <v>387</v>
      </c>
      <c r="F91" t="s">
        <v>390</v>
      </c>
    </row>
    <row r="92" spans="1:6" x14ac:dyDescent="0.3">
      <c r="A92" t="s">
        <v>389</v>
      </c>
      <c r="B92" t="s">
        <v>266</v>
      </c>
      <c r="C92">
        <v>2024</v>
      </c>
      <c r="D92">
        <v>9.8729999999999998E-2</v>
      </c>
      <c r="E92" t="s">
        <v>387</v>
      </c>
      <c r="F92" t="s">
        <v>390</v>
      </c>
    </row>
    <row r="93" spans="1:6" x14ac:dyDescent="0.3">
      <c r="A93" t="s">
        <v>389</v>
      </c>
      <c r="B93" t="s">
        <v>264</v>
      </c>
      <c r="C93">
        <v>2024</v>
      </c>
      <c r="D93">
        <v>7.2559999999999999E-2</v>
      </c>
      <c r="E93" t="s">
        <v>387</v>
      </c>
      <c r="F93" t="s">
        <v>390</v>
      </c>
    </row>
    <row r="94" spans="1:6" x14ac:dyDescent="0.3">
      <c r="A94" t="s">
        <v>389</v>
      </c>
      <c r="B94" t="s">
        <v>265</v>
      </c>
      <c r="C94">
        <v>2024</v>
      </c>
      <c r="D94">
        <v>6.3450000000000006E-2</v>
      </c>
      <c r="E94" t="s">
        <v>387</v>
      </c>
      <c r="F94" t="s">
        <v>390</v>
      </c>
    </row>
    <row r="95" spans="1:6" x14ac:dyDescent="0.3">
      <c r="A95" t="s">
        <v>389</v>
      </c>
      <c r="B95" t="s">
        <v>262</v>
      </c>
      <c r="C95">
        <v>2024</v>
      </c>
      <c r="D95">
        <v>4.8989999999999999E-2</v>
      </c>
      <c r="E95" t="s">
        <v>387</v>
      </c>
      <c r="F95" t="s">
        <v>390</v>
      </c>
    </row>
    <row r="96" spans="1:6" x14ac:dyDescent="0.3">
      <c r="A96" t="s">
        <v>391</v>
      </c>
      <c r="B96" t="s">
        <v>266</v>
      </c>
      <c r="C96">
        <v>2023</v>
      </c>
      <c r="D96">
        <v>0.10435</v>
      </c>
      <c r="E96" t="s">
        <v>387</v>
      </c>
      <c r="F96" t="s">
        <v>392</v>
      </c>
    </row>
    <row r="97" spans="1:6" x14ac:dyDescent="0.3">
      <c r="A97" t="s">
        <v>391</v>
      </c>
      <c r="B97" t="s">
        <v>264</v>
      </c>
      <c r="C97">
        <v>2023</v>
      </c>
      <c r="D97">
        <v>7.0800000000000002E-2</v>
      </c>
      <c r="E97" t="s">
        <v>387</v>
      </c>
      <c r="F97" t="s">
        <v>392</v>
      </c>
    </row>
    <row r="98" spans="1:6" x14ac:dyDescent="0.3">
      <c r="A98" t="s">
        <v>391</v>
      </c>
      <c r="B98" t="s">
        <v>265</v>
      </c>
      <c r="C98">
        <v>2023</v>
      </c>
      <c r="D98">
        <v>7.0889999999999995E-2</v>
      </c>
      <c r="E98" t="s">
        <v>387</v>
      </c>
      <c r="F98" t="s">
        <v>392</v>
      </c>
    </row>
    <row r="99" spans="1:6" x14ac:dyDescent="0.3">
      <c r="A99" t="s">
        <v>391</v>
      </c>
      <c r="B99" t="s">
        <v>262</v>
      </c>
      <c r="C99">
        <v>2023</v>
      </c>
      <c r="D99">
        <v>4.3270000000000003E-2</v>
      </c>
      <c r="E99" t="s">
        <v>387</v>
      </c>
      <c r="F99" t="s">
        <v>392</v>
      </c>
    </row>
    <row r="100" spans="1:6" x14ac:dyDescent="0.3">
      <c r="A100" t="s">
        <v>391</v>
      </c>
      <c r="B100" t="s">
        <v>266</v>
      </c>
      <c r="C100">
        <v>2024</v>
      </c>
      <c r="D100">
        <v>9.8640000000000005E-2</v>
      </c>
      <c r="E100" t="s">
        <v>387</v>
      </c>
      <c r="F100" t="s">
        <v>392</v>
      </c>
    </row>
    <row r="101" spans="1:6" x14ac:dyDescent="0.3">
      <c r="A101" t="s">
        <v>391</v>
      </c>
      <c r="B101" t="s">
        <v>264</v>
      </c>
      <c r="C101">
        <v>2024</v>
      </c>
      <c r="D101">
        <v>7.2580000000000006E-2</v>
      </c>
      <c r="E101" t="s">
        <v>387</v>
      </c>
      <c r="F101" t="s">
        <v>392</v>
      </c>
    </row>
    <row r="102" spans="1:6" x14ac:dyDescent="0.3">
      <c r="A102" t="s">
        <v>391</v>
      </c>
      <c r="B102" t="s">
        <v>265</v>
      </c>
      <c r="C102">
        <v>2024</v>
      </c>
      <c r="D102">
        <v>6.3439999999999996E-2</v>
      </c>
      <c r="E102" t="s">
        <v>387</v>
      </c>
      <c r="F102" t="s">
        <v>392</v>
      </c>
    </row>
    <row r="103" spans="1:6" x14ac:dyDescent="0.3">
      <c r="A103" t="s">
        <v>391</v>
      </c>
      <c r="B103" t="s">
        <v>262</v>
      </c>
      <c r="C103">
        <v>2024</v>
      </c>
      <c r="D103">
        <v>4.8759999999999998E-2</v>
      </c>
      <c r="E103" t="s">
        <v>387</v>
      </c>
      <c r="F103" t="s">
        <v>392</v>
      </c>
    </row>
    <row r="104" spans="1:6" x14ac:dyDescent="0.3">
      <c r="A104" t="s">
        <v>393</v>
      </c>
      <c r="B104" t="s">
        <v>266</v>
      </c>
      <c r="C104">
        <v>2023</v>
      </c>
      <c r="D104">
        <v>0.10549</v>
      </c>
      <c r="E104" t="s">
        <v>387</v>
      </c>
      <c r="F104" t="s">
        <v>394</v>
      </c>
    </row>
    <row r="105" spans="1:6" x14ac:dyDescent="0.3">
      <c r="A105" t="s">
        <v>393</v>
      </c>
      <c r="B105" t="s">
        <v>264</v>
      </c>
      <c r="C105">
        <v>2023</v>
      </c>
      <c r="D105">
        <v>7.1419999999999997E-2</v>
      </c>
      <c r="E105" t="s">
        <v>387</v>
      </c>
      <c r="F105" t="s">
        <v>394</v>
      </c>
    </row>
    <row r="106" spans="1:6" x14ac:dyDescent="0.3">
      <c r="A106" t="s">
        <v>393</v>
      </c>
      <c r="B106" t="s">
        <v>265</v>
      </c>
      <c r="C106">
        <v>2023</v>
      </c>
      <c r="D106">
        <v>7.0709999999999995E-2</v>
      </c>
      <c r="E106" t="s">
        <v>387</v>
      </c>
      <c r="F106" t="s">
        <v>394</v>
      </c>
    </row>
    <row r="107" spans="1:6" x14ac:dyDescent="0.3">
      <c r="A107" t="s">
        <v>393</v>
      </c>
      <c r="B107" t="s">
        <v>262</v>
      </c>
      <c r="C107">
        <v>2023</v>
      </c>
      <c r="D107">
        <v>4.5400000000000003E-2</v>
      </c>
      <c r="E107" t="s">
        <v>387</v>
      </c>
      <c r="F107" t="s">
        <v>394</v>
      </c>
    </row>
    <row r="108" spans="1:6" x14ac:dyDescent="0.3">
      <c r="A108" t="s">
        <v>393</v>
      </c>
      <c r="B108" t="s">
        <v>266</v>
      </c>
      <c r="C108">
        <v>2024</v>
      </c>
      <c r="D108">
        <v>9.9260000000000001E-2</v>
      </c>
      <c r="E108" t="s">
        <v>387</v>
      </c>
      <c r="F108" t="s">
        <v>394</v>
      </c>
    </row>
    <row r="109" spans="1:6" x14ac:dyDescent="0.3">
      <c r="A109" t="s">
        <v>393</v>
      </c>
      <c r="B109" t="s">
        <v>264</v>
      </c>
      <c r="C109">
        <v>2024</v>
      </c>
      <c r="D109">
        <v>7.3109999999999994E-2</v>
      </c>
      <c r="E109" t="s">
        <v>387</v>
      </c>
      <c r="F109" t="s">
        <v>394</v>
      </c>
    </row>
    <row r="110" spans="1:6" x14ac:dyDescent="0.3">
      <c r="A110" t="s">
        <v>393</v>
      </c>
      <c r="B110" t="s">
        <v>265</v>
      </c>
      <c r="C110">
        <v>2024</v>
      </c>
      <c r="D110">
        <v>6.3619999999999996E-2</v>
      </c>
      <c r="E110" t="s">
        <v>387</v>
      </c>
      <c r="F110" t="s">
        <v>394</v>
      </c>
    </row>
    <row r="111" spans="1:6" x14ac:dyDescent="0.3">
      <c r="A111" t="s">
        <v>393</v>
      </c>
      <c r="B111" t="s">
        <v>262</v>
      </c>
      <c r="C111">
        <v>2024</v>
      </c>
      <c r="D111">
        <v>4.9709999999999997E-2</v>
      </c>
      <c r="E111" t="s">
        <v>387</v>
      </c>
      <c r="F111" t="s">
        <v>394</v>
      </c>
    </row>
    <row r="112" spans="1:6" x14ac:dyDescent="0.3">
      <c r="A112" t="s">
        <v>395</v>
      </c>
      <c r="B112" t="s">
        <v>266</v>
      </c>
      <c r="C112">
        <v>2023</v>
      </c>
      <c r="D112">
        <v>0.10401000000000001</v>
      </c>
      <c r="E112" t="s">
        <v>387</v>
      </c>
      <c r="F112" t="s">
        <v>396</v>
      </c>
    </row>
    <row r="113" spans="1:6" x14ac:dyDescent="0.3">
      <c r="A113" t="s">
        <v>395</v>
      </c>
      <c r="B113" t="s">
        <v>264</v>
      </c>
      <c r="C113">
        <v>2023</v>
      </c>
      <c r="D113">
        <v>7.1029999999999996E-2</v>
      </c>
      <c r="E113" t="s">
        <v>387</v>
      </c>
      <c r="F113" t="s">
        <v>396</v>
      </c>
    </row>
    <row r="114" spans="1:6" x14ac:dyDescent="0.3">
      <c r="A114" t="s">
        <v>395</v>
      </c>
      <c r="B114" t="s">
        <v>265</v>
      </c>
      <c r="C114">
        <v>2023</v>
      </c>
      <c r="D114">
        <v>7.1069999999999994E-2</v>
      </c>
      <c r="E114" t="s">
        <v>387</v>
      </c>
      <c r="F114" t="s">
        <v>396</v>
      </c>
    </row>
    <row r="115" spans="1:6" x14ac:dyDescent="0.3">
      <c r="A115" t="s">
        <v>395</v>
      </c>
      <c r="B115" t="s">
        <v>262</v>
      </c>
      <c r="C115">
        <v>2023</v>
      </c>
      <c r="D115">
        <v>4.2290000000000001E-2</v>
      </c>
      <c r="E115" t="s">
        <v>387</v>
      </c>
      <c r="F115" t="s">
        <v>396</v>
      </c>
    </row>
    <row r="116" spans="1:6" x14ac:dyDescent="0.3">
      <c r="A116" t="s">
        <v>395</v>
      </c>
      <c r="B116" t="s">
        <v>266</v>
      </c>
      <c r="C116">
        <v>2024</v>
      </c>
      <c r="D116">
        <v>9.9909999999999999E-2</v>
      </c>
      <c r="E116" t="s">
        <v>387</v>
      </c>
      <c r="F116" t="s">
        <v>396</v>
      </c>
    </row>
    <row r="117" spans="1:6" x14ac:dyDescent="0.3">
      <c r="A117" t="s">
        <v>395</v>
      </c>
      <c r="B117" t="s">
        <v>264</v>
      </c>
      <c r="C117">
        <v>2024</v>
      </c>
      <c r="D117">
        <v>7.3319999999999996E-2</v>
      </c>
      <c r="E117" t="s">
        <v>387</v>
      </c>
      <c r="F117" t="s">
        <v>396</v>
      </c>
    </row>
    <row r="118" spans="1:6" x14ac:dyDescent="0.3">
      <c r="A118" t="s">
        <v>395</v>
      </c>
      <c r="B118" t="s">
        <v>265</v>
      </c>
      <c r="C118">
        <v>2024</v>
      </c>
      <c r="D118">
        <v>6.3089999999999993E-2</v>
      </c>
      <c r="E118" t="s">
        <v>387</v>
      </c>
      <c r="F118" t="s">
        <v>396</v>
      </c>
    </row>
    <row r="119" spans="1:6" x14ac:dyDescent="0.3">
      <c r="A119" t="s">
        <v>395</v>
      </c>
      <c r="B119" t="s">
        <v>262</v>
      </c>
      <c r="C119">
        <v>2024</v>
      </c>
      <c r="D119">
        <v>5.1279999999999999E-2</v>
      </c>
      <c r="E119" t="s">
        <v>387</v>
      </c>
      <c r="F119" t="s">
        <v>396</v>
      </c>
    </row>
    <row r="120" spans="1:6" x14ac:dyDescent="0.3">
      <c r="A120" t="s">
        <v>397</v>
      </c>
      <c r="B120" t="s">
        <v>266</v>
      </c>
      <c r="C120">
        <v>2023</v>
      </c>
      <c r="D120">
        <v>0.1042</v>
      </c>
      <c r="E120" t="s">
        <v>387</v>
      </c>
      <c r="F120" t="s">
        <v>398</v>
      </c>
    </row>
    <row r="121" spans="1:6" x14ac:dyDescent="0.3">
      <c r="A121" t="s">
        <v>397</v>
      </c>
      <c r="B121" t="s">
        <v>264</v>
      </c>
      <c r="C121">
        <v>2023</v>
      </c>
      <c r="D121">
        <v>7.1040000000000006E-2</v>
      </c>
      <c r="E121" t="s">
        <v>387</v>
      </c>
      <c r="F121" t="s">
        <v>398</v>
      </c>
    </row>
    <row r="122" spans="1:6" x14ac:dyDescent="0.3">
      <c r="A122" t="s">
        <v>397</v>
      </c>
      <c r="B122" t="s">
        <v>265</v>
      </c>
      <c r="C122">
        <v>2023</v>
      </c>
      <c r="D122">
        <v>7.0889999999999995E-2</v>
      </c>
      <c r="E122" t="s">
        <v>387</v>
      </c>
      <c r="F122" t="s">
        <v>398</v>
      </c>
    </row>
    <row r="123" spans="1:6" x14ac:dyDescent="0.3">
      <c r="A123" t="s">
        <v>397</v>
      </c>
      <c r="B123" t="s">
        <v>262</v>
      </c>
      <c r="C123">
        <v>2023</v>
      </c>
      <c r="D123">
        <v>4.2759999999999999E-2</v>
      </c>
      <c r="E123" t="s">
        <v>387</v>
      </c>
      <c r="F123" t="s">
        <v>398</v>
      </c>
    </row>
    <row r="124" spans="1:6" x14ac:dyDescent="0.3">
      <c r="A124" t="s">
        <v>397</v>
      </c>
      <c r="B124" t="s">
        <v>266</v>
      </c>
      <c r="C124">
        <v>2024</v>
      </c>
      <c r="D124">
        <v>9.9760000000000001E-2</v>
      </c>
      <c r="E124" t="s">
        <v>387</v>
      </c>
      <c r="F124" t="s">
        <v>398</v>
      </c>
    </row>
    <row r="125" spans="1:6" x14ac:dyDescent="0.3">
      <c r="A125" t="s">
        <v>397</v>
      </c>
      <c r="B125" t="s">
        <v>264</v>
      </c>
      <c r="C125">
        <v>2024</v>
      </c>
      <c r="D125">
        <v>7.2590000000000002E-2</v>
      </c>
      <c r="E125" t="s">
        <v>387</v>
      </c>
      <c r="F125" t="s">
        <v>398</v>
      </c>
    </row>
    <row r="126" spans="1:6" x14ac:dyDescent="0.3">
      <c r="A126" t="s">
        <v>397</v>
      </c>
      <c r="B126" t="s">
        <v>265</v>
      </c>
      <c r="C126">
        <v>2024</v>
      </c>
      <c r="D126">
        <v>6.3270000000000007E-2</v>
      </c>
      <c r="E126" t="s">
        <v>387</v>
      </c>
      <c r="F126" t="s">
        <v>398</v>
      </c>
    </row>
    <row r="127" spans="1:6" x14ac:dyDescent="0.3">
      <c r="A127" t="s">
        <v>397</v>
      </c>
      <c r="B127" t="s">
        <v>262</v>
      </c>
      <c r="C127">
        <v>2024</v>
      </c>
      <c r="D127">
        <v>5.1450000000000003E-2</v>
      </c>
      <c r="E127" t="s">
        <v>387</v>
      </c>
      <c r="F127" t="s">
        <v>398</v>
      </c>
    </row>
    <row r="128" spans="1:6" x14ac:dyDescent="0.3">
      <c r="A128" t="s">
        <v>399</v>
      </c>
      <c r="B128" t="s">
        <v>266</v>
      </c>
      <c r="C128">
        <v>2023</v>
      </c>
      <c r="D128">
        <v>0.1048</v>
      </c>
      <c r="E128" t="s">
        <v>387</v>
      </c>
      <c r="F128" t="s">
        <v>400</v>
      </c>
    </row>
    <row r="129" spans="1:6" x14ac:dyDescent="0.3">
      <c r="A129" t="s">
        <v>399</v>
      </c>
      <c r="B129" t="s">
        <v>264</v>
      </c>
      <c r="C129">
        <v>2023</v>
      </c>
      <c r="D129">
        <v>7.1419999999999997E-2</v>
      </c>
      <c r="E129" t="s">
        <v>387</v>
      </c>
      <c r="F129" t="s">
        <v>400</v>
      </c>
    </row>
    <row r="130" spans="1:6" x14ac:dyDescent="0.3">
      <c r="A130" t="s">
        <v>399</v>
      </c>
      <c r="B130" t="s">
        <v>265</v>
      </c>
      <c r="C130">
        <v>2023</v>
      </c>
      <c r="D130">
        <v>7.0709999999999995E-2</v>
      </c>
      <c r="E130" t="s">
        <v>387</v>
      </c>
      <c r="F130" t="s">
        <v>400</v>
      </c>
    </row>
    <row r="131" spans="1:6" x14ac:dyDescent="0.3">
      <c r="A131" t="s">
        <v>399</v>
      </c>
      <c r="B131" t="s">
        <v>262</v>
      </c>
      <c r="C131">
        <v>2023</v>
      </c>
      <c r="D131">
        <v>4.3880000000000002E-2</v>
      </c>
      <c r="E131" t="s">
        <v>387</v>
      </c>
      <c r="F131" t="s">
        <v>400</v>
      </c>
    </row>
    <row r="132" spans="1:6" x14ac:dyDescent="0.3">
      <c r="A132" t="s">
        <v>399</v>
      </c>
      <c r="B132" t="s">
        <v>266</v>
      </c>
      <c r="C132">
        <v>2024</v>
      </c>
      <c r="D132">
        <v>9.8780000000000007E-2</v>
      </c>
      <c r="E132" t="s">
        <v>387</v>
      </c>
      <c r="F132" t="s">
        <v>400</v>
      </c>
    </row>
    <row r="133" spans="1:6" x14ac:dyDescent="0.3">
      <c r="A133" t="s">
        <v>399</v>
      </c>
      <c r="B133" t="s">
        <v>264</v>
      </c>
      <c r="C133">
        <v>2024</v>
      </c>
      <c r="D133">
        <v>7.2989999999999999E-2</v>
      </c>
      <c r="E133" t="s">
        <v>387</v>
      </c>
      <c r="F133" t="s">
        <v>400</v>
      </c>
    </row>
    <row r="134" spans="1:6" x14ac:dyDescent="0.3">
      <c r="A134" t="s">
        <v>399</v>
      </c>
      <c r="B134" t="s">
        <v>265</v>
      </c>
      <c r="C134">
        <v>2024</v>
      </c>
      <c r="D134">
        <v>6.3479999999999995E-2</v>
      </c>
      <c r="E134" t="s">
        <v>387</v>
      </c>
      <c r="F134" t="s">
        <v>400</v>
      </c>
    </row>
    <row r="135" spans="1:6" x14ac:dyDescent="0.3">
      <c r="A135" t="s">
        <v>399</v>
      </c>
      <c r="B135" t="s">
        <v>262</v>
      </c>
      <c r="C135">
        <v>2024</v>
      </c>
      <c r="D135">
        <v>4.8739999999999999E-2</v>
      </c>
      <c r="E135" t="s">
        <v>387</v>
      </c>
      <c r="F135" t="s">
        <v>400</v>
      </c>
    </row>
    <row r="136" spans="1:6" x14ac:dyDescent="0.3">
      <c r="A136" t="s">
        <v>401</v>
      </c>
      <c r="B136" t="s">
        <v>266</v>
      </c>
      <c r="C136">
        <v>2023</v>
      </c>
      <c r="D136">
        <v>0.10462</v>
      </c>
      <c r="E136" t="s">
        <v>387</v>
      </c>
      <c r="F136" t="s">
        <v>402</v>
      </c>
    </row>
    <row r="137" spans="1:6" x14ac:dyDescent="0.3">
      <c r="A137" t="s">
        <v>401</v>
      </c>
      <c r="B137" t="s">
        <v>264</v>
      </c>
      <c r="C137">
        <v>2023</v>
      </c>
      <c r="D137">
        <v>7.2419999999999998E-2</v>
      </c>
      <c r="E137" t="s">
        <v>387</v>
      </c>
      <c r="F137" t="s">
        <v>402</v>
      </c>
    </row>
    <row r="138" spans="1:6" x14ac:dyDescent="0.3">
      <c r="A138" t="s">
        <v>401</v>
      </c>
      <c r="B138" t="s">
        <v>265</v>
      </c>
      <c r="C138">
        <v>2023</v>
      </c>
      <c r="D138">
        <v>7.1599999999999997E-2</v>
      </c>
      <c r="E138" t="s">
        <v>387</v>
      </c>
      <c r="F138" t="s">
        <v>402</v>
      </c>
    </row>
    <row r="139" spans="1:6" x14ac:dyDescent="0.3">
      <c r="A139" t="s">
        <v>401</v>
      </c>
      <c r="B139" t="s">
        <v>262</v>
      </c>
      <c r="C139">
        <v>2023</v>
      </c>
      <c r="D139">
        <v>4.2439999999999999E-2</v>
      </c>
      <c r="E139" t="s">
        <v>387</v>
      </c>
      <c r="F139" t="s">
        <v>402</v>
      </c>
    </row>
    <row r="140" spans="1:6" x14ac:dyDescent="0.3">
      <c r="A140" t="s">
        <v>401</v>
      </c>
      <c r="B140" t="s">
        <v>266</v>
      </c>
      <c r="C140">
        <v>2024</v>
      </c>
      <c r="D140">
        <v>9.8720000000000002E-2</v>
      </c>
      <c r="E140" t="s">
        <v>387</v>
      </c>
      <c r="F140" t="s">
        <v>402</v>
      </c>
    </row>
    <row r="141" spans="1:6" x14ac:dyDescent="0.3">
      <c r="A141" t="s">
        <v>401</v>
      </c>
      <c r="B141" t="s">
        <v>264</v>
      </c>
      <c r="C141">
        <v>2024</v>
      </c>
      <c r="D141">
        <v>7.3400000000000007E-2</v>
      </c>
      <c r="E141" t="s">
        <v>387</v>
      </c>
      <c r="F141" t="s">
        <v>402</v>
      </c>
    </row>
    <row r="142" spans="1:6" x14ac:dyDescent="0.3">
      <c r="A142" t="s">
        <v>401</v>
      </c>
      <c r="B142" t="s">
        <v>265</v>
      </c>
      <c r="C142">
        <v>2024</v>
      </c>
      <c r="D142">
        <v>6.343E-2</v>
      </c>
      <c r="E142" t="s">
        <v>387</v>
      </c>
      <c r="F142" t="s">
        <v>402</v>
      </c>
    </row>
    <row r="143" spans="1:6" x14ac:dyDescent="0.3">
      <c r="A143" t="s">
        <v>401</v>
      </c>
      <c r="B143" t="s">
        <v>262</v>
      </c>
      <c r="C143">
        <v>2024</v>
      </c>
      <c r="D143">
        <v>4.8280000000000003E-2</v>
      </c>
      <c r="E143" t="s">
        <v>387</v>
      </c>
      <c r="F143" t="s">
        <v>402</v>
      </c>
    </row>
    <row r="144" spans="1:6" x14ac:dyDescent="0.3">
      <c r="A144" t="s">
        <v>403</v>
      </c>
      <c r="B144" t="s">
        <v>266</v>
      </c>
      <c r="C144">
        <v>2023</v>
      </c>
      <c r="D144">
        <v>0.10462</v>
      </c>
      <c r="E144" t="s">
        <v>387</v>
      </c>
      <c r="F144" t="s">
        <v>404</v>
      </c>
    </row>
    <row r="145" spans="1:6" x14ac:dyDescent="0.3">
      <c r="A145" t="s">
        <v>403</v>
      </c>
      <c r="B145" t="s">
        <v>264</v>
      </c>
      <c r="C145">
        <v>2023</v>
      </c>
      <c r="D145">
        <v>7.2419999999999998E-2</v>
      </c>
      <c r="E145" t="s">
        <v>387</v>
      </c>
      <c r="F145" t="s">
        <v>404</v>
      </c>
    </row>
    <row r="146" spans="1:6" x14ac:dyDescent="0.3">
      <c r="A146" t="s">
        <v>403</v>
      </c>
      <c r="B146" t="s">
        <v>265</v>
      </c>
      <c r="C146">
        <v>2023</v>
      </c>
      <c r="D146">
        <v>7.1599999999999997E-2</v>
      </c>
      <c r="E146" t="s">
        <v>387</v>
      </c>
      <c r="F146" t="s">
        <v>404</v>
      </c>
    </row>
    <row r="147" spans="1:6" x14ac:dyDescent="0.3">
      <c r="A147" t="s">
        <v>403</v>
      </c>
      <c r="B147" t="s">
        <v>262</v>
      </c>
      <c r="C147">
        <v>2023</v>
      </c>
      <c r="D147">
        <v>4.2439999999999999E-2</v>
      </c>
      <c r="E147" t="s">
        <v>387</v>
      </c>
      <c r="F147" t="s">
        <v>404</v>
      </c>
    </row>
    <row r="148" spans="1:6" x14ac:dyDescent="0.3">
      <c r="A148" t="s">
        <v>403</v>
      </c>
      <c r="B148" t="s">
        <v>266</v>
      </c>
      <c r="C148">
        <v>2024</v>
      </c>
      <c r="D148">
        <v>9.8720000000000002E-2</v>
      </c>
      <c r="E148" t="s">
        <v>387</v>
      </c>
      <c r="F148" t="s">
        <v>404</v>
      </c>
    </row>
    <row r="149" spans="1:6" x14ac:dyDescent="0.3">
      <c r="A149" t="s">
        <v>403</v>
      </c>
      <c r="B149" t="s">
        <v>264</v>
      </c>
      <c r="C149">
        <v>2024</v>
      </c>
      <c r="D149">
        <v>7.3400000000000007E-2</v>
      </c>
      <c r="E149" t="s">
        <v>387</v>
      </c>
      <c r="F149" t="s">
        <v>404</v>
      </c>
    </row>
    <row r="150" spans="1:6" x14ac:dyDescent="0.3">
      <c r="A150" t="s">
        <v>403</v>
      </c>
      <c r="B150" t="s">
        <v>265</v>
      </c>
      <c r="C150">
        <v>2024</v>
      </c>
      <c r="D150">
        <v>6.343E-2</v>
      </c>
      <c r="E150" t="s">
        <v>387</v>
      </c>
      <c r="F150" t="s">
        <v>404</v>
      </c>
    </row>
    <row r="151" spans="1:6" x14ac:dyDescent="0.3">
      <c r="A151" t="s">
        <v>403</v>
      </c>
      <c r="B151" t="s">
        <v>262</v>
      </c>
      <c r="C151">
        <v>2024</v>
      </c>
      <c r="D151">
        <v>4.8280000000000003E-2</v>
      </c>
      <c r="E151" t="s">
        <v>387</v>
      </c>
      <c r="F151" t="s">
        <v>404</v>
      </c>
    </row>
    <row r="152" spans="1:6" x14ac:dyDescent="0.3">
      <c r="A152" t="s">
        <v>405</v>
      </c>
      <c r="B152" t="s">
        <v>266</v>
      </c>
      <c r="C152">
        <v>2023</v>
      </c>
      <c r="D152">
        <v>0.10453999999999999</v>
      </c>
      <c r="E152" t="s">
        <v>387</v>
      </c>
      <c r="F152" t="s">
        <v>406</v>
      </c>
    </row>
    <row r="153" spans="1:6" x14ac:dyDescent="0.3">
      <c r="A153" t="s">
        <v>405</v>
      </c>
      <c r="B153" t="s">
        <v>264</v>
      </c>
      <c r="C153">
        <v>2023</v>
      </c>
      <c r="D153">
        <v>7.2419999999999998E-2</v>
      </c>
      <c r="E153" t="s">
        <v>387</v>
      </c>
      <c r="F153" t="s">
        <v>406</v>
      </c>
    </row>
    <row r="154" spans="1:6" x14ac:dyDescent="0.3">
      <c r="A154" t="s">
        <v>405</v>
      </c>
      <c r="B154" t="s">
        <v>265</v>
      </c>
      <c r="C154">
        <v>2023</v>
      </c>
      <c r="D154">
        <v>7.1599999999999997E-2</v>
      </c>
      <c r="E154" t="s">
        <v>387</v>
      </c>
      <c r="F154" t="s">
        <v>406</v>
      </c>
    </row>
    <row r="155" spans="1:6" x14ac:dyDescent="0.3">
      <c r="A155" t="s">
        <v>405</v>
      </c>
      <c r="B155" t="s">
        <v>262</v>
      </c>
      <c r="C155">
        <v>2023</v>
      </c>
      <c r="D155">
        <v>4.2270000000000002E-2</v>
      </c>
      <c r="E155" t="s">
        <v>387</v>
      </c>
      <c r="F155" t="s">
        <v>406</v>
      </c>
    </row>
    <row r="156" spans="1:6" x14ac:dyDescent="0.3">
      <c r="A156" t="s">
        <v>405</v>
      </c>
      <c r="B156" t="s">
        <v>266</v>
      </c>
      <c r="C156">
        <v>2024</v>
      </c>
      <c r="D156">
        <v>9.8309999999999995E-2</v>
      </c>
      <c r="E156" t="s">
        <v>387</v>
      </c>
      <c r="F156" t="s">
        <v>406</v>
      </c>
    </row>
    <row r="157" spans="1:6" x14ac:dyDescent="0.3">
      <c r="A157" t="s">
        <v>405</v>
      </c>
      <c r="B157" t="s">
        <v>264</v>
      </c>
      <c r="C157">
        <v>2024</v>
      </c>
      <c r="D157">
        <v>7.3400000000000007E-2</v>
      </c>
      <c r="E157" t="s">
        <v>387</v>
      </c>
      <c r="F157" t="s">
        <v>406</v>
      </c>
    </row>
    <row r="158" spans="1:6" x14ac:dyDescent="0.3">
      <c r="A158" t="s">
        <v>405</v>
      </c>
      <c r="B158" t="s">
        <v>265</v>
      </c>
      <c r="C158">
        <v>2024</v>
      </c>
      <c r="D158">
        <v>6.343E-2</v>
      </c>
      <c r="E158" t="s">
        <v>387</v>
      </c>
      <c r="F158" t="s">
        <v>406</v>
      </c>
    </row>
    <row r="159" spans="1:6" x14ac:dyDescent="0.3">
      <c r="A159" t="s">
        <v>405</v>
      </c>
      <c r="B159" t="s">
        <v>262</v>
      </c>
      <c r="C159">
        <v>2024</v>
      </c>
      <c r="D159">
        <v>4.7320000000000001E-2</v>
      </c>
      <c r="E159" t="s">
        <v>387</v>
      </c>
      <c r="F159" t="s">
        <v>406</v>
      </c>
    </row>
    <row r="160" spans="1:6" x14ac:dyDescent="0.3">
      <c r="A160" t="s">
        <v>407</v>
      </c>
      <c r="B160" t="s">
        <v>266</v>
      </c>
      <c r="C160">
        <v>2023</v>
      </c>
      <c r="D160">
        <v>0.10538</v>
      </c>
      <c r="E160" t="s">
        <v>387</v>
      </c>
      <c r="F160" t="s">
        <v>408</v>
      </c>
    </row>
    <row r="161" spans="1:6" x14ac:dyDescent="0.3">
      <c r="A161" t="s">
        <v>407</v>
      </c>
      <c r="B161" t="s">
        <v>264</v>
      </c>
      <c r="C161">
        <v>2023</v>
      </c>
      <c r="D161">
        <v>7.2999999999999995E-2</v>
      </c>
      <c r="E161" t="s">
        <v>387</v>
      </c>
      <c r="F161" t="s">
        <v>408</v>
      </c>
    </row>
    <row r="162" spans="1:6" x14ac:dyDescent="0.3">
      <c r="A162" t="s">
        <v>407</v>
      </c>
      <c r="B162" t="s">
        <v>265</v>
      </c>
      <c r="C162">
        <v>2023</v>
      </c>
      <c r="D162">
        <v>7.2270000000000001E-2</v>
      </c>
      <c r="E162" t="s">
        <v>387</v>
      </c>
      <c r="F162" t="s">
        <v>408</v>
      </c>
    </row>
    <row r="163" spans="1:6" x14ac:dyDescent="0.3">
      <c r="A163" t="s">
        <v>407</v>
      </c>
      <c r="B163" t="s">
        <v>262</v>
      </c>
      <c r="C163">
        <v>2023</v>
      </c>
      <c r="D163">
        <v>4.3439999999999999E-2</v>
      </c>
      <c r="E163" t="s">
        <v>387</v>
      </c>
      <c r="F163" t="s">
        <v>408</v>
      </c>
    </row>
    <row r="164" spans="1:6" x14ac:dyDescent="0.3">
      <c r="A164" t="s">
        <v>407</v>
      </c>
      <c r="B164" t="s">
        <v>266</v>
      </c>
      <c r="C164">
        <v>2024</v>
      </c>
      <c r="D164">
        <v>9.9180000000000004E-2</v>
      </c>
      <c r="E164" t="s">
        <v>387</v>
      </c>
      <c r="F164" t="s">
        <v>408</v>
      </c>
    </row>
    <row r="165" spans="1:6" x14ac:dyDescent="0.3">
      <c r="A165" t="s">
        <v>407</v>
      </c>
      <c r="B165" t="s">
        <v>264</v>
      </c>
      <c r="C165">
        <v>2024</v>
      </c>
      <c r="D165">
        <v>7.4910000000000004E-2</v>
      </c>
      <c r="E165" t="s">
        <v>387</v>
      </c>
      <c r="F165" t="s">
        <v>408</v>
      </c>
    </row>
    <row r="166" spans="1:6" x14ac:dyDescent="0.3">
      <c r="A166" t="s">
        <v>407</v>
      </c>
      <c r="B166" t="s">
        <v>265</v>
      </c>
      <c r="C166">
        <v>2024</v>
      </c>
      <c r="D166">
        <v>6.4449999999999993E-2</v>
      </c>
      <c r="E166" t="s">
        <v>387</v>
      </c>
      <c r="F166" t="s">
        <v>408</v>
      </c>
    </row>
    <row r="167" spans="1:6" x14ac:dyDescent="0.3">
      <c r="A167" t="s">
        <v>407</v>
      </c>
      <c r="B167" t="s">
        <v>262</v>
      </c>
      <c r="C167">
        <v>2024</v>
      </c>
      <c r="D167">
        <v>4.7690000000000003E-2</v>
      </c>
      <c r="E167" t="s">
        <v>387</v>
      </c>
      <c r="F167" t="s">
        <v>408</v>
      </c>
    </row>
    <row r="168" spans="1:6" x14ac:dyDescent="0.3">
      <c r="A168" t="s">
        <v>409</v>
      </c>
      <c r="B168" t="s">
        <v>266</v>
      </c>
      <c r="C168">
        <v>2023</v>
      </c>
      <c r="D168">
        <v>0.10424</v>
      </c>
      <c r="E168" t="s">
        <v>387</v>
      </c>
      <c r="F168" t="s">
        <v>410</v>
      </c>
    </row>
    <row r="169" spans="1:6" x14ac:dyDescent="0.3">
      <c r="A169" t="s">
        <v>409</v>
      </c>
      <c r="B169" t="s">
        <v>264</v>
      </c>
      <c r="C169">
        <v>2023</v>
      </c>
      <c r="D169">
        <v>7.1190000000000003E-2</v>
      </c>
      <c r="E169" t="s">
        <v>387</v>
      </c>
      <c r="F169" t="s">
        <v>410</v>
      </c>
    </row>
    <row r="170" spans="1:6" x14ac:dyDescent="0.3">
      <c r="A170" t="s">
        <v>409</v>
      </c>
      <c r="B170" t="s">
        <v>265</v>
      </c>
      <c r="C170">
        <v>2023</v>
      </c>
      <c r="D170">
        <v>7.0720000000000005E-2</v>
      </c>
      <c r="E170" t="s">
        <v>387</v>
      </c>
      <c r="F170" t="s">
        <v>410</v>
      </c>
    </row>
    <row r="171" spans="1:6" x14ac:dyDescent="0.3">
      <c r="A171" t="s">
        <v>409</v>
      </c>
      <c r="B171" t="s">
        <v>262</v>
      </c>
      <c r="C171">
        <v>2023</v>
      </c>
      <c r="D171">
        <v>4.2819999999999997E-2</v>
      </c>
      <c r="E171" t="s">
        <v>387</v>
      </c>
      <c r="F171" t="s">
        <v>410</v>
      </c>
    </row>
    <row r="172" spans="1:6" x14ac:dyDescent="0.3">
      <c r="A172" t="s">
        <v>409</v>
      </c>
      <c r="B172" t="s">
        <v>266</v>
      </c>
      <c r="C172">
        <v>2024</v>
      </c>
      <c r="D172">
        <v>9.8460000000000006E-2</v>
      </c>
      <c r="E172" t="s">
        <v>387</v>
      </c>
      <c r="F172" t="s">
        <v>410</v>
      </c>
    </row>
    <row r="173" spans="1:6" x14ac:dyDescent="0.3">
      <c r="A173" t="s">
        <v>409</v>
      </c>
      <c r="B173" t="s">
        <v>264</v>
      </c>
      <c r="C173">
        <v>2024</v>
      </c>
      <c r="D173">
        <v>7.4709999999999999E-2</v>
      </c>
      <c r="E173" t="s">
        <v>387</v>
      </c>
      <c r="F173" t="s">
        <v>410</v>
      </c>
    </row>
    <row r="174" spans="1:6" x14ac:dyDescent="0.3">
      <c r="A174" t="s">
        <v>409</v>
      </c>
      <c r="B174" t="s">
        <v>265</v>
      </c>
      <c r="C174">
        <v>2024</v>
      </c>
      <c r="D174">
        <v>6.3880000000000006E-2</v>
      </c>
      <c r="E174" t="s">
        <v>387</v>
      </c>
      <c r="F174" t="s">
        <v>410</v>
      </c>
    </row>
    <row r="175" spans="1:6" x14ac:dyDescent="0.3">
      <c r="A175" t="s">
        <v>409</v>
      </c>
      <c r="B175" t="s">
        <v>262</v>
      </c>
      <c r="C175">
        <v>2024</v>
      </c>
      <c r="D175">
        <v>4.6399999999999997E-2</v>
      </c>
      <c r="E175" t="s">
        <v>387</v>
      </c>
      <c r="F175" t="s">
        <v>410</v>
      </c>
    </row>
    <row r="176" spans="1:6" x14ac:dyDescent="0.3">
      <c r="A176" t="s">
        <v>431</v>
      </c>
      <c r="B176" t="s">
        <v>266</v>
      </c>
      <c r="C176">
        <v>2023</v>
      </c>
      <c r="D176">
        <v>0.10586</v>
      </c>
      <c r="E176" t="s">
        <v>387</v>
      </c>
      <c r="F176" t="s">
        <v>432</v>
      </c>
    </row>
    <row r="177" spans="1:6" x14ac:dyDescent="0.3">
      <c r="A177" t="s">
        <v>431</v>
      </c>
      <c r="B177" t="s">
        <v>264</v>
      </c>
      <c r="C177">
        <v>2023</v>
      </c>
      <c r="D177">
        <v>7.2499999999999995E-2</v>
      </c>
      <c r="E177" t="s">
        <v>387</v>
      </c>
      <c r="F177" t="s">
        <v>432</v>
      </c>
    </row>
    <row r="178" spans="1:6" x14ac:dyDescent="0.3">
      <c r="A178" t="s">
        <v>431</v>
      </c>
      <c r="B178" t="s">
        <v>265</v>
      </c>
      <c r="C178">
        <v>2023</v>
      </c>
      <c r="D178">
        <v>7.2029999999999997E-2</v>
      </c>
      <c r="E178" t="s">
        <v>387</v>
      </c>
      <c r="F178" t="s">
        <v>432</v>
      </c>
    </row>
    <row r="179" spans="1:6" x14ac:dyDescent="0.3">
      <c r="A179" t="s">
        <v>431</v>
      </c>
      <c r="B179" t="s">
        <v>262</v>
      </c>
      <c r="C179">
        <v>2023</v>
      </c>
      <c r="D179">
        <v>4.496E-2</v>
      </c>
      <c r="E179" t="s">
        <v>387</v>
      </c>
      <c r="F179" t="s">
        <v>432</v>
      </c>
    </row>
    <row r="180" spans="1:6" x14ac:dyDescent="0.3">
      <c r="A180" t="s">
        <v>431</v>
      </c>
      <c r="B180" t="s">
        <v>266</v>
      </c>
      <c r="C180">
        <v>2024</v>
      </c>
      <c r="D180">
        <v>9.9239999999999995E-2</v>
      </c>
      <c r="E180" t="s">
        <v>387</v>
      </c>
      <c r="F180" t="s">
        <v>432</v>
      </c>
    </row>
    <row r="181" spans="1:6" x14ac:dyDescent="0.3">
      <c r="A181" t="s">
        <v>431</v>
      </c>
      <c r="B181" t="s">
        <v>264</v>
      </c>
      <c r="C181">
        <v>2024</v>
      </c>
      <c r="D181">
        <v>7.4099999999999999E-2</v>
      </c>
      <c r="E181" t="s">
        <v>387</v>
      </c>
      <c r="F181" t="s">
        <v>432</v>
      </c>
    </row>
    <row r="182" spans="1:6" x14ac:dyDescent="0.3">
      <c r="A182" t="s">
        <v>431</v>
      </c>
      <c r="B182" t="s">
        <v>265</v>
      </c>
      <c r="C182">
        <v>2024</v>
      </c>
      <c r="D182">
        <v>6.3759999999999997E-2</v>
      </c>
      <c r="E182" t="s">
        <v>387</v>
      </c>
      <c r="F182" t="s">
        <v>432</v>
      </c>
    </row>
    <row r="183" spans="1:6" x14ac:dyDescent="0.3">
      <c r="A183" t="s">
        <v>431</v>
      </c>
      <c r="B183" t="s">
        <v>262</v>
      </c>
      <c r="C183">
        <v>2024</v>
      </c>
      <c r="D183">
        <v>4.879E-2</v>
      </c>
      <c r="E183" t="s">
        <v>387</v>
      </c>
      <c r="F183" t="s">
        <v>432</v>
      </c>
    </row>
    <row r="184" spans="1:6" x14ac:dyDescent="0.3">
      <c r="A184" t="s">
        <v>426</v>
      </c>
      <c r="B184" t="s">
        <v>266</v>
      </c>
      <c r="C184">
        <v>2023</v>
      </c>
      <c r="D184">
        <v>0.10619000000000001</v>
      </c>
      <c r="E184" t="s">
        <v>387</v>
      </c>
      <c r="F184" t="s">
        <v>433</v>
      </c>
    </row>
    <row r="185" spans="1:6" x14ac:dyDescent="0.3">
      <c r="A185" t="s">
        <v>426</v>
      </c>
      <c r="B185" t="s">
        <v>264</v>
      </c>
      <c r="C185">
        <v>2023</v>
      </c>
      <c r="D185">
        <v>7.3050000000000004E-2</v>
      </c>
      <c r="E185" t="s">
        <v>387</v>
      </c>
      <c r="F185" t="s">
        <v>433</v>
      </c>
    </row>
    <row r="186" spans="1:6" x14ac:dyDescent="0.3">
      <c r="A186" t="s">
        <v>426</v>
      </c>
      <c r="B186" t="s">
        <v>265</v>
      </c>
      <c r="C186">
        <v>2023</v>
      </c>
      <c r="D186">
        <v>7.2620000000000004E-2</v>
      </c>
      <c r="E186" t="s">
        <v>387</v>
      </c>
      <c r="F186" t="s">
        <v>433</v>
      </c>
    </row>
    <row r="187" spans="1:6" x14ac:dyDescent="0.3">
      <c r="A187" t="s">
        <v>426</v>
      </c>
      <c r="B187" t="s">
        <v>262</v>
      </c>
      <c r="C187">
        <v>2023</v>
      </c>
      <c r="D187">
        <v>4.5060000000000003E-2</v>
      </c>
      <c r="E187" t="s">
        <v>387</v>
      </c>
      <c r="F187" t="s">
        <v>433</v>
      </c>
    </row>
    <row r="188" spans="1:6" x14ac:dyDescent="0.3">
      <c r="A188" t="s">
        <v>426</v>
      </c>
      <c r="B188" t="s">
        <v>266</v>
      </c>
      <c r="C188">
        <v>2024</v>
      </c>
      <c r="D188">
        <v>9.9849999999999994E-2</v>
      </c>
      <c r="E188" t="s">
        <v>387</v>
      </c>
      <c r="F188" t="s">
        <v>433</v>
      </c>
    </row>
    <row r="189" spans="1:6" x14ac:dyDescent="0.3">
      <c r="A189" t="s">
        <v>426</v>
      </c>
      <c r="B189" t="s">
        <v>264</v>
      </c>
      <c r="C189">
        <v>2024</v>
      </c>
      <c r="D189">
        <v>7.5289999999999996E-2</v>
      </c>
      <c r="E189" t="s">
        <v>387</v>
      </c>
      <c r="F189" t="s">
        <v>433</v>
      </c>
    </row>
    <row r="190" spans="1:6" x14ac:dyDescent="0.3">
      <c r="A190" t="s">
        <v>426</v>
      </c>
      <c r="B190" t="s">
        <v>265</v>
      </c>
      <c r="C190">
        <v>2024</v>
      </c>
      <c r="D190">
        <v>6.4579999999999999E-2</v>
      </c>
      <c r="E190" t="s">
        <v>387</v>
      </c>
      <c r="F190" t="s">
        <v>433</v>
      </c>
    </row>
    <row r="191" spans="1:6" x14ac:dyDescent="0.3">
      <c r="A191" t="s">
        <v>426</v>
      </c>
      <c r="B191" t="s">
        <v>262</v>
      </c>
      <c r="C191">
        <v>2024</v>
      </c>
      <c r="D191">
        <v>4.8890000000000003E-2</v>
      </c>
      <c r="E191" t="s">
        <v>387</v>
      </c>
      <c r="F191" t="s">
        <v>433</v>
      </c>
    </row>
  </sheetData>
  <autoFilter ref="A1:F79" xr:uid="{00000000-0009-0000-0000-000005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11" customWidth="1"/>
    <col min="2" max="11" width="10" customWidth="1"/>
    <col min="12" max="12" width="22" customWidth="1"/>
    <col min="13" max="13" width="10" customWidth="1"/>
    <col min="14" max="14" width="60" customWidth="1"/>
  </cols>
  <sheetData>
    <row r="1" spans="1:14" ht="30" customHeight="1" x14ac:dyDescent="0.3">
      <c r="A1" s="9" t="s">
        <v>257</v>
      </c>
      <c r="B1" s="9" t="s">
        <v>42</v>
      </c>
      <c r="C1" s="9" t="s">
        <v>52</v>
      </c>
      <c r="D1" s="9" t="s">
        <v>60</v>
      </c>
      <c r="E1" s="9" t="s">
        <v>66</v>
      </c>
      <c r="F1" s="9" t="s">
        <v>73</v>
      </c>
      <c r="G1" s="9" t="s">
        <v>87</v>
      </c>
      <c r="H1" s="9" t="s">
        <v>98</v>
      </c>
      <c r="I1" s="9" t="s">
        <v>267</v>
      </c>
      <c r="J1" s="9" t="s">
        <v>79</v>
      </c>
      <c r="K1" s="9" t="s">
        <v>92</v>
      </c>
      <c r="L1" s="9" t="s">
        <v>269</v>
      </c>
      <c r="M1" s="9" t="s">
        <v>270</v>
      </c>
      <c r="N1" s="9" t="s">
        <v>271</v>
      </c>
    </row>
    <row r="2" spans="1:14" ht="23.85" customHeight="1" x14ac:dyDescent="0.3">
      <c r="A2" s="3" t="s">
        <v>262</v>
      </c>
      <c r="B2" s="11">
        <f>IFERROR(AVERAGEIFS(Line_Scores!$D$2:$D$79,Line_Scores!$A$2:$A$79,B$1,Line_Scores!$B$2:$B$79,$A2,Line_Scores!$C$2:$C$79,"&gt;=2023"),"")</f>
        <v>0.05</v>
      </c>
      <c r="C2" s="11">
        <f>IFERROR(AVERAGEIFS(Line_Scores!$D$2:$D$79,Line_Scores!$A$2:$A$79,C$1,Line_Scores!$B$2:$B$79,$A2,Line_Scores!$C$2:$C$79,"&gt;=2023"),"")</f>
        <v>4.3999999999999997E-2</v>
      </c>
      <c r="D2" s="11">
        <f>IFERROR(AVERAGEIFS(Line_Scores!$D$2:$D$79,Line_Scores!$A$2:$A$79,D$1,Line_Scores!$B$2:$B$79,$A2,Line_Scores!$C$2:$C$79,"&gt;=2023"),"")</f>
        <v>5.0500000000000003E-2</v>
      </c>
      <c r="E2" s="11">
        <f>IFERROR(AVERAGEIFS(Line_Scores!$D$2:$D$79,Line_Scores!$A$2:$A$79,E$1,Line_Scores!$B$2:$B$79,$A2,Line_Scores!$C$2:$C$79,"&gt;=2023"),"")</f>
        <v>4.2999999999999997E-2</v>
      </c>
      <c r="F2" s="11">
        <f>IFERROR(AVERAGEIFS(Line_Scores!$D$2:$D$79,Line_Scores!$A$2:$A$79,F$1,Line_Scores!$B$2:$B$79,$A2,Line_Scores!$C$2:$C$79,"&gt;=2023"),"")</f>
        <v>4.4499999999999998E-2</v>
      </c>
      <c r="G2" s="11">
        <f>IFERROR(AVERAGEIFS(Line_Scores!$D$2:$D$79,Line_Scores!$A$2:$A$79,G$1,Line_Scores!$B$2:$B$79,$A2,Line_Scores!$C$2:$C$79,"&gt;=2023"),"")</f>
        <v>4.7500000000000001E-2</v>
      </c>
      <c r="H2" s="11">
        <f>IFERROR(AVERAGEIFS(Line_Scores!$D$2:$D$79,Line_Scores!$A$2:$A$79,H$1,Line_Scores!$B$2:$B$79,$A2,Line_Scores!$C$2:$C$79,"&gt;=2023"),"")</f>
        <v>4.4999999999999998E-2</v>
      </c>
      <c r="I2" s="11">
        <f>IFERROR(AVERAGEIFS(Line_Scores!$D$2:$D$79,Line_Scores!$A$2:$A$79,I$1,Line_Scores!$B$2:$B$79,$A2,Line_Scores!$C$2:$C$79,"&gt;=2023"),"")</f>
        <v>4.4700000000000004E-2</v>
      </c>
      <c r="J2" s="21">
        <f>IFERROR(AVERAGEIFS(Line_Scores!$D$2:$D$79,Line_Scores!$A$2:$A$79,J$1,Line_Scores!$B$2:$B$79,$A2,Line_Scores!$C$2:$C$79,"&gt;=2023"),"")</f>
        <v>5.2999999999999999E-2</v>
      </c>
      <c r="K2" s="21">
        <f>IFERROR(AVERAGEIFS(Line_Scores!$D$2:$D$79,Line_Scores!$A$2:$A$79,K$1,Line_Scores!$B$2:$B$79,$A2,Line_Scores!$C$2:$C$79,"&gt;=2023"),"")</f>
        <v>5.1999999999999998E-2</v>
      </c>
      <c r="L2" s="3" t="str">
        <f>INDEX($B$1:$I$1,MATCH(MAX(B2:I2),B2:I2,0))</f>
        <v>SAM 1</v>
      </c>
      <c r="M2" s="11">
        <f>MAX(B2:I2)</f>
        <v>5.0500000000000003E-2</v>
      </c>
      <c r="N2" s="3" t="s">
        <v>272</v>
      </c>
    </row>
    <row r="3" spans="1:14" ht="23.85" customHeight="1" x14ac:dyDescent="0.3">
      <c r="A3" s="3" t="s">
        <v>264</v>
      </c>
      <c r="B3" s="11">
        <f>IFERROR(AVERAGEIFS(Line_Scores!$D$2:$D$79,Line_Scores!$A$2:$A$79,B$1,Line_Scores!$B$2:$B$79,$A3,Line_Scores!$C$2:$C$79,"&gt;=2023"),"")</f>
        <v>6.4000000000000001E-2</v>
      </c>
      <c r="C3" s="11">
        <f>IFERROR(AVERAGEIFS(Line_Scores!$D$2:$D$79,Line_Scores!$A$2:$A$79,C$1,Line_Scores!$B$2:$B$79,$A3,Line_Scores!$C$2:$C$79,"&gt;=2023"),"")</f>
        <v>7.0500000000000007E-2</v>
      </c>
      <c r="D3" s="11">
        <f>IFERROR(AVERAGEIFS(Line_Scores!$D$2:$D$79,Line_Scores!$A$2:$A$79,D$1,Line_Scores!$B$2:$B$79,$A3,Line_Scores!$C$2:$C$79,"&gt;=2023"),"")</f>
        <v>6.7500000000000004E-2</v>
      </c>
      <c r="E3" s="11">
        <f>IFERROR(AVERAGEIFS(Line_Scores!$D$2:$D$79,Line_Scores!$A$2:$A$79,E$1,Line_Scores!$B$2:$B$79,$A3,Line_Scores!$C$2:$C$79,"&gt;=2023"),"")</f>
        <v>7.1999999999999995E-2</v>
      </c>
      <c r="F3" s="11">
        <f>IFERROR(AVERAGEIFS(Line_Scores!$D$2:$D$79,Line_Scores!$A$2:$A$79,F$1,Line_Scores!$B$2:$B$79,$A3,Line_Scores!$C$2:$C$79,"&gt;=2023"),"")</f>
        <v>7.1000000000000008E-2</v>
      </c>
      <c r="G3" s="11">
        <f>IFERROR(AVERAGEIFS(Line_Scores!$D$2:$D$79,Line_Scores!$A$2:$A$79,G$1,Line_Scores!$B$2:$B$79,$A3,Line_Scores!$C$2:$C$79,"&gt;=2023"),"")</f>
        <v>7.0999999999999994E-2</v>
      </c>
      <c r="H3" s="11">
        <f>IFERROR(AVERAGEIFS(Line_Scores!$D$2:$D$79,Line_Scores!$A$2:$A$79,H$1,Line_Scores!$B$2:$B$79,$A3,Line_Scores!$C$2:$C$79,"&gt;=2023"),"")</f>
        <v>7.2999999999999995E-2</v>
      </c>
      <c r="I3" s="11">
        <f>IFERROR(AVERAGEIFS(Line_Scores!$D$2:$D$79,Line_Scores!$A$2:$A$79,I$1,Line_Scores!$B$2:$B$79,$A3,Line_Scores!$C$2:$C$79,"&gt;=2023"),"")</f>
        <v>7.1649999999999991E-2</v>
      </c>
      <c r="J3" s="21">
        <f>IFERROR(AVERAGEIFS(Line_Scores!$D$2:$D$79,Line_Scores!$A$2:$A$79,J$1,Line_Scores!$B$2:$B$79,$A3,Line_Scores!$C$2:$C$79,"&gt;=2023"),"")</f>
        <v>7.0500000000000007E-2</v>
      </c>
      <c r="K3" s="21">
        <f>IFERROR(AVERAGEIFS(Line_Scores!$D$2:$D$79,Line_Scores!$A$2:$A$79,K$1,Line_Scores!$B$2:$B$79,$A3,Line_Scores!$C$2:$C$79,"&gt;=2023"),"")</f>
        <v>6.9000000000000006E-2</v>
      </c>
      <c r="L3" s="3" t="str">
        <f>INDEX($B$1:$I$1,MATCH(MAX(B3:I3),B3:I3,0))</f>
        <v>SAM 3</v>
      </c>
      <c r="M3" s="11">
        <f>MAX(B3:I3)</f>
        <v>7.2999999999999995E-2</v>
      </c>
      <c r="N3" s="3" t="s">
        <v>273</v>
      </c>
    </row>
    <row r="4" spans="1:14" ht="15" customHeight="1" x14ac:dyDescent="0.3">
      <c r="A4" s="3" t="s">
        <v>265</v>
      </c>
      <c r="B4" s="11">
        <f>IFERROR(AVERAGEIFS(Line_Scores!$D$2:$D$79,Line_Scores!$A$2:$A$79,B$1,Line_Scores!$B$2:$B$79,$A4,Line_Scores!$C$2:$C$79,"&gt;=2023"),"")</f>
        <v>6.1499999999999999E-2</v>
      </c>
      <c r="C4" s="11">
        <f>IFERROR(AVERAGEIFS(Line_Scores!$D$2:$D$79,Line_Scores!$A$2:$A$79,C$1,Line_Scores!$B$2:$B$79,$A4,Line_Scores!$C$2:$C$79,"&gt;=2023"),"")</f>
        <v>5.8499999999999996E-2</v>
      </c>
      <c r="D4" s="11">
        <f>IFERROR(AVERAGEIFS(Line_Scores!$D$2:$D$79,Line_Scores!$A$2:$A$79,D$1,Line_Scores!$B$2:$B$79,$A4,Line_Scores!$C$2:$C$79,"&gt;=2023"),"")</f>
        <v>6.3E-2</v>
      </c>
      <c r="E4" s="11">
        <f>IFERROR(AVERAGEIFS(Line_Scores!$D$2:$D$79,Line_Scores!$A$2:$A$79,E$1,Line_Scores!$B$2:$B$79,$A4,Line_Scores!$C$2:$C$79,"&gt;=2023"),"")</f>
        <v>5.8999999999999997E-2</v>
      </c>
      <c r="F4" s="11">
        <f>IFERROR(AVERAGEIFS(Line_Scores!$D$2:$D$79,Line_Scores!$A$2:$A$79,F$1,Line_Scores!$B$2:$B$79,$A4,Line_Scores!$C$2:$C$79,"&gt;=2023"),"")</f>
        <v>6.2E-2</v>
      </c>
      <c r="G4" s="11">
        <f>IFERROR(AVERAGEIFS(Line_Scores!$D$2:$D$79,Line_Scores!$A$2:$A$79,G$1,Line_Scores!$B$2:$B$79,$A4,Line_Scores!$C$2:$C$79,"&gt;=2023"),"")</f>
        <v>6.6500000000000004E-2</v>
      </c>
      <c r="H4" s="11">
        <f>IFERROR(AVERAGEIFS(Line_Scores!$D$2:$D$79,Line_Scores!$A$2:$A$79,H$1,Line_Scores!$B$2:$B$79,$A4,Line_Scores!$C$2:$C$79,"&gt;=2023"),"")</f>
        <v>6.7500000000000004E-2</v>
      </c>
      <c r="I4" s="11">
        <f>IFERROR(AVERAGEIFS(Line_Scores!$D$2:$D$79,Line_Scores!$A$2:$A$79,I$1,Line_Scores!$B$2:$B$79,$A4,Line_Scores!$C$2:$C$79,"&gt;=2023"),"")</f>
        <v>6.7000000000000004E-2</v>
      </c>
      <c r="J4" s="21">
        <f>IFERROR(AVERAGEIFS(Line_Scores!$D$2:$D$79,Line_Scores!$A$2:$A$79,J$1,Line_Scores!$B$2:$B$79,$A4,Line_Scores!$C$2:$C$79,"&gt;=2023"),"")</f>
        <v>6.7000000000000004E-2</v>
      </c>
      <c r="K4" s="21">
        <f>IFERROR(AVERAGEIFS(Line_Scores!$D$2:$D$79,Line_Scores!$A$2:$A$79,K$1,Line_Scores!$B$2:$B$79,$A4,Line_Scores!$C$2:$C$79,"&gt;=2023"),"")</f>
        <v>6.3E-2</v>
      </c>
      <c r="L4" s="3" t="str">
        <f>INDEX($B$1:$I$1,MATCH(MAX(B4:I4),B4:I4,0))</f>
        <v>SAM 3</v>
      </c>
      <c r="M4" s="11">
        <f>MAX(B4:I4)</f>
        <v>6.7500000000000004E-2</v>
      </c>
      <c r="N4" s="3" t="s">
        <v>274</v>
      </c>
    </row>
    <row r="5" spans="1:14" ht="15" customHeight="1" x14ac:dyDescent="0.3">
      <c r="A5" s="3" t="s">
        <v>266</v>
      </c>
      <c r="B5" s="11">
        <f>IFERROR(AVERAGEIFS(Line_Scores!$D$2:$D$79,Line_Scores!$A$2:$A$79,B$1,Line_Scores!$B$2:$B$79,$A5,Line_Scores!$C$2:$C$79,"&gt;=2023"),"")</f>
        <v>9.9949999999999997E-2</v>
      </c>
      <c r="C5" s="11">
        <f>IFERROR(AVERAGEIFS(Line_Scores!$D$2:$D$79,Line_Scores!$A$2:$A$79,C$1,Line_Scores!$B$2:$B$79,$A5,Line_Scores!$C$2:$C$79,"&gt;=2023"),"")</f>
        <v>9.8500000000000004E-2</v>
      </c>
      <c r="D5" s="11">
        <f>IFERROR(AVERAGEIFS(Line_Scores!$D$2:$D$79,Line_Scores!$A$2:$A$79,D$1,Line_Scores!$B$2:$B$79,$A5,Line_Scores!$C$2:$C$79,"&gt;=2023"),"")</f>
        <v>0.10150000000000001</v>
      </c>
      <c r="E5" s="11">
        <f>IFERROR(AVERAGEIFS(Line_Scores!$D$2:$D$79,Line_Scores!$A$2:$A$79,E$1,Line_Scores!$B$2:$B$79,$A5,Line_Scores!$C$2:$C$79,"&gt;=2023"),"")</f>
        <v>9.5399999999999999E-2</v>
      </c>
      <c r="F5" s="11">
        <f>IFERROR(AVERAGEIFS(Line_Scores!$D$2:$D$79,Line_Scores!$A$2:$A$79,F$1,Line_Scores!$B$2:$B$79,$A5,Line_Scores!$C$2:$C$79,"&gt;=2023"),"")</f>
        <v>9.9900000000000003E-2</v>
      </c>
      <c r="G5" s="11">
        <f>IFERROR(AVERAGEIFS(Line_Scores!$D$2:$D$79,Line_Scores!$A$2:$A$79,G$1,Line_Scores!$B$2:$B$79,$A5,Line_Scores!$C$2:$C$79,"&gt;=2023"),"")</f>
        <v>0.10135</v>
      </c>
      <c r="H5" s="11">
        <f>IFERROR(AVERAGEIFS(Line_Scores!$D$2:$D$79,Line_Scores!$A$2:$A$79,H$1,Line_Scores!$B$2:$B$79,$A5,Line_Scores!$C$2:$C$79,"&gt;=2023"),"")</f>
        <v>0.10145</v>
      </c>
      <c r="I5" s="11">
        <f>IFERROR(AVERAGEIFS(Line_Scores!$D$2:$D$79,Line_Scores!$A$2:$A$79,I$1,Line_Scores!$B$2:$B$79,$A5,Line_Scores!$C$2:$C$79,"&gt;=2023"),"")</f>
        <v>0.1008</v>
      </c>
      <c r="J5" s="21">
        <f>IFERROR(AVERAGEIFS(Line_Scores!$D$2:$D$79,Line_Scores!$A$2:$A$79,J$1,Line_Scores!$B$2:$B$79,$A5,Line_Scores!$C$2:$C$79,"&gt;=2023"),"")</f>
        <v>0.10489999999999999</v>
      </c>
      <c r="K5" s="21">
        <f>IFERROR(AVERAGEIFS(Line_Scores!$D$2:$D$79,Line_Scores!$A$2:$A$79,K$1,Line_Scores!$B$2:$B$79,$A5,Line_Scores!$C$2:$C$79,"&gt;=2023"),"")</f>
        <v>0.10249999999999999</v>
      </c>
      <c r="L5" s="3" t="str">
        <f>INDEX($B$1:$I$1,MATCH(MAX(B5:I5),B5:I5,0))</f>
        <v>SAM 1</v>
      </c>
      <c r="M5" s="11">
        <f>MAX(B5:I5)</f>
        <v>0.10150000000000001</v>
      </c>
      <c r="N5" s="3" t="s">
        <v>50</v>
      </c>
    </row>
    <row r="7" spans="1:14" ht="15" customHeight="1" x14ac:dyDescent="0.3">
      <c r="A7" s="19" t="s">
        <v>275</v>
      </c>
    </row>
  </sheetData>
  <autoFilter ref="A1:N5" xr:uid="{00000000-0009-0000-0000-000006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8"/>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11.44140625" defaultRowHeight="14.4" x14ac:dyDescent="0.3"/>
  <cols>
    <col min="1" max="1" width="11" customWidth="1"/>
    <col min="2" max="2" width="18" customWidth="1"/>
    <col min="3" max="16" width="11" customWidth="1"/>
    <col min="17" max="17" width="16" customWidth="1"/>
    <col min="18" max="18" width="10" customWidth="1"/>
    <col min="19" max="19" width="60" customWidth="1"/>
  </cols>
  <sheetData>
    <row r="1" spans="1:19" ht="30" customHeight="1" x14ac:dyDescent="0.3">
      <c r="A1" s="9" t="s">
        <v>257</v>
      </c>
      <c r="B1" s="9" t="s">
        <v>276</v>
      </c>
      <c r="C1" s="9" t="s">
        <v>277</v>
      </c>
      <c r="D1" s="9" t="s">
        <v>278</v>
      </c>
      <c r="E1" s="9" t="s">
        <v>279</v>
      </c>
      <c r="F1" s="9" t="s">
        <v>280</v>
      </c>
      <c r="G1" s="9" t="s">
        <v>281</v>
      </c>
      <c r="H1" s="9" t="s">
        <v>282</v>
      </c>
      <c r="I1" s="9" t="s">
        <v>283</v>
      </c>
      <c r="J1" s="9" t="s">
        <v>284</v>
      </c>
      <c r="K1" s="9" t="s">
        <v>285</v>
      </c>
      <c r="L1" s="9" t="s">
        <v>286</v>
      </c>
      <c r="M1" s="9" t="s">
        <v>287</v>
      </c>
      <c r="N1" s="9" t="s">
        <v>288</v>
      </c>
      <c r="O1" s="9" t="s">
        <v>289</v>
      </c>
      <c r="P1" s="9" t="s">
        <v>290</v>
      </c>
      <c r="Q1" s="9" t="s">
        <v>291</v>
      </c>
      <c r="R1" s="9" t="s">
        <v>292</v>
      </c>
      <c r="S1" s="9" t="s">
        <v>271</v>
      </c>
    </row>
    <row r="2" spans="1:19" ht="23.85" customHeight="1" x14ac:dyDescent="0.3">
      <c r="A2" s="3" t="s">
        <v>262</v>
      </c>
      <c r="B2" s="3" t="s">
        <v>293</v>
      </c>
      <c r="C2" s="22">
        <v>48964</v>
      </c>
      <c r="D2" s="22">
        <v>1856</v>
      </c>
      <c r="E2" s="17"/>
      <c r="F2" s="17"/>
      <c r="G2" s="17"/>
      <c r="H2" s="17"/>
      <c r="I2" s="17"/>
      <c r="J2" s="17"/>
      <c r="K2" s="17"/>
      <c r="L2" s="17"/>
      <c r="M2" s="17"/>
      <c r="N2" s="17"/>
      <c r="O2" s="17"/>
      <c r="P2" s="17"/>
      <c r="Q2" s="3" t="str">
        <f t="shared" ref="Q2:Q16" si="0">IF(COUNT(E2:P2)=0,"enter D2",INDEX($E$1:$P$1,MATCH(MAX(E2:P2),E2:P2,0)))</f>
        <v>enter D2</v>
      </c>
      <c r="R2" s="11" t="str">
        <f t="shared" ref="R2:R16" si="1">IF(COUNT(E2:P2)=0,"",MAX(E2:P2))</f>
        <v/>
      </c>
      <c r="S2" s="3" t="s">
        <v>294</v>
      </c>
    </row>
    <row r="3" spans="1:19" ht="15" customHeight="1" x14ac:dyDescent="0.3">
      <c r="A3" s="3" t="s">
        <v>262</v>
      </c>
      <c r="B3" s="3" t="s">
        <v>295</v>
      </c>
      <c r="C3" s="22">
        <v>33826</v>
      </c>
      <c r="D3" s="22">
        <v>3681</v>
      </c>
      <c r="E3" s="17"/>
      <c r="F3" s="17"/>
      <c r="G3" s="17"/>
      <c r="H3" s="17"/>
      <c r="I3" s="17"/>
      <c r="J3" s="17"/>
      <c r="K3" s="17"/>
      <c r="L3" s="17"/>
      <c r="M3" s="17"/>
      <c r="N3" s="17"/>
      <c r="O3" s="17"/>
      <c r="P3" s="17"/>
      <c r="Q3" s="3" t="str">
        <f t="shared" si="0"/>
        <v>enter D2</v>
      </c>
      <c r="R3" s="11" t="str">
        <f t="shared" si="1"/>
        <v/>
      </c>
      <c r="S3" s="3" t="s">
        <v>296</v>
      </c>
    </row>
    <row r="4" spans="1:19" ht="23.85" customHeight="1" x14ac:dyDescent="0.3">
      <c r="A4" s="3" t="s">
        <v>262</v>
      </c>
      <c r="B4" s="3" t="s">
        <v>297</v>
      </c>
      <c r="C4" s="22">
        <v>7583</v>
      </c>
      <c r="D4" s="22">
        <v>21582</v>
      </c>
      <c r="E4" s="17"/>
      <c r="F4" s="17"/>
      <c r="G4" s="17"/>
      <c r="H4" s="17"/>
      <c r="I4" s="17"/>
      <c r="J4" s="17"/>
      <c r="K4" s="17"/>
      <c r="L4" s="17"/>
      <c r="M4" s="17"/>
      <c r="N4" s="17"/>
      <c r="O4" s="17"/>
      <c r="P4" s="17"/>
      <c r="Q4" s="3" t="str">
        <f t="shared" si="0"/>
        <v>enter D2</v>
      </c>
      <c r="R4" s="11" t="str">
        <f t="shared" si="1"/>
        <v/>
      </c>
      <c r="S4" s="3" t="s">
        <v>298</v>
      </c>
    </row>
    <row r="5" spans="1:19" ht="15" customHeight="1" x14ac:dyDescent="0.3">
      <c r="A5" s="3" t="s">
        <v>262</v>
      </c>
      <c r="B5" s="3" t="s">
        <v>299</v>
      </c>
      <c r="C5" s="22">
        <v>6501</v>
      </c>
      <c r="D5" s="22">
        <v>6302</v>
      </c>
      <c r="E5" s="17"/>
      <c r="F5" s="17"/>
      <c r="G5" s="17"/>
      <c r="H5" s="17"/>
      <c r="I5" s="17"/>
      <c r="J5" s="17"/>
      <c r="K5" s="17"/>
      <c r="L5" s="17"/>
      <c r="M5" s="17"/>
      <c r="N5" s="17"/>
      <c r="O5" s="17"/>
      <c r="P5" s="17"/>
      <c r="Q5" s="3" t="str">
        <f t="shared" si="0"/>
        <v>enter D2</v>
      </c>
      <c r="R5" s="11" t="str">
        <f t="shared" si="1"/>
        <v/>
      </c>
      <c r="S5" s="3" t="s">
        <v>300</v>
      </c>
    </row>
    <row r="6" spans="1:19" ht="15" customHeight="1" x14ac:dyDescent="0.3">
      <c r="A6" s="3" t="s">
        <v>262</v>
      </c>
      <c r="B6" s="3" t="s">
        <v>301</v>
      </c>
      <c r="C6" s="22">
        <v>15732</v>
      </c>
      <c r="D6" s="22">
        <v>1086</v>
      </c>
      <c r="E6" s="17"/>
      <c r="F6" s="17"/>
      <c r="G6" s="17"/>
      <c r="H6" s="17"/>
      <c r="I6" s="17"/>
      <c r="J6" s="17"/>
      <c r="K6" s="17"/>
      <c r="L6" s="17"/>
      <c r="M6" s="17"/>
      <c r="N6" s="17"/>
      <c r="O6" s="17"/>
      <c r="P6" s="17"/>
      <c r="Q6" s="3" t="str">
        <f t="shared" si="0"/>
        <v>enter D2</v>
      </c>
      <c r="R6" s="11" t="str">
        <f t="shared" si="1"/>
        <v/>
      </c>
      <c r="S6" s="3" t="s">
        <v>302</v>
      </c>
    </row>
    <row r="7" spans="1:19" ht="15" customHeight="1" x14ac:dyDescent="0.3">
      <c r="A7" s="3" t="s">
        <v>264</v>
      </c>
      <c r="B7" s="3" t="s">
        <v>303</v>
      </c>
      <c r="C7" s="22">
        <v>7816</v>
      </c>
      <c r="D7" s="22">
        <v>3454</v>
      </c>
      <c r="E7" s="17"/>
      <c r="F7" s="17"/>
      <c r="G7" s="17"/>
      <c r="H7" s="17"/>
      <c r="I7" s="17"/>
      <c r="J7" s="17"/>
      <c r="K7" s="17"/>
      <c r="L7" s="17"/>
      <c r="M7" s="17"/>
      <c r="N7" s="17"/>
      <c r="O7" s="17"/>
      <c r="P7" s="17"/>
      <c r="Q7" s="3" t="str">
        <f t="shared" si="0"/>
        <v>enter D2</v>
      </c>
      <c r="R7" s="11" t="str">
        <f t="shared" si="1"/>
        <v/>
      </c>
      <c r="S7" s="3" t="s">
        <v>304</v>
      </c>
    </row>
    <row r="8" spans="1:19" ht="23.85" customHeight="1" x14ac:dyDescent="0.3">
      <c r="A8" s="3" t="s">
        <v>264</v>
      </c>
      <c r="B8" s="3" t="s">
        <v>305</v>
      </c>
      <c r="C8" s="22">
        <v>2232</v>
      </c>
      <c r="D8" s="22">
        <v>31359</v>
      </c>
      <c r="E8" s="17"/>
      <c r="F8" s="17"/>
      <c r="G8" s="17"/>
      <c r="H8" s="17"/>
      <c r="I8" s="17"/>
      <c r="J8" s="17"/>
      <c r="K8" s="17"/>
      <c r="L8" s="17"/>
      <c r="M8" s="17"/>
      <c r="N8" s="17"/>
      <c r="O8" s="17"/>
      <c r="P8" s="17"/>
      <c r="Q8" s="3" t="str">
        <f t="shared" si="0"/>
        <v>enter D2</v>
      </c>
      <c r="R8" s="11" t="str">
        <f t="shared" si="1"/>
        <v/>
      </c>
      <c r="S8" s="3" t="s">
        <v>306</v>
      </c>
    </row>
    <row r="9" spans="1:19" ht="15" customHeight="1" x14ac:dyDescent="0.3">
      <c r="A9" s="3" t="s">
        <v>264</v>
      </c>
      <c r="B9" s="3" t="s">
        <v>307</v>
      </c>
      <c r="C9" s="22">
        <v>10137</v>
      </c>
      <c r="D9" s="22">
        <v>5733</v>
      </c>
      <c r="E9" s="17"/>
      <c r="F9" s="17"/>
      <c r="G9" s="17"/>
      <c r="H9" s="17"/>
      <c r="I9" s="17"/>
      <c r="J9" s="17"/>
      <c r="K9" s="17"/>
      <c r="L9" s="17"/>
      <c r="M9" s="17"/>
      <c r="N9" s="17"/>
      <c r="O9" s="17"/>
      <c r="P9" s="17"/>
      <c r="Q9" s="3" t="str">
        <f t="shared" si="0"/>
        <v>enter D2</v>
      </c>
      <c r="R9" s="11" t="str">
        <f t="shared" si="1"/>
        <v/>
      </c>
      <c r="S9" s="3" t="s">
        <v>308</v>
      </c>
    </row>
    <row r="10" spans="1:19" ht="15" customHeight="1" x14ac:dyDescent="0.3">
      <c r="A10" s="3" t="s">
        <v>264</v>
      </c>
      <c r="B10" s="3" t="s">
        <v>309</v>
      </c>
      <c r="C10" s="22">
        <v>1294</v>
      </c>
      <c r="D10" s="22">
        <v>23786</v>
      </c>
      <c r="E10" s="17"/>
      <c r="F10" s="17"/>
      <c r="G10" s="17"/>
      <c r="H10" s="17"/>
      <c r="I10" s="17"/>
      <c r="J10" s="17"/>
      <c r="K10" s="17"/>
      <c r="L10" s="17"/>
      <c r="M10" s="17"/>
      <c r="N10" s="17"/>
      <c r="O10" s="17"/>
      <c r="P10" s="17"/>
      <c r="Q10" s="3" t="str">
        <f t="shared" si="0"/>
        <v>enter D2</v>
      </c>
      <c r="R10" s="11" t="str">
        <f t="shared" si="1"/>
        <v/>
      </c>
      <c r="S10" s="3" t="s">
        <v>310</v>
      </c>
    </row>
    <row r="11" spans="1:19" ht="15" customHeight="1" x14ac:dyDescent="0.3">
      <c r="A11" s="3" t="s">
        <v>264</v>
      </c>
      <c r="B11" s="3" t="s">
        <v>311</v>
      </c>
      <c r="C11" s="22">
        <v>1115</v>
      </c>
      <c r="D11" s="22">
        <v>51685</v>
      </c>
      <c r="E11" s="17"/>
      <c r="F11" s="17"/>
      <c r="G11" s="17"/>
      <c r="H11" s="17"/>
      <c r="I11" s="17"/>
      <c r="J11" s="17"/>
      <c r="K11" s="17"/>
      <c r="L11" s="17"/>
      <c r="M11" s="17"/>
      <c r="N11" s="17"/>
      <c r="O11" s="17"/>
      <c r="P11" s="17"/>
      <c r="Q11" s="3" t="str">
        <f t="shared" si="0"/>
        <v>enter D2</v>
      </c>
      <c r="R11" s="11" t="str">
        <f t="shared" si="1"/>
        <v/>
      </c>
      <c r="S11" s="3" t="s">
        <v>312</v>
      </c>
    </row>
    <row r="12" spans="1:19" ht="15" customHeight="1" x14ac:dyDescent="0.3">
      <c r="A12" s="3" t="s">
        <v>264</v>
      </c>
      <c r="B12" s="3" t="s">
        <v>313</v>
      </c>
      <c r="C12" s="22">
        <v>3848</v>
      </c>
      <c r="D12" s="22">
        <v>1218</v>
      </c>
      <c r="E12" s="17"/>
      <c r="F12" s="17"/>
      <c r="G12" s="17"/>
      <c r="H12" s="17"/>
      <c r="I12" s="17"/>
      <c r="J12" s="17"/>
      <c r="K12" s="17"/>
      <c r="L12" s="17"/>
      <c r="M12" s="17"/>
      <c r="N12" s="17"/>
      <c r="O12" s="17"/>
      <c r="P12" s="17"/>
      <c r="Q12" s="3" t="str">
        <f t="shared" si="0"/>
        <v>enter D2</v>
      </c>
      <c r="R12" s="11" t="str">
        <f t="shared" si="1"/>
        <v/>
      </c>
      <c r="S12" s="3" t="s">
        <v>314</v>
      </c>
    </row>
    <row r="13" spans="1:19" ht="15" customHeight="1" x14ac:dyDescent="0.3">
      <c r="A13" s="3" t="s">
        <v>265</v>
      </c>
      <c r="B13" s="3" t="s">
        <v>299</v>
      </c>
      <c r="C13" s="22">
        <v>7863</v>
      </c>
      <c r="D13" s="22">
        <v>3648</v>
      </c>
      <c r="E13" s="17"/>
      <c r="F13" s="17"/>
      <c r="G13" s="17"/>
      <c r="H13" s="17"/>
      <c r="I13" s="17"/>
      <c r="J13" s="17"/>
      <c r="K13" s="17"/>
      <c r="L13" s="17"/>
      <c r="M13" s="17"/>
      <c r="N13" s="17"/>
      <c r="O13" s="17"/>
      <c r="P13" s="17"/>
      <c r="Q13" s="3" t="str">
        <f t="shared" si="0"/>
        <v>enter D2</v>
      </c>
      <c r="R13" s="11" t="str">
        <f t="shared" si="1"/>
        <v/>
      </c>
      <c r="S13" s="3" t="s">
        <v>315</v>
      </c>
    </row>
    <row r="14" spans="1:19" ht="15" customHeight="1" x14ac:dyDescent="0.3">
      <c r="A14" s="3" t="s">
        <v>265</v>
      </c>
      <c r="B14" s="3" t="s">
        <v>307</v>
      </c>
      <c r="C14" s="22">
        <v>5407</v>
      </c>
      <c r="D14" s="22">
        <v>2740</v>
      </c>
      <c r="E14" s="17"/>
      <c r="F14" s="17"/>
      <c r="G14" s="17"/>
      <c r="H14" s="17"/>
      <c r="I14" s="17"/>
      <c r="J14" s="17"/>
      <c r="K14" s="17"/>
      <c r="L14" s="17"/>
      <c r="M14" s="17"/>
      <c r="N14" s="17"/>
      <c r="O14" s="17"/>
      <c r="P14" s="17"/>
      <c r="Q14" s="3" t="str">
        <f t="shared" si="0"/>
        <v>enter D2</v>
      </c>
      <c r="R14" s="11" t="str">
        <f t="shared" si="1"/>
        <v/>
      </c>
      <c r="S14" s="3" t="s">
        <v>316</v>
      </c>
    </row>
    <row r="15" spans="1:19" ht="15" customHeight="1" x14ac:dyDescent="0.3">
      <c r="A15" s="3" t="s">
        <v>265</v>
      </c>
      <c r="B15" s="3" t="s">
        <v>313</v>
      </c>
      <c r="C15" s="22">
        <v>9208</v>
      </c>
      <c r="D15" s="22">
        <v>782</v>
      </c>
      <c r="E15" s="17"/>
      <c r="F15" s="17"/>
      <c r="G15" s="17"/>
      <c r="H15" s="17"/>
      <c r="I15" s="17"/>
      <c r="J15" s="17"/>
      <c r="K15" s="17"/>
      <c r="L15" s="17"/>
      <c r="M15" s="17"/>
      <c r="N15" s="17"/>
      <c r="O15" s="17"/>
      <c r="P15" s="17"/>
      <c r="Q15" s="3" t="str">
        <f t="shared" si="0"/>
        <v>enter D2</v>
      </c>
      <c r="R15" s="11" t="str">
        <f t="shared" si="1"/>
        <v/>
      </c>
      <c r="S15" s="3" t="s">
        <v>314</v>
      </c>
    </row>
    <row r="16" spans="1:19" ht="15" customHeight="1" x14ac:dyDescent="0.3">
      <c r="A16" s="3" t="s">
        <v>265</v>
      </c>
      <c r="B16" s="3" t="s">
        <v>305</v>
      </c>
      <c r="C16" s="22">
        <v>1624</v>
      </c>
      <c r="D16" s="22">
        <v>9992</v>
      </c>
      <c r="E16" s="17"/>
      <c r="F16" s="17"/>
      <c r="G16" s="17"/>
      <c r="H16" s="17"/>
      <c r="I16" s="17"/>
      <c r="J16" s="17"/>
      <c r="K16" s="17"/>
      <c r="L16" s="17"/>
      <c r="M16" s="17"/>
      <c r="N16" s="17"/>
      <c r="O16" s="17"/>
      <c r="P16" s="17"/>
      <c r="Q16" s="3" t="str">
        <f t="shared" si="0"/>
        <v>enter D2</v>
      </c>
      <c r="R16" s="11" t="str">
        <f t="shared" si="1"/>
        <v/>
      </c>
      <c r="S16" s="3" t="s">
        <v>317</v>
      </c>
    </row>
    <row r="18" spans="1:1" ht="15" customHeight="1" x14ac:dyDescent="0.3">
      <c r="A18" s="19" t="s">
        <v>318</v>
      </c>
    </row>
  </sheetData>
  <autoFilter ref="A1:S16" xr:uid="{00000000-0009-0000-0000-000007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4" customWidth="1"/>
    <col min="2" max="2" width="30" customWidth="1"/>
    <col min="3" max="3" width="90" customWidth="1"/>
    <col min="4" max="4" width="22" customWidth="1"/>
    <col min="5" max="5" width="10" customWidth="1"/>
  </cols>
  <sheetData>
    <row r="1" spans="1:5" ht="30" customHeight="1" x14ac:dyDescent="0.3">
      <c r="A1" s="9" t="s">
        <v>15</v>
      </c>
      <c r="B1" s="9" t="s">
        <v>319</v>
      </c>
      <c r="C1" s="9" t="s">
        <v>320</v>
      </c>
      <c r="D1" s="9" t="s">
        <v>321</v>
      </c>
      <c r="E1" s="9" t="s">
        <v>322</v>
      </c>
    </row>
    <row r="2" spans="1:5" ht="46.35" customHeight="1" x14ac:dyDescent="0.3">
      <c r="A2" s="3">
        <v>1</v>
      </c>
      <c r="B2" s="3" t="s">
        <v>323</v>
      </c>
      <c r="C2" s="3" t="s">
        <v>324</v>
      </c>
      <c r="D2" s="3" t="s">
        <v>325</v>
      </c>
      <c r="E2" s="3" t="s">
        <v>326</v>
      </c>
    </row>
    <row r="3" spans="1:5" ht="23.85" customHeight="1" x14ac:dyDescent="0.3">
      <c r="A3" s="3">
        <v>2</v>
      </c>
      <c r="B3" s="3" t="s">
        <v>327</v>
      </c>
      <c r="C3" s="3" t="s">
        <v>328</v>
      </c>
      <c r="D3" s="3" t="s">
        <v>329</v>
      </c>
      <c r="E3" s="3" t="s">
        <v>326</v>
      </c>
    </row>
    <row r="4" spans="1:5" ht="23.85" customHeight="1" x14ac:dyDescent="0.3">
      <c r="A4" s="3">
        <v>3</v>
      </c>
      <c r="B4" s="3" t="s">
        <v>330</v>
      </c>
      <c r="C4" s="3" t="s">
        <v>331</v>
      </c>
      <c r="D4" s="3" t="s">
        <v>50</v>
      </c>
      <c r="E4" s="3" t="s">
        <v>326</v>
      </c>
    </row>
    <row r="5" spans="1:5" ht="23.85" customHeight="1" x14ac:dyDescent="0.3">
      <c r="A5" s="3">
        <v>4</v>
      </c>
      <c r="B5" s="3" t="s">
        <v>332</v>
      </c>
      <c r="C5" s="3" t="s">
        <v>333</v>
      </c>
      <c r="D5" s="3" t="s">
        <v>334</v>
      </c>
      <c r="E5" s="3" t="s">
        <v>326</v>
      </c>
    </row>
    <row r="6" spans="1:5" ht="23.85" customHeight="1" x14ac:dyDescent="0.3">
      <c r="A6" s="3">
        <v>5</v>
      </c>
      <c r="B6" s="3" t="s">
        <v>335</v>
      </c>
      <c r="C6" s="3" t="s">
        <v>336</v>
      </c>
      <c r="D6" s="3" t="s">
        <v>337</v>
      </c>
      <c r="E6" s="3" t="s">
        <v>59</v>
      </c>
    </row>
    <row r="7" spans="1:5" ht="23.85" customHeight="1" x14ac:dyDescent="0.3">
      <c r="A7" s="3">
        <v>6</v>
      </c>
      <c r="B7" s="3" t="s">
        <v>338</v>
      </c>
      <c r="C7" s="3" t="s">
        <v>339</v>
      </c>
      <c r="D7" s="3" t="s">
        <v>50</v>
      </c>
      <c r="E7" s="3" t="s">
        <v>59</v>
      </c>
    </row>
    <row r="8" spans="1:5" ht="15" customHeight="1" x14ac:dyDescent="0.3">
      <c r="A8" s="3">
        <v>7</v>
      </c>
      <c r="B8" s="3" t="s">
        <v>340</v>
      </c>
      <c r="C8" s="3" t="s">
        <v>341</v>
      </c>
      <c r="D8" s="3" t="s">
        <v>50</v>
      </c>
      <c r="E8" s="3" t="s">
        <v>342</v>
      </c>
    </row>
    <row r="9" spans="1:5" ht="57.45" customHeight="1" x14ac:dyDescent="0.3">
      <c r="A9" s="3">
        <v>8</v>
      </c>
      <c r="B9" s="3" t="s">
        <v>343</v>
      </c>
      <c r="C9" s="3" t="s">
        <v>344</v>
      </c>
      <c r="D9" s="3" t="s">
        <v>345</v>
      </c>
      <c r="E9" s="3" t="s">
        <v>326</v>
      </c>
    </row>
  </sheetData>
  <autoFilter ref="A1:E9" xr:uid="{00000000-0009-0000-0000-000008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11.44140625" defaultRowHeight="14.4" x14ac:dyDescent="0.3"/>
  <cols>
    <col min="1" max="2" width="22" customWidth="1"/>
    <col min="3" max="3" width="12" customWidth="1"/>
    <col min="4" max="4" width="7" customWidth="1"/>
    <col min="5" max="6" width="12" customWidth="1"/>
    <col min="7" max="7" width="11" customWidth="1"/>
    <col min="8" max="8" width="22" customWidth="1"/>
    <col min="9" max="9" width="60" customWidth="1"/>
  </cols>
  <sheetData>
    <row r="1" spans="1:9" ht="42" customHeight="1" x14ac:dyDescent="0.3">
      <c r="A1" s="6" t="s">
        <v>346</v>
      </c>
      <c r="B1" s="23">
        <v>1.1000000000000001E-3</v>
      </c>
      <c r="C1" s="24" t="s">
        <v>411</v>
      </c>
      <c r="D1" s="24"/>
      <c r="E1" s="24"/>
      <c r="F1" s="24"/>
      <c r="G1" s="24"/>
      <c r="H1" s="24"/>
      <c r="I1" s="24"/>
    </row>
    <row r="2" spans="1:9" ht="23.85" customHeight="1" x14ac:dyDescent="0.3">
      <c r="A2" s="9" t="s">
        <v>347</v>
      </c>
      <c r="B2" s="9" t="s">
        <v>348</v>
      </c>
      <c r="C2" s="9" t="s">
        <v>260</v>
      </c>
      <c r="D2" s="9" t="s">
        <v>349</v>
      </c>
      <c r="E2" s="9" t="s">
        <v>350</v>
      </c>
      <c r="F2" s="9" t="s">
        <v>351</v>
      </c>
      <c r="G2" s="9" t="s">
        <v>352</v>
      </c>
      <c r="H2" s="9" t="s">
        <v>353</v>
      </c>
      <c r="I2" s="9" t="s">
        <v>354</v>
      </c>
    </row>
    <row r="3" spans="1:9" ht="15" customHeight="1" x14ac:dyDescent="0.3">
      <c r="A3" s="3" t="s">
        <v>105</v>
      </c>
      <c r="B3" s="3" t="s">
        <v>355</v>
      </c>
      <c r="C3" s="3" t="s">
        <v>46</v>
      </c>
      <c r="D3" s="3">
        <v>2024</v>
      </c>
      <c r="E3" s="11">
        <v>9.8799999999999999E-2</v>
      </c>
      <c r="F3" s="11">
        <v>9.8599999999999993E-2</v>
      </c>
      <c r="G3" s="20">
        <f t="shared" ref="G3:G9" si="0">IF(OR(E3="",F3=""),"",E3-F3)</f>
        <v>2.0000000000000573E-4</v>
      </c>
      <c r="H3" s="3" t="str">
        <f t="shared" ref="H3:H9" si="1">IF(G3="","",IF(RIGHT(C3,1)="?","Fix basis first",IF(ABS(G3)&lt;$B$1,"Hold - within noise",IF(G3&gt;0,"Submit","Do not submit (worse)"))))</f>
        <v>Hold - within noise</v>
      </c>
      <c r="I3" s="3" t="s">
        <v>356</v>
      </c>
    </row>
    <row r="4" spans="1:9" ht="15" customHeight="1" x14ac:dyDescent="0.3">
      <c r="A4" s="3" t="s">
        <v>105</v>
      </c>
      <c r="B4" s="3" t="s">
        <v>87</v>
      </c>
      <c r="C4" s="3" t="s">
        <v>46</v>
      </c>
      <c r="D4" s="3">
        <v>2024</v>
      </c>
      <c r="E4" s="11">
        <v>9.8799999999999999E-2</v>
      </c>
      <c r="F4" s="11">
        <v>9.8199999999999996E-2</v>
      </c>
      <c r="G4" s="20">
        <f t="shared" si="0"/>
        <v>6.0000000000000331E-4</v>
      </c>
      <c r="H4" s="3" t="str">
        <f t="shared" si="1"/>
        <v>Hold - within noise</v>
      </c>
      <c r="I4" s="3"/>
    </row>
    <row r="5" spans="1:9" ht="23.85" customHeight="1" x14ac:dyDescent="0.3">
      <c r="A5" s="3" t="s">
        <v>105</v>
      </c>
      <c r="B5" s="3" t="s">
        <v>267</v>
      </c>
      <c r="C5" s="3" t="s">
        <v>46</v>
      </c>
      <c r="D5" s="3">
        <v>2024</v>
      </c>
      <c r="E5" s="11">
        <v>9.8799999999999999E-2</v>
      </c>
      <c r="F5" s="11">
        <v>9.8799999999999999E-2</v>
      </c>
      <c r="G5" s="20">
        <f t="shared" si="0"/>
        <v>0</v>
      </c>
      <c r="H5" s="3" t="str">
        <f t="shared" si="1"/>
        <v>Hold - within noise</v>
      </c>
      <c r="I5" s="3" t="s">
        <v>357</v>
      </c>
    </row>
    <row r="6" spans="1:9" ht="35.1" customHeight="1" x14ac:dyDescent="0.3">
      <c r="A6" s="3" t="s">
        <v>267</v>
      </c>
      <c r="B6" s="3" t="s">
        <v>98</v>
      </c>
      <c r="C6" s="3" t="s">
        <v>46</v>
      </c>
      <c r="D6" s="3" t="s">
        <v>358</v>
      </c>
      <c r="E6" s="11">
        <v>0.1008</v>
      </c>
      <c r="F6" s="11">
        <v>0.10145</v>
      </c>
      <c r="G6" s="20">
        <f t="shared" si="0"/>
        <v>-6.499999999999978E-4</v>
      </c>
      <c r="H6" s="3" t="str">
        <f t="shared" si="1"/>
        <v>Hold - within noise</v>
      </c>
      <c r="I6" s="3" t="s">
        <v>359</v>
      </c>
    </row>
    <row r="7" spans="1:9" ht="23.85" customHeight="1" x14ac:dyDescent="0.3">
      <c r="A7" s="3" t="s">
        <v>92</v>
      </c>
      <c r="B7" s="3" t="s">
        <v>79</v>
      </c>
      <c r="C7" s="3" t="s">
        <v>360</v>
      </c>
      <c r="D7" s="3">
        <v>2024</v>
      </c>
      <c r="E7" s="11">
        <v>0.10249999999999999</v>
      </c>
      <c r="F7" s="11">
        <v>0.1045</v>
      </c>
      <c r="G7" s="20">
        <f t="shared" si="0"/>
        <v>-2.0000000000000018E-3</v>
      </c>
      <c r="H7" s="3" t="str">
        <f t="shared" si="1"/>
        <v>Do not submit (worse)</v>
      </c>
      <c r="I7" s="3" t="s">
        <v>361</v>
      </c>
    </row>
    <row r="8" spans="1:9" ht="15" customHeight="1" x14ac:dyDescent="0.3">
      <c r="A8" s="15" t="s">
        <v>98</v>
      </c>
      <c r="B8" s="15" t="s">
        <v>87</v>
      </c>
      <c r="C8" s="15" t="s">
        <v>46</v>
      </c>
      <c r="D8" s="15">
        <v>2024</v>
      </c>
      <c r="E8" s="17">
        <v>9.8599999999999993E-2</v>
      </c>
      <c r="F8" s="17">
        <v>9.8199999999999996E-2</v>
      </c>
      <c r="G8" s="20">
        <f t="shared" si="0"/>
        <v>3.9999999999999758E-4</v>
      </c>
      <c r="H8" s="3" t="str">
        <f t="shared" si="1"/>
        <v>Hold - within noise</v>
      </c>
      <c r="I8" s="15" t="s">
        <v>362</v>
      </c>
    </row>
    <row r="9" spans="1:9" ht="23.85" customHeight="1" x14ac:dyDescent="0.3">
      <c r="A9" s="15" t="s">
        <v>111</v>
      </c>
      <c r="B9" s="15" t="s">
        <v>363</v>
      </c>
      <c r="C9" s="15" t="s">
        <v>360</v>
      </c>
      <c r="D9" s="15">
        <v>2024</v>
      </c>
      <c r="E9" s="17"/>
      <c r="F9" s="17"/>
      <c r="G9" s="20" t="str">
        <f t="shared" si="0"/>
        <v/>
      </c>
      <c r="H9" s="3" t="str">
        <f t="shared" si="1"/>
        <v/>
      </c>
      <c r="I9" s="15" t="s">
        <v>364</v>
      </c>
    </row>
    <row r="10" spans="1:9" ht="15" customHeight="1" x14ac:dyDescent="0.3">
      <c r="A10" s="15" t="s">
        <v>407</v>
      </c>
      <c r="B10" s="15" t="s">
        <v>412</v>
      </c>
      <c r="C10" s="15" t="s">
        <v>413</v>
      </c>
      <c r="D10" s="15" t="s">
        <v>358</v>
      </c>
      <c r="E10" s="17">
        <v>0.10228055387038</v>
      </c>
      <c r="F10" s="17">
        <v>0.101350700775181</v>
      </c>
      <c r="G10" s="20">
        <v>9.2985309519888503E-4</v>
      </c>
      <c r="H10" s="3" t="s">
        <v>425</v>
      </c>
      <c r="I10" s="15" t="s">
        <v>414</v>
      </c>
    </row>
    <row r="11" spans="1:9" ht="15" customHeight="1" x14ac:dyDescent="0.3">
      <c r="A11" s="15" t="s">
        <v>415</v>
      </c>
      <c r="B11" s="15" t="s">
        <v>412</v>
      </c>
      <c r="C11" s="15" t="s">
        <v>413</v>
      </c>
      <c r="D11" s="15" t="s">
        <v>358</v>
      </c>
      <c r="E11" s="17">
        <v>0.10142685208890601</v>
      </c>
      <c r="F11" s="17">
        <v>0.101350700775181</v>
      </c>
      <c r="G11" s="20">
        <v>7.6151313725236798E-5</v>
      </c>
      <c r="H11" s="3" t="s">
        <v>416</v>
      </c>
      <c r="I11" s="15" t="s">
        <v>417</v>
      </c>
    </row>
    <row r="12" spans="1:9" x14ac:dyDescent="0.3">
      <c r="A12" t="s">
        <v>418</v>
      </c>
      <c r="B12" t="s">
        <v>419</v>
      </c>
      <c r="C12" t="s">
        <v>413</v>
      </c>
      <c r="D12" t="s">
        <v>358</v>
      </c>
      <c r="E12">
        <v>0.101397005293616</v>
      </c>
      <c r="F12">
        <v>0.101359026962452</v>
      </c>
      <c r="G12">
        <v>3.7978331163313102E-5</v>
      </c>
      <c r="H12" t="s">
        <v>416</v>
      </c>
      <c r="I12" t="s">
        <v>420</v>
      </c>
    </row>
    <row r="13" spans="1:9" x14ac:dyDescent="0.3">
      <c r="A13" t="s">
        <v>421</v>
      </c>
      <c r="B13" t="s">
        <v>419</v>
      </c>
      <c r="C13" t="s">
        <v>413</v>
      </c>
      <c r="D13" t="s">
        <v>358</v>
      </c>
      <c r="E13">
        <v>0.101495646371475</v>
      </c>
      <c r="F13">
        <v>0.101359026962452</v>
      </c>
      <c r="G13">
        <v>1.3661940902259801E-4</v>
      </c>
      <c r="H13" t="s">
        <v>416</v>
      </c>
      <c r="I13" t="s">
        <v>422</v>
      </c>
    </row>
    <row r="14" spans="1:9" x14ac:dyDescent="0.3">
      <c r="A14" t="s">
        <v>423</v>
      </c>
      <c r="B14" t="s">
        <v>419</v>
      </c>
      <c r="C14" t="s">
        <v>413</v>
      </c>
      <c r="D14" t="s">
        <v>358</v>
      </c>
      <c r="E14">
        <v>0.102375126428395</v>
      </c>
      <c r="F14">
        <v>0.101359026962452</v>
      </c>
      <c r="G14">
        <v>1.0160994659428901E-3</v>
      </c>
      <c r="H14" t="s">
        <v>416</v>
      </c>
      <c r="I14" t="s">
        <v>424</v>
      </c>
    </row>
    <row r="15" spans="1:9" x14ac:dyDescent="0.3">
      <c r="A15" t="s">
        <v>426</v>
      </c>
      <c r="B15" t="s">
        <v>427</v>
      </c>
      <c r="C15" t="s">
        <v>413</v>
      </c>
      <c r="D15" t="s">
        <v>358</v>
      </c>
      <c r="E15">
        <v>0.103020780631151</v>
      </c>
      <c r="F15">
        <v>0.10228055387038</v>
      </c>
      <c r="G15">
        <v>7.4022676077112304E-4</v>
      </c>
      <c r="H15" t="s">
        <v>434</v>
      </c>
      <c r="I15" t="s">
        <v>428</v>
      </c>
    </row>
    <row r="16" spans="1:9" x14ac:dyDescent="0.3">
      <c r="A16" t="s">
        <v>429</v>
      </c>
      <c r="B16" t="s">
        <v>427</v>
      </c>
      <c r="C16" t="s">
        <v>413</v>
      </c>
      <c r="D16" t="s">
        <v>358</v>
      </c>
      <c r="E16">
        <v>0.102552867701297</v>
      </c>
      <c r="F16">
        <v>0.10228055387038</v>
      </c>
      <c r="G16">
        <v>2.7231383091758099E-4</v>
      </c>
      <c r="H16" t="s">
        <v>416</v>
      </c>
      <c r="I16" t="s">
        <v>430</v>
      </c>
    </row>
  </sheetData>
  <mergeCells count="1">
    <mergeCell ref="C1:I1"/>
  </mergeCells>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1.44140625" defaultRowHeight="14.4" x14ac:dyDescent="0.3"/>
  <cols>
    <col min="1" max="1" width="10" customWidth="1"/>
    <col min="2" max="2" width="11" customWidth="1"/>
    <col min="3" max="3" width="18" customWidth="1"/>
    <col min="4" max="4" width="12" customWidth="1"/>
    <col min="5" max="5" width="10" customWidth="1"/>
    <col min="6" max="6" width="9" customWidth="1"/>
    <col min="7" max="7" width="12" customWidth="1"/>
    <col min="9" max="9" width="11" customWidth="1"/>
    <col min="10" max="12" width="14" customWidth="1"/>
    <col min="13" max="14" width="10" customWidth="1"/>
  </cols>
  <sheetData>
    <row r="1" spans="1:14" ht="30" customHeight="1" x14ac:dyDescent="0.3">
      <c r="A1" s="9" t="s">
        <v>258</v>
      </c>
      <c r="B1" s="9" t="s">
        <v>257</v>
      </c>
      <c r="C1" s="9" t="s">
        <v>365</v>
      </c>
      <c r="D1" s="9" t="s">
        <v>366</v>
      </c>
      <c r="E1" s="9" t="s">
        <v>367</v>
      </c>
      <c r="F1" s="9" t="s">
        <v>368</v>
      </c>
      <c r="G1" s="9" t="s">
        <v>369</v>
      </c>
      <c r="I1" s="9" t="s">
        <v>257</v>
      </c>
      <c r="J1" s="9" t="s">
        <v>365</v>
      </c>
      <c r="K1" s="9" t="s">
        <v>370</v>
      </c>
      <c r="L1" s="9" t="s">
        <v>371</v>
      </c>
      <c r="M1" s="9" t="s">
        <v>372</v>
      </c>
      <c r="N1" s="9" t="s">
        <v>373</v>
      </c>
    </row>
    <row r="2" spans="1:14" ht="15" customHeight="1" x14ac:dyDescent="0.3">
      <c r="A2" s="3">
        <v>2022</v>
      </c>
      <c r="B2" s="3" t="s">
        <v>262</v>
      </c>
      <c r="C2" s="3" t="s">
        <v>374</v>
      </c>
      <c r="D2" s="11">
        <v>5.9472949134874803E-2</v>
      </c>
      <c r="E2" s="11">
        <v>5.9444896248382097E-2</v>
      </c>
      <c r="F2" s="12">
        <v>0.41790454996642501</v>
      </c>
      <c r="G2" s="12">
        <v>0.96862256465850305</v>
      </c>
      <c r="I2" s="3" t="s">
        <v>262</v>
      </c>
      <c r="J2" s="3" t="s">
        <v>374</v>
      </c>
      <c r="K2" s="11">
        <f t="shared" ref="K2:K28" si="0">AVERAGEIFS($E$2:$E$100,$B$2:$B$100,I2,$C$2:$C$100,J2)</f>
        <v>5.3469094433007465E-2</v>
      </c>
      <c r="L2" s="11">
        <f t="shared" ref="L2:L28" si="1">AVERAGEIFS($D$2:$D$100,$B$2:$B$100,I2,$C$2:$C$100,J2)</f>
        <v>4.9584493414067003E-2</v>
      </c>
      <c r="M2" s="11">
        <f t="shared" ref="M2:M28" si="2">SUMIFS($D$2:$D$100,$B$2:$B$100,I2,$C$2:$C$100,J2,$A$2:$A$100,2024)</f>
        <v>4.6527823914402501E-2</v>
      </c>
      <c r="N2" s="3">
        <v>1</v>
      </c>
    </row>
    <row r="3" spans="1:14" ht="15" customHeight="1" x14ac:dyDescent="0.3">
      <c r="A3" s="3">
        <v>2022</v>
      </c>
      <c r="B3" s="3" t="s">
        <v>262</v>
      </c>
      <c r="C3" s="3" t="s">
        <v>375</v>
      </c>
      <c r="D3" s="11">
        <v>5.5732204128814897E-2</v>
      </c>
      <c r="E3" s="11">
        <v>5.5880206456843398E-2</v>
      </c>
      <c r="F3" s="12">
        <v>0.40984646229139599</v>
      </c>
      <c r="G3" s="12">
        <v>0.96930374441617695</v>
      </c>
      <c r="I3" s="3" t="s">
        <v>262</v>
      </c>
      <c r="J3" s="3" t="s">
        <v>375</v>
      </c>
      <c r="K3" s="11">
        <f t="shared" si="0"/>
        <v>5.0517099283215738E-2</v>
      </c>
      <c r="L3" s="11">
        <f t="shared" si="1"/>
        <v>4.7038528038227966E-2</v>
      </c>
      <c r="M3" s="11">
        <f t="shared" si="2"/>
        <v>4.2238504866621097E-2</v>
      </c>
      <c r="N3" s="3">
        <v>0.4</v>
      </c>
    </row>
    <row r="4" spans="1:14" ht="15" customHeight="1" x14ac:dyDescent="0.3">
      <c r="A4" s="3">
        <v>2022</v>
      </c>
      <c r="B4" s="3" t="s">
        <v>262</v>
      </c>
      <c r="C4" s="3" t="s">
        <v>376</v>
      </c>
      <c r="D4" s="11">
        <v>4.9577367802176697E-2</v>
      </c>
      <c r="E4" s="11">
        <v>4.9552619576208601E-2</v>
      </c>
      <c r="F4" s="12">
        <v>0.39372637702166802</v>
      </c>
      <c r="G4" s="12">
        <v>0.96796908758256395</v>
      </c>
      <c r="I4" s="3" t="s">
        <v>262</v>
      </c>
      <c r="J4" s="3" t="s">
        <v>376</v>
      </c>
      <c r="K4" s="11">
        <f t="shared" si="0"/>
        <v>4.2178139551105699E-2</v>
      </c>
      <c r="L4" s="11">
        <f t="shared" si="1"/>
        <v>3.8107881573735132E-2</v>
      </c>
      <c r="M4" s="11">
        <f t="shared" si="2"/>
        <v>4.1855768029935403E-2</v>
      </c>
      <c r="N4" s="3">
        <v>0</v>
      </c>
    </row>
    <row r="5" spans="1:14" ht="15" customHeight="1" x14ac:dyDescent="0.3">
      <c r="A5" s="3">
        <v>2022</v>
      </c>
      <c r="B5" s="3" t="s">
        <v>262</v>
      </c>
      <c r="C5" s="3" t="s">
        <v>377</v>
      </c>
      <c r="D5" s="11">
        <v>6.04885832567661E-2</v>
      </c>
      <c r="E5" s="11">
        <v>6.0454016369964399E-2</v>
      </c>
      <c r="F5" s="12">
        <v>0.419603653718223</v>
      </c>
      <c r="G5" s="12">
        <v>0.96760079502199103</v>
      </c>
      <c r="I5" s="3" t="s">
        <v>262</v>
      </c>
      <c r="J5" s="3" t="s">
        <v>377</v>
      </c>
      <c r="K5" s="11">
        <f t="shared" si="0"/>
        <v>5.1623443450872997E-2</v>
      </c>
      <c r="L5" s="11">
        <f t="shared" si="1"/>
        <v>4.7705023088633031E-2</v>
      </c>
      <c r="M5" s="11">
        <f t="shared" si="2"/>
        <v>4.6940393348920299E-2</v>
      </c>
      <c r="N5" s="3">
        <v>0.4</v>
      </c>
    </row>
    <row r="6" spans="1:14" ht="15" customHeight="1" x14ac:dyDescent="0.3">
      <c r="A6" s="3">
        <v>2022</v>
      </c>
      <c r="B6" s="3" t="s">
        <v>262</v>
      </c>
      <c r="C6" s="3" t="s">
        <v>378</v>
      </c>
      <c r="D6" s="11">
        <v>3.5916472609505097E-2</v>
      </c>
      <c r="E6" s="11">
        <v>3.5893543244657197E-2</v>
      </c>
      <c r="F6" s="12">
        <v>0.35876032153544901</v>
      </c>
      <c r="G6" s="12">
        <v>0.96930374441617695</v>
      </c>
      <c r="I6" s="3" t="s">
        <v>262</v>
      </c>
      <c r="J6" s="3" t="s">
        <v>378</v>
      </c>
      <c r="K6" s="11">
        <f t="shared" si="0"/>
        <v>3.594119592622233E-2</v>
      </c>
      <c r="L6" s="11">
        <f t="shared" si="1"/>
        <v>3.203398444204527E-2</v>
      </c>
      <c r="M6" s="11">
        <f t="shared" si="2"/>
        <v>3.8306223488557403E-2</v>
      </c>
      <c r="N6" s="3">
        <v>0</v>
      </c>
    </row>
    <row r="7" spans="1:14" ht="15" customHeight="1" x14ac:dyDescent="0.3">
      <c r="A7" s="3">
        <v>2022</v>
      </c>
      <c r="B7" s="3" t="s">
        <v>262</v>
      </c>
      <c r="C7" s="3" t="s">
        <v>379</v>
      </c>
      <c r="D7" s="11">
        <v>4.9104932958420597E-2</v>
      </c>
      <c r="E7" s="11">
        <v>4.9198710917476497E-2</v>
      </c>
      <c r="F7" s="12">
        <v>0.39305989751874498</v>
      </c>
      <c r="G7" s="12">
        <v>0.96930374441617695</v>
      </c>
      <c r="I7" s="3" t="s">
        <v>262</v>
      </c>
      <c r="J7" s="3" t="s">
        <v>379</v>
      </c>
      <c r="K7" s="11">
        <f t="shared" si="0"/>
        <v>4.8718844346934263E-2</v>
      </c>
      <c r="L7" s="11">
        <f t="shared" si="1"/>
        <v>4.4868111100332335E-2</v>
      </c>
      <c r="M7" s="11">
        <f t="shared" si="2"/>
        <v>4.52121304458145E-2</v>
      </c>
      <c r="N7" s="3">
        <v>0.2</v>
      </c>
    </row>
    <row r="8" spans="1:14" ht="15" customHeight="1" x14ac:dyDescent="0.3">
      <c r="A8" s="3">
        <v>2022</v>
      </c>
      <c r="B8" s="3" t="s">
        <v>262</v>
      </c>
      <c r="C8" s="3" t="s">
        <v>380</v>
      </c>
      <c r="D8" s="11">
        <v>-1.3086890921854E-4</v>
      </c>
      <c r="E8" s="11">
        <v>-2.2204460492503101E-16</v>
      </c>
      <c r="F8" s="12">
        <v>0.18527949167803101</v>
      </c>
      <c r="G8" s="12">
        <v>0.97716084884874299</v>
      </c>
      <c r="I8" s="3" t="s">
        <v>262</v>
      </c>
      <c r="J8" s="3" t="s">
        <v>381</v>
      </c>
      <c r="K8" s="11">
        <f t="shared" si="0"/>
        <v>5.3842088661246838E-2</v>
      </c>
      <c r="L8" s="11">
        <f t="shared" si="1"/>
        <v>5.1885132009760603E-2</v>
      </c>
      <c r="M8" s="11">
        <f t="shared" si="2"/>
        <v>4.4631351189973897E-2</v>
      </c>
      <c r="N8" s="3" t="s">
        <v>50</v>
      </c>
    </row>
    <row r="9" spans="1:14" ht="15" customHeight="1" x14ac:dyDescent="0.3">
      <c r="A9" s="3">
        <v>2022</v>
      </c>
      <c r="B9" s="3" t="s">
        <v>262</v>
      </c>
      <c r="C9" s="3" t="s">
        <v>382</v>
      </c>
      <c r="D9" s="11">
        <v>-1.2933324515418401E-4</v>
      </c>
      <c r="E9" s="11">
        <v>-2.2204460492503101E-16</v>
      </c>
      <c r="F9" s="12">
        <v>0.18527949167803101</v>
      </c>
      <c r="G9" s="12">
        <v>0.97731529142247298</v>
      </c>
      <c r="I9" s="3" t="s">
        <v>262</v>
      </c>
      <c r="J9" s="3" t="s">
        <v>383</v>
      </c>
      <c r="K9" s="11">
        <f t="shared" si="0"/>
        <v>4.9611533376860972E-2</v>
      </c>
      <c r="L9" s="11">
        <f t="shared" si="1"/>
        <v>4.6015645513182803E-2</v>
      </c>
      <c r="M9" s="11">
        <f t="shared" si="2"/>
        <v>4.94757297707136E-2</v>
      </c>
      <c r="N9" s="3" t="s">
        <v>50</v>
      </c>
    </row>
    <row r="10" spans="1:14" ht="15" customHeight="1" x14ac:dyDescent="0.3">
      <c r="A10" s="3">
        <v>2022</v>
      </c>
      <c r="B10" s="3" t="s">
        <v>262</v>
      </c>
      <c r="C10" s="3" t="s">
        <v>381</v>
      </c>
      <c r="D10" s="11">
        <v>5.52914796296518E-2</v>
      </c>
      <c r="E10" s="11">
        <v>5.5603642363296402E-2</v>
      </c>
      <c r="F10" s="12">
        <v>0.41072461494623402</v>
      </c>
      <c r="G10" s="12">
        <v>0.95817893014644895</v>
      </c>
      <c r="I10" s="3" t="s">
        <v>262</v>
      </c>
      <c r="J10" s="3" t="s">
        <v>382</v>
      </c>
      <c r="K10" s="11">
        <f t="shared" si="0"/>
        <v>-3.7007434154171673E-17</v>
      </c>
      <c r="L10" s="11">
        <f t="shared" si="1"/>
        <v>-4.4161749325002334E-3</v>
      </c>
      <c r="M10" s="11">
        <f t="shared" si="2"/>
        <v>-1.31160115711577E-2</v>
      </c>
      <c r="N10" s="3" t="s">
        <v>50</v>
      </c>
    </row>
    <row r="11" spans="1:14" ht="15" customHeight="1" x14ac:dyDescent="0.3">
      <c r="A11" s="3">
        <v>2022</v>
      </c>
      <c r="B11" s="3" t="s">
        <v>262</v>
      </c>
      <c r="C11" s="3" t="s">
        <v>383</v>
      </c>
      <c r="D11" s="11">
        <v>4.6825621017785202E-2</v>
      </c>
      <c r="E11" s="11">
        <v>5.0651164380907998E-2</v>
      </c>
      <c r="F11" s="12">
        <v>0.39888313582789198</v>
      </c>
      <c r="G11" s="12">
        <v>0.86439519832822498</v>
      </c>
      <c r="I11" s="3" t="s">
        <v>264</v>
      </c>
      <c r="J11" s="3" t="s">
        <v>374</v>
      </c>
      <c r="K11" s="11">
        <f t="shared" si="0"/>
        <v>7.0983991639562663E-2</v>
      </c>
      <c r="L11" s="11">
        <f t="shared" si="1"/>
        <v>7.0795241938480233E-2</v>
      </c>
      <c r="M11" s="11">
        <f t="shared" si="2"/>
        <v>7.4796502413447999E-2</v>
      </c>
      <c r="N11" s="3">
        <v>1</v>
      </c>
    </row>
    <row r="12" spans="1:14" ht="15" customHeight="1" x14ac:dyDescent="0.3">
      <c r="A12" s="3">
        <v>2022</v>
      </c>
      <c r="B12" s="3" t="s">
        <v>262</v>
      </c>
      <c r="C12" s="3" t="s">
        <v>384</v>
      </c>
      <c r="D12" s="11">
        <v>5.5732204128814897E-2</v>
      </c>
      <c r="E12" s="11">
        <v>5.5880206456843398E-2</v>
      </c>
      <c r="F12" s="12">
        <v>0.40984646229139599</v>
      </c>
      <c r="G12" s="12">
        <v>0.96930374441617695</v>
      </c>
      <c r="I12" s="3" t="s">
        <v>264</v>
      </c>
      <c r="J12" s="3" t="s">
        <v>375</v>
      </c>
      <c r="K12" s="11">
        <f t="shared" si="0"/>
        <v>6.7196959023695269E-2</v>
      </c>
      <c r="L12" s="11">
        <f t="shared" si="1"/>
        <v>6.6972091754552474E-2</v>
      </c>
      <c r="M12" s="11">
        <f t="shared" si="2"/>
        <v>6.9732577827570405E-2</v>
      </c>
      <c r="N12" s="3">
        <v>0.2</v>
      </c>
    </row>
    <row r="13" spans="1:14" ht="15" customHeight="1" x14ac:dyDescent="0.3">
      <c r="A13" s="3">
        <v>2022</v>
      </c>
      <c r="B13" s="3" t="s">
        <v>264</v>
      </c>
      <c r="C13" s="3" t="s">
        <v>374</v>
      </c>
      <c r="D13" s="11">
        <v>6.6201620960062699E-2</v>
      </c>
      <c r="E13" s="11">
        <v>6.6397744948733101E-2</v>
      </c>
      <c r="F13" s="12">
        <v>0.42637513343065703</v>
      </c>
      <c r="G13" s="12">
        <v>0.95801013099093002</v>
      </c>
      <c r="I13" s="3" t="s">
        <v>264</v>
      </c>
      <c r="J13" s="3" t="s">
        <v>376</v>
      </c>
      <c r="K13" s="11">
        <f t="shared" si="0"/>
        <v>6.6941527170158402E-2</v>
      </c>
      <c r="L13" s="11">
        <f t="shared" si="1"/>
        <v>6.6792778196754166E-2</v>
      </c>
      <c r="M13" s="11">
        <f t="shared" si="2"/>
        <v>7.0956424345883298E-2</v>
      </c>
      <c r="N13" s="3">
        <v>0</v>
      </c>
    </row>
    <row r="14" spans="1:14" ht="15" customHeight="1" x14ac:dyDescent="0.3">
      <c r="A14" s="3">
        <v>2022</v>
      </c>
      <c r="B14" s="3" t="s">
        <v>264</v>
      </c>
      <c r="C14" s="3" t="s">
        <v>375</v>
      </c>
      <c r="D14" s="11">
        <v>6.2713697790135095E-2</v>
      </c>
      <c r="E14" s="11">
        <v>6.3075430772389196E-2</v>
      </c>
      <c r="F14" s="12">
        <v>0.416484266168828</v>
      </c>
      <c r="G14" s="12">
        <v>0.96161686412829295</v>
      </c>
      <c r="I14" s="3" t="s">
        <v>264</v>
      </c>
      <c r="J14" s="3" t="s">
        <v>377</v>
      </c>
      <c r="K14" s="11">
        <f t="shared" si="0"/>
        <v>7.0499631165920895E-2</v>
      </c>
      <c r="L14" s="11">
        <f t="shared" si="1"/>
        <v>7.0296714783093336E-2</v>
      </c>
      <c r="M14" s="11">
        <f t="shared" si="2"/>
        <v>7.4812926751531797E-2</v>
      </c>
      <c r="N14" s="3">
        <v>0.7</v>
      </c>
    </row>
    <row r="15" spans="1:14" ht="15" customHeight="1" x14ac:dyDescent="0.3">
      <c r="A15" s="3">
        <v>2022</v>
      </c>
      <c r="B15" s="3" t="s">
        <v>264</v>
      </c>
      <c r="C15" s="3" t="s">
        <v>376</v>
      </c>
      <c r="D15" s="11">
        <v>6.3378091636774603E-2</v>
      </c>
      <c r="E15" s="11">
        <v>6.3576025405283398E-2</v>
      </c>
      <c r="F15" s="12">
        <v>0.41809372457393501</v>
      </c>
      <c r="G15" s="12">
        <v>0.956402745993713</v>
      </c>
      <c r="I15" s="3" t="s">
        <v>264</v>
      </c>
      <c r="J15" s="3" t="s">
        <v>378</v>
      </c>
      <c r="K15" s="11">
        <f t="shared" si="0"/>
        <v>6.2283137211200192E-2</v>
      </c>
      <c r="L15" s="11">
        <f t="shared" si="1"/>
        <v>6.2061389946366598E-2</v>
      </c>
      <c r="M15" s="11">
        <f t="shared" si="2"/>
        <v>6.6633321728046396E-2</v>
      </c>
      <c r="N15" s="3">
        <v>0</v>
      </c>
    </row>
    <row r="16" spans="1:14" ht="15" customHeight="1" x14ac:dyDescent="0.3">
      <c r="A16" s="3">
        <v>2022</v>
      </c>
      <c r="B16" s="3" t="s">
        <v>264</v>
      </c>
      <c r="C16" s="3" t="s">
        <v>377</v>
      </c>
      <c r="D16" s="11">
        <v>6.5253483399056803E-2</v>
      </c>
      <c r="E16" s="11">
        <v>6.5529536218296394E-2</v>
      </c>
      <c r="F16" s="12">
        <v>0.42503180178141198</v>
      </c>
      <c r="G16" s="12">
        <v>0.95646438821777402</v>
      </c>
      <c r="I16" s="3" t="s">
        <v>264</v>
      </c>
      <c r="J16" s="3" t="s">
        <v>379</v>
      </c>
      <c r="K16" s="11">
        <f t="shared" si="0"/>
        <v>6.6554738809074795E-2</v>
      </c>
      <c r="L16" s="11">
        <f t="shared" si="1"/>
        <v>6.63847356926177E-2</v>
      </c>
      <c r="M16" s="11">
        <f t="shared" si="2"/>
        <v>7.2647597381882506E-2</v>
      </c>
      <c r="N16" s="3">
        <v>0.1</v>
      </c>
    </row>
    <row r="17" spans="1:14" ht="15" customHeight="1" x14ac:dyDescent="0.3">
      <c r="A17" s="3">
        <v>2022</v>
      </c>
      <c r="B17" s="3" t="s">
        <v>264</v>
      </c>
      <c r="C17" s="3" t="s">
        <v>378</v>
      </c>
      <c r="D17" s="11">
        <v>5.82028795974667E-2</v>
      </c>
      <c r="E17" s="11">
        <v>5.8343338745581001E-2</v>
      </c>
      <c r="F17" s="12">
        <v>0.399783164908738</v>
      </c>
      <c r="G17" s="12">
        <v>0.96161686412829295</v>
      </c>
      <c r="I17" s="3" t="s">
        <v>264</v>
      </c>
      <c r="J17" s="3" t="s">
        <v>381</v>
      </c>
      <c r="K17" s="11">
        <f t="shared" si="0"/>
        <v>5.9508234664920834E-2</v>
      </c>
      <c r="L17" s="11">
        <f t="shared" si="1"/>
        <v>5.9746161387283232E-2</v>
      </c>
      <c r="M17" s="11">
        <f t="shared" si="2"/>
        <v>6.8697354934385599E-2</v>
      </c>
      <c r="N17" s="3" t="s">
        <v>50</v>
      </c>
    </row>
    <row r="18" spans="1:14" ht="15" customHeight="1" x14ac:dyDescent="0.3">
      <c r="A18" s="3">
        <v>2022</v>
      </c>
      <c r="B18" s="3" t="s">
        <v>264</v>
      </c>
      <c r="C18" s="3" t="s">
        <v>379</v>
      </c>
      <c r="D18" s="11">
        <v>6.0216512361048302E-2</v>
      </c>
      <c r="E18" s="11">
        <v>6.0302580285451803E-2</v>
      </c>
      <c r="F18" s="12">
        <v>0.40802118066658599</v>
      </c>
      <c r="G18" s="12">
        <v>0.96161686412829295</v>
      </c>
      <c r="I18" s="3" t="s">
        <v>264</v>
      </c>
      <c r="J18" s="3" t="s">
        <v>383</v>
      </c>
      <c r="K18" s="11">
        <f t="shared" si="0"/>
        <v>6.7463579365694804E-2</v>
      </c>
      <c r="L18" s="11">
        <f t="shared" si="1"/>
        <v>6.6436319270576527E-2</v>
      </c>
      <c r="M18" s="11">
        <f t="shared" si="2"/>
        <v>7.3021803539492794E-2</v>
      </c>
      <c r="N18" s="3" t="s">
        <v>50</v>
      </c>
    </row>
    <row r="19" spans="1:14" ht="15" customHeight="1" x14ac:dyDescent="0.3">
      <c r="A19" s="3">
        <v>2022</v>
      </c>
      <c r="B19" s="3" t="s">
        <v>264</v>
      </c>
      <c r="C19" s="3" t="s">
        <v>380</v>
      </c>
      <c r="D19" s="11">
        <v>-4.03583066526991E-4</v>
      </c>
      <c r="E19" s="11">
        <v>0</v>
      </c>
      <c r="F19" s="12">
        <v>0.15684261450739401</v>
      </c>
      <c r="G19" s="12">
        <v>0.95239750919738098</v>
      </c>
      <c r="I19" s="3" t="s">
        <v>264</v>
      </c>
      <c r="J19" s="3" t="s">
        <v>382</v>
      </c>
      <c r="K19" s="11">
        <f t="shared" si="0"/>
        <v>0</v>
      </c>
      <c r="L19" s="11">
        <f t="shared" si="1"/>
        <v>-1.5460154007914309E-4</v>
      </c>
      <c r="M19" s="11">
        <f t="shared" si="2"/>
        <v>-6.4134016925843098E-5</v>
      </c>
      <c r="N19" s="3" t="s">
        <v>50</v>
      </c>
    </row>
    <row r="20" spans="1:14" ht="15" customHeight="1" x14ac:dyDescent="0.3">
      <c r="A20" s="3">
        <v>2022</v>
      </c>
      <c r="B20" s="3" t="s">
        <v>264</v>
      </c>
      <c r="C20" s="3" t="s">
        <v>382</v>
      </c>
      <c r="D20" s="11">
        <v>-4.0358306658916398E-4</v>
      </c>
      <c r="E20" s="11">
        <v>0</v>
      </c>
      <c r="F20" s="12">
        <v>0.15684261450739401</v>
      </c>
      <c r="G20" s="12">
        <v>0.95239750919354305</v>
      </c>
      <c r="I20" s="3" t="s">
        <v>265</v>
      </c>
      <c r="J20" s="3" t="s">
        <v>374</v>
      </c>
      <c r="K20" s="11">
        <f t="shared" si="0"/>
        <v>6.6656925374402057E-2</v>
      </c>
      <c r="L20" s="11">
        <f t="shared" si="1"/>
        <v>6.6322354780375528E-2</v>
      </c>
      <c r="M20" s="11">
        <f t="shared" si="2"/>
        <v>6.4249845842681994E-2</v>
      </c>
      <c r="N20" s="3">
        <v>1</v>
      </c>
    </row>
    <row r="21" spans="1:14" ht="15" customHeight="1" x14ac:dyDescent="0.3">
      <c r="A21" s="3">
        <v>2022</v>
      </c>
      <c r="B21" s="3" t="s">
        <v>264</v>
      </c>
      <c r="C21" s="3" t="s">
        <v>381</v>
      </c>
      <c r="D21" s="11">
        <v>4.8299159129389702E-2</v>
      </c>
      <c r="E21" s="11">
        <v>4.7422301746182297E-2</v>
      </c>
      <c r="F21" s="12">
        <v>0.392150197502111</v>
      </c>
      <c r="G21" s="12">
        <v>1.0492813131680001</v>
      </c>
      <c r="I21" s="3" t="s">
        <v>265</v>
      </c>
      <c r="J21" s="3" t="s">
        <v>375</v>
      </c>
      <c r="K21" s="11">
        <f t="shared" si="0"/>
        <v>6.3132159667089266E-2</v>
      </c>
      <c r="L21" s="11">
        <f t="shared" si="1"/>
        <v>6.2786606186913632E-2</v>
      </c>
      <c r="M21" s="11">
        <f t="shared" si="2"/>
        <v>6.2004189660772702E-2</v>
      </c>
      <c r="N21" s="3">
        <v>0.3</v>
      </c>
    </row>
    <row r="22" spans="1:14" ht="15" customHeight="1" x14ac:dyDescent="0.3">
      <c r="A22" s="3">
        <v>2022</v>
      </c>
      <c r="B22" s="3" t="s">
        <v>264</v>
      </c>
      <c r="C22" s="3" t="s">
        <v>383</v>
      </c>
      <c r="D22" s="11">
        <v>5.6435472064972701E-2</v>
      </c>
      <c r="E22" s="11">
        <v>5.8936796295569999E-2</v>
      </c>
      <c r="F22" s="12">
        <v>0.403668607703351</v>
      </c>
      <c r="G22" s="12">
        <v>0.86828439540426305</v>
      </c>
      <c r="I22" s="3" t="s">
        <v>265</v>
      </c>
      <c r="J22" s="3" t="s">
        <v>376</v>
      </c>
      <c r="K22" s="11">
        <f t="shared" si="0"/>
        <v>6.2461173980857876E-2</v>
      </c>
      <c r="L22" s="11">
        <f t="shared" si="1"/>
        <v>6.2180182558119967E-2</v>
      </c>
      <c r="M22" s="11">
        <f t="shared" si="2"/>
        <v>5.8582334603282299E-2</v>
      </c>
      <c r="N22" s="3">
        <v>0</v>
      </c>
    </row>
    <row r="23" spans="1:14" ht="15" customHeight="1" x14ac:dyDescent="0.3">
      <c r="A23" s="3">
        <v>2022</v>
      </c>
      <c r="B23" s="3" t="s">
        <v>264</v>
      </c>
      <c r="C23" s="3" t="s">
        <v>384</v>
      </c>
      <c r="D23" s="11">
        <v>6.2713697790135095E-2</v>
      </c>
      <c r="E23" s="11">
        <v>6.3075430772389196E-2</v>
      </c>
      <c r="F23" s="12">
        <v>0.416484266168828</v>
      </c>
      <c r="G23" s="12">
        <v>0.96161686412829295</v>
      </c>
      <c r="I23" s="3" t="s">
        <v>265</v>
      </c>
      <c r="J23" s="3" t="s">
        <v>377</v>
      </c>
      <c r="K23" s="11">
        <f t="shared" si="0"/>
        <v>6.51196136727928E-2</v>
      </c>
      <c r="L23" s="11">
        <f t="shared" si="1"/>
        <v>6.4783263926705234E-2</v>
      </c>
      <c r="M23" s="11">
        <f t="shared" si="2"/>
        <v>6.1915667517950301E-2</v>
      </c>
      <c r="N23" s="3">
        <v>0.4</v>
      </c>
    </row>
    <row r="24" spans="1:14" ht="15" customHeight="1" x14ac:dyDescent="0.3">
      <c r="A24" s="3">
        <v>2022</v>
      </c>
      <c r="B24" s="3" t="s">
        <v>265</v>
      </c>
      <c r="C24" s="3" t="s">
        <v>374</v>
      </c>
      <c r="D24" s="11">
        <v>6.3754605523190705E-2</v>
      </c>
      <c r="E24" s="11">
        <v>6.3778148180314395E-2</v>
      </c>
      <c r="F24" s="12">
        <v>0.442906820486693</v>
      </c>
      <c r="G24" s="12">
        <v>1.00864910506661</v>
      </c>
      <c r="I24" s="3" t="s">
        <v>265</v>
      </c>
      <c r="J24" s="3" t="s">
        <v>378</v>
      </c>
      <c r="K24" s="11">
        <f t="shared" si="0"/>
        <v>5.7275657650467569E-2</v>
      </c>
      <c r="L24" s="11">
        <f t="shared" si="1"/>
        <v>5.68843830851751E-2</v>
      </c>
      <c r="M24" s="11">
        <f t="shared" si="2"/>
        <v>5.7447281819774203E-2</v>
      </c>
      <c r="N24" s="3">
        <v>0</v>
      </c>
    </row>
    <row r="25" spans="1:14" ht="15" customHeight="1" x14ac:dyDescent="0.3">
      <c r="A25" s="3">
        <v>2022</v>
      </c>
      <c r="B25" s="3" t="s">
        <v>265</v>
      </c>
      <c r="C25" s="3" t="s">
        <v>375</v>
      </c>
      <c r="D25" s="11">
        <v>5.8480642161910602E-2</v>
      </c>
      <c r="E25" s="11">
        <v>5.8416755493438201E-2</v>
      </c>
      <c r="F25" s="12">
        <v>0.43317170264572402</v>
      </c>
      <c r="G25" s="12">
        <v>1.0084529479164901</v>
      </c>
      <c r="I25" s="3" t="s">
        <v>265</v>
      </c>
      <c r="J25" s="3" t="s">
        <v>379</v>
      </c>
      <c r="K25" s="11">
        <f t="shared" si="0"/>
        <v>6.3250765457319572E-2</v>
      </c>
      <c r="L25" s="11">
        <f t="shared" si="1"/>
        <v>6.2836144923513526E-2</v>
      </c>
      <c r="M25" s="11">
        <f t="shared" si="2"/>
        <v>6.1775332708466399E-2</v>
      </c>
      <c r="N25" s="3">
        <v>0.3</v>
      </c>
    </row>
    <row r="26" spans="1:14" ht="15" customHeight="1" x14ac:dyDescent="0.3">
      <c r="A26" s="3">
        <v>2022</v>
      </c>
      <c r="B26" s="3" t="s">
        <v>265</v>
      </c>
      <c r="C26" s="3" t="s">
        <v>376</v>
      </c>
      <c r="D26" s="11">
        <v>6.0871592936338599E-2</v>
      </c>
      <c r="E26" s="11">
        <v>6.0864239542179899E-2</v>
      </c>
      <c r="F26" s="12">
        <v>0.43608903467516302</v>
      </c>
      <c r="G26" s="12">
        <v>1.00842654831657</v>
      </c>
      <c r="I26" s="3" t="s">
        <v>265</v>
      </c>
      <c r="J26" s="3" t="s">
        <v>381</v>
      </c>
      <c r="K26" s="11">
        <f t="shared" si="0"/>
        <v>6.0468834693848061E-2</v>
      </c>
      <c r="L26" s="11">
        <f t="shared" si="1"/>
        <v>5.977417852181053E-2</v>
      </c>
      <c r="M26" s="11">
        <f t="shared" si="2"/>
        <v>6.0772741681708702E-2</v>
      </c>
      <c r="N26" s="3" t="s">
        <v>50</v>
      </c>
    </row>
    <row r="27" spans="1:14" ht="15" customHeight="1" x14ac:dyDescent="0.3">
      <c r="A27" s="3">
        <v>2022</v>
      </c>
      <c r="B27" s="3" t="s">
        <v>265</v>
      </c>
      <c r="C27" s="3" t="s">
        <v>377</v>
      </c>
      <c r="D27" s="11">
        <v>6.2737177989346596E-2</v>
      </c>
      <c r="E27" s="11">
        <v>6.27488585853887E-2</v>
      </c>
      <c r="F27" s="12">
        <v>0.44013120323803401</v>
      </c>
      <c r="G27" s="12">
        <v>1.00894334079179</v>
      </c>
      <c r="I27" s="3" t="s">
        <v>265</v>
      </c>
      <c r="J27" s="3" t="s">
        <v>383</v>
      </c>
      <c r="K27" s="11">
        <f t="shared" si="0"/>
        <v>5.8996162881419768E-2</v>
      </c>
      <c r="L27" s="11">
        <f t="shared" si="1"/>
        <v>5.7020160324430198E-2</v>
      </c>
      <c r="M27" s="11">
        <f t="shared" si="2"/>
        <v>5.8861295784181603E-2</v>
      </c>
      <c r="N27" s="3" t="s">
        <v>50</v>
      </c>
    </row>
    <row r="28" spans="1:14" ht="15" customHeight="1" x14ac:dyDescent="0.3">
      <c r="A28" s="3">
        <v>2022</v>
      </c>
      <c r="B28" s="3" t="s">
        <v>265</v>
      </c>
      <c r="C28" s="3" t="s">
        <v>378</v>
      </c>
      <c r="D28" s="11">
        <v>5.1919741228762299E-2</v>
      </c>
      <c r="E28" s="11">
        <v>5.2024242813461602E-2</v>
      </c>
      <c r="F28" s="12">
        <v>0.41831720182957</v>
      </c>
      <c r="G28" s="12">
        <v>1.0084529479164901</v>
      </c>
      <c r="I28" s="3" t="s">
        <v>265</v>
      </c>
      <c r="J28" s="3" t="s">
        <v>382</v>
      </c>
      <c r="K28" s="11">
        <f t="shared" si="0"/>
        <v>3.7007434154172E-17</v>
      </c>
      <c r="L28" s="11">
        <f t="shared" si="1"/>
        <v>-7.2499092865348539E-4</v>
      </c>
      <c r="M28" s="11">
        <f t="shared" si="2"/>
        <v>-5.6447285612382103E-5</v>
      </c>
      <c r="N28" s="3" t="s">
        <v>50</v>
      </c>
    </row>
    <row r="29" spans="1:14" ht="15" customHeight="1" x14ac:dyDescent="0.3">
      <c r="A29" s="3">
        <v>2022</v>
      </c>
      <c r="B29" s="3" t="s">
        <v>265</v>
      </c>
      <c r="C29" s="3" t="s">
        <v>379</v>
      </c>
      <c r="D29" s="11">
        <v>6.0874232493553303E-2</v>
      </c>
      <c r="E29" s="11">
        <v>6.0918905874830398E-2</v>
      </c>
      <c r="F29" s="12">
        <v>0.43611010522195698</v>
      </c>
      <c r="G29" s="12">
        <v>1.0084529479164901</v>
      </c>
    </row>
    <row r="30" spans="1:14" ht="15" customHeight="1" x14ac:dyDescent="0.3">
      <c r="A30" s="3">
        <v>2022</v>
      </c>
      <c r="B30" s="3" t="s">
        <v>265</v>
      </c>
      <c r="C30" s="3" t="s">
        <v>380</v>
      </c>
      <c r="D30" s="11">
        <v>3.9756225234111E-7</v>
      </c>
      <c r="E30" s="11">
        <v>0</v>
      </c>
      <c r="F30" s="12">
        <v>0.18512365292680599</v>
      </c>
      <c r="G30" s="12">
        <v>0.99970635086459503</v>
      </c>
      <c r="I30" s="19" t="s">
        <v>385</v>
      </c>
    </row>
    <row r="31" spans="1:14" ht="15" customHeight="1" x14ac:dyDescent="0.3">
      <c r="A31" s="3">
        <v>2022</v>
      </c>
      <c r="B31" s="3" t="s">
        <v>265</v>
      </c>
      <c r="C31" s="3" t="s">
        <v>382</v>
      </c>
      <c r="D31" s="11">
        <v>3.9756224523568301E-7</v>
      </c>
      <c r="E31" s="11">
        <v>1.11022302462516E-16</v>
      </c>
      <c r="F31" s="12">
        <v>0.18512365292680599</v>
      </c>
      <c r="G31" s="12">
        <v>0.99970635087014503</v>
      </c>
    </row>
    <row r="32" spans="1:14" ht="15" customHeight="1" x14ac:dyDescent="0.3">
      <c r="A32" s="3">
        <v>2022</v>
      </c>
      <c r="B32" s="3" t="s">
        <v>265</v>
      </c>
      <c r="C32" s="3" t="s">
        <v>381</v>
      </c>
      <c r="D32" s="11">
        <v>5.5465804495717898E-2</v>
      </c>
      <c r="E32" s="11">
        <v>5.5390104546533002E-2</v>
      </c>
      <c r="F32" s="12">
        <v>0.42484916374760201</v>
      </c>
      <c r="G32" s="12">
        <v>1.0090279766038499</v>
      </c>
    </row>
    <row r="33" spans="1:7" ht="15" customHeight="1" x14ac:dyDescent="0.3">
      <c r="A33" s="3">
        <v>2022</v>
      </c>
      <c r="B33" s="3" t="s">
        <v>265</v>
      </c>
      <c r="C33" s="3" t="s">
        <v>383</v>
      </c>
      <c r="D33" s="11">
        <v>5.1127402932724199E-2</v>
      </c>
      <c r="E33" s="11">
        <v>5.3284482112060799E-2</v>
      </c>
      <c r="F33" s="12">
        <v>0.419012047022784</v>
      </c>
      <c r="G33" s="12">
        <v>0.90958828304896699</v>
      </c>
    </row>
    <row r="34" spans="1:7" ht="15" customHeight="1" x14ac:dyDescent="0.3">
      <c r="A34" s="3">
        <v>2022</v>
      </c>
      <c r="B34" s="3" t="s">
        <v>265</v>
      </c>
      <c r="C34" s="3" t="s">
        <v>384</v>
      </c>
      <c r="D34" s="11">
        <v>5.8480642161910602E-2</v>
      </c>
      <c r="E34" s="11">
        <v>5.8416755493438201E-2</v>
      </c>
      <c r="F34" s="12">
        <v>0.43317170264572402</v>
      </c>
      <c r="G34" s="12">
        <v>1.0084529479164901</v>
      </c>
    </row>
    <row r="35" spans="1:7" ht="15" customHeight="1" x14ac:dyDescent="0.3">
      <c r="A35" s="3">
        <v>2023</v>
      </c>
      <c r="B35" s="3" t="s">
        <v>262</v>
      </c>
      <c r="C35" s="3" t="s">
        <v>374</v>
      </c>
      <c r="D35" s="11">
        <v>4.2752707192923699E-2</v>
      </c>
      <c r="E35" s="11">
        <v>4.3055089773110303E-2</v>
      </c>
      <c r="F35" s="12">
        <v>0.38305896376753301</v>
      </c>
      <c r="G35" s="12">
        <v>0.94791335604812699</v>
      </c>
    </row>
    <row r="36" spans="1:7" ht="15" customHeight="1" x14ac:dyDescent="0.3">
      <c r="A36" s="3">
        <v>2023</v>
      </c>
      <c r="B36" s="3" t="s">
        <v>262</v>
      </c>
      <c r="C36" s="3" t="s">
        <v>375</v>
      </c>
      <c r="D36" s="11">
        <v>4.3144875119247902E-2</v>
      </c>
      <c r="E36" s="11">
        <v>4.3482553676981402E-2</v>
      </c>
      <c r="F36" s="12">
        <v>0.39140140651937599</v>
      </c>
      <c r="G36" s="12">
        <v>0.94739547179362704</v>
      </c>
    </row>
    <row r="37" spans="1:7" ht="15" customHeight="1" x14ac:dyDescent="0.3">
      <c r="A37" s="3">
        <v>2023</v>
      </c>
      <c r="B37" s="3" t="s">
        <v>262</v>
      </c>
      <c r="C37" s="3" t="s">
        <v>376</v>
      </c>
      <c r="D37" s="11">
        <v>2.2890508889093299E-2</v>
      </c>
      <c r="E37" s="11">
        <v>2.3219414658959499E-2</v>
      </c>
      <c r="F37" s="12">
        <v>0.30619306404122598</v>
      </c>
      <c r="G37" s="12">
        <v>0.94825157015794403</v>
      </c>
    </row>
    <row r="38" spans="1:7" ht="15" customHeight="1" x14ac:dyDescent="0.3">
      <c r="A38" s="3">
        <v>2023</v>
      </c>
      <c r="B38" s="3" t="s">
        <v>262</v>
      </c>
      <c r="C38" s="3" t="s">
        <v>377</v>
      </c>
      <c r="D38" s="11">
        <v>3.56860926602127E-2</v>
      </c>
      <c r="E38" s="11">
        <v>3.61217893859683E-2</v>
      </c>
      <c r="F38" s="12">
        <v>0.35863336495052001</v>
      </c>
      <c r="G38" s="12">
        <v>0.94869018242987602</v>
      </c>
    </row>
    <row r="39" spans="1:7" ht="15" customHeight="1" x14ac:dyDescent="0.3">
      <c r="A39" s="3">
        <v>2023</v>
      </c>
      <c r="B39" s="3" t="s">
        <v>262</v>
      </c>
      <c r="C39" s="3" t="s">
        <v>378</v>
      </c>
      <c r="D39" s="11">
        <v>2.1879257228073299E-2</v>
      </c>
      <c r="E39" s="11">
        <v>2.2298461870505701E-2</v>
      </c>
      <c r="F39" s="12">
        <v>0.31169703890869299</v>
      </c>
      <c r="G39" s="12">
        <v>0.94739547179362704</v>
      </c>
    </row>
    <row r="40" spans="1:7" ht="15" customHeight="1" x14ac:dyDescent="0.3">
      <c r="A40" s="3">
        <v>2023</v>
      </c>
      <c r="B40" s="3" t="s">
        <v>262</v>
      </c>
      <c r="C40" s="3" t="s">
        <v>379</v>
      </c>
      <c r="D40" s="11">
        <v>4.0287269896761901E-2</v>
      </c>
      <c r="E40" s="11">
        <v>4.0679404565067599E-2</v>
      </c>
      <c r="F40" s="12">
        <v>0.37774122159015999</v>
      </c>
      <c r="G40" s="12">
        <v>0.94739547179362704</v>
      </c>
    </row>
    <row r="41" spans="1:7" ht="15" customHeight="1" x14ac:dyDescent="0.3">
      <c r="A41" s="3">
        <v>2023</v>
      </c>
      <c r="B41" s="3" t="s">
        <v>262</v>
      </c>
      <c r="C41" s="3" t="s">
        <v>380</v>
      </c>
      <c r="D41" s="11">
        <v>-2.05113834629511E-4</v>
      </c>
      <c r="E41" s="11">
        <v>2.2204460492503101E-16</v>
      </c>
      <c r="F41" s="12">
        <v>0.22276871071455701</v>
      </c>
      <c r="G41" s="12">
        <v>0.94654973691607702</v>
      </c>
    </row>
    <row r="42" spans="1:7" ht="15" customHeight="1" x14ac:dyDescent="0.3">
      <c r="A42" s="3">
        <v>2023</v>
      </c>
      <c r="B42" s="3" t="s">
        <v>262</v>
      </c>
      <c r="C42" s="3" t="s">
        <v>382</v>
      </c>
      <c r="D42" s="11">
        <v>-3.1799811888166799E-6</v>
      </c>
      <c r="E42" s="11">
        <v>1.11022302462516E-16</v>
      </c>
      <c r="F42" s="12">
        <v>0.22276871071455701</v>
      </c>
      <c r="G42" s="12">
        <v>0.98689332644058803</v>
      </c>
    </row>
    <row r="43" spans="1:7" ht="15" customHeight="1" x14ac:dyDescent="0.3">
      <c r="A43" s="3">
        <v>2023</v>
      </c>
      <c r="B43" s="3" t="s">
        <v>262</v>
      </c>
      <c r="C43" s="3" t="s">
        <v>381</v>
      </c>
      <c r="D43" s="11">
        <v>5.5732565209656103E-2</v>
      </c>
      <c r="E43" s="11">
        <v>5.60364550501328E-2</v>
      </c>
      <c r="F43" s="12">
        <v>0.42616003142856901</v>
      </c>
      <c r="G43" s="12">
        <v>0.93648983489858595</v>
      </c>
    </row>
    <row r="44" spans="1:7" ht="15" customHeight="1" x14ac:dyDescent="0.3">
      <c r="A44" s="3">
        <v>2023</v>
      </c>
      <c r="B44" s="3" t="s">
        <v>262</v>
      </c>
      <c r="C44" s="3" t="s">
        <v>383</v>
      </c>
      <c r="D44" s="11">
        <v>4.1745585751049599E-2</v>
      </c>
      <c r="E44" s="11">
        <v>4.5722214773423801E-2</v>
      </c>
      <c r="F44" s="12">
        <v>0.396938426353169</v>
      </c>
      <c r="G44" s="12">
        <v>0.83513565985351701</v>
      </c>
    </row>
    <row r="45" spans="1:7" ht="15" customHeight="1" x14ac:dyDescent="0.3">
      <c r="A45" s="3">
        <v>2023</v>
      </c>
      <c r="B45" s="3" t="s">
        <v>262</v>
      </c>
      <c r="C45" s="3" t="s">
        <v>384</v>
      </c>
      <c r="D45" s="11">
        <v>4.3583642446451E-2</v>
      </c>
      <c r="E45" s="11">
        <v>4.39487739476533E-2</v>
      </c>
      <c r="F45" s="12">
        <v>0.39340250219029999</v>
      </c>
      <c r="G45" s="12">
        <v>0.94523336212730702</v>
      </c>
    </row>
    <row r="46" spans="1:7" ht="15" customHeight="1" x14ac:dyDescent="0.3">
      <c r="A46" s="3">
        <v>2023</v>
      </c>
      <c r="B46" s="3" t="s">
        <v>264</v>
      </c>
      <c r="C46" s="3" t="s">
        <v>374</v>
      </c>
      <c r="D46" s="11">
        <v>7.1387602441930001E-2</v>
      </c>
      <c r="E46" s="11">
        <v>7.1372632480891096E-2</v>
      </c>
      <c r="F46" s="12">
        <v>0.45938364077605598</v>
      </c>
      <c r="G46" s="12">
        <v>0.99507727923723599</v>
      </c>
    </row>
    <row r="47" spans="1:7" ht="15" customHeight="1" x14ac:dyDescent="0.3">
      <c r="A47" s="3">
        <v>2023</v>
      </c>
      <c r="B47" s="3" t="s">
        <v>264</v>
      </c>
      <c r="C47" s="3" t="s">
        <v>375</v>
      </c>
      <c r="D47" s="11">
        <v>6.8469999645951907E-2</v>
      </c>
      <c r="E47" s="11">
        <v>6.84833274573865E-2</v>
      </c>
      <c r="F47" s="12">
        <v>0.45209815293723699</v>
      </c>
      <c r="G47" s="12">
        <v>0.999244302386606</v>
      </c>
    </row>
    <row r="48" spans="1:7" ht="15" customHeight="1" x14ac:dyDescent="0.3">
      <c r="A48" s="3">
        <v>2023</v>
      </c>
      <c r="B48" s="3" t="s">
        <v>264</v>
      </c>
      <c r="C48" s="3" t="s">
        <v>376</v>
      </c>
      <c r="D48" s="11">
        <v>6.6043818607604596E-2</v>
      </c>
      <c r="E48" s="11">
        <v>6.6018657710540204E-2</v>
      </c>
      <c r="F48" s="12">
        <v>0.44479445408809998</v>
      </c>
      <c r="G48" s="12">
        <v>0.99253206642889702</v>
      </c>
    </row>
    <row r="49" spans="1:7" ht="15" customHeight="1" x14ac:dyDescent="0.3">
      <c r="A49" s="3">
        <v>2023</v>
      </c>
      <c r="B49" s="3" t="s">
        <v>264</v>
      </c>
      <c r="C49" s="3" t="s">
        <v>377</v>
      </c>
      <c r="D49" s="11">
        <v>7.0823734198691396E-2</v>
      </c>
      <c r="E49" s="11">
        <v>7.0797953983179299E-2</v>
      </c>
      <c r="F49" s="12">
        <v>0.45654513234879501</v>
      </c>
      <c r="G49" s="12">
        <v>0.99329141217322103</v>
      </c>
    </row>
    <row r="50" spans="1:7" ht="15" customHeight="1" x14ac:dyDescent="0.3">
      <c r="A50" s="3">
        <v>2023</v>
      </c>
      <c r="B50" s="3" t="s">
        <v>264</v>
      </c>
      <c r="C50" s="3" t="s">
        <v>378</v>
      </c>
      <c r="D50" s="11">
        <v>6.1347968513586697E-2</v>
      </c>
      <c r="E50" s="11">
        <v>6.1383093861514901E-2</v>
      </c>
      <c r="F50" s="12">
        <v>0.43880312503674401</v>
      </c>
      <c r="G50" s="12">
        <v>0.999244302386606</v>
      </c>
    </row>
    <row r="51" spans="1:7" ht="15" customHeight="1" x14ac:dyDescent="0.3">
      <c r="A51" s="3">
        <v>2023</v>
      </c>
      <c r="B51" s="3" t="s">
        <v>264</v>
      </c>
      <c r="C51" s="3" t="s">
        <v>379</v>
      </c>
      <c r="D51" s="11">
        <v>6.6290097334922304E-2</v>
      </c>
      <c r="E51" s="11">
        <v>6.6331367181997697E-2</v>
      </c>
      <c r="F51" s="12">
        <v>0.45486664791696002</v>
      </c>
      <c r="G51" s="12">
        <v>0.999244302386606</v>
      </c>
    </row>
    <row r="52" spans="1:7" ht="15" customHeight="1" x14ac:dyDescent="0.3">
      <c r="A52" s="3">
        <v>2023</v>
      </c>
      <c r="B52" s="3" t="s">
        <v>264</v>
      </c>
      <c r="C52" s="3" t="s">
        <v>380</v>
      </c>
      <c r="D52" s="11">
        <v>-9.0415865744231105E-4</v>
      </c>
      <c r="E52" s="11">
        <v>0</v>
      </c>
      <c r="F52" s="12">
        <v>0.19053962579163</v>
      </c>
      <c r="G52" s="12">
        <v>0.908069296565442</v>
      </c>
    </row>
    <row r="53" spans="1:7" ht="15" customHeight="1" x14ac:dyDescent="0.3">
      <c r="A53" s="3">
        <v>2023</v>
      </c>
      <c r="B53" s="3" t="s">
        <v>264</v>
      </c>
      <c r="C53" s="3" t="s">
        <v>382</v>
      </c>
      <c r="D53" s="11">
        <v>3.9124632775777704E-6</v>
      </c>
      <c r="E53" s="11">
        <v>0</v>
      </c>
      <c r="F53" s="12">
        <v>0.19053962579163</v>
      </c>
      <c r="G53" s="12">
        <v>0.97115378711948297</v>
      </c>
    </row>
    <row r="54" spans="1:7" ht="15" customHeight="1" x14ac:dyDescent="0.3">
      <c r="A54" s="3">
        <v>2023</v>
      </c>
      <c r="B54" s="3" t="s">
        <v>264</v>
      </c>
      <c r="C54" s="3" t="s">
        <v>381</v>
      </c>
      <c r="D54" s="11">
        <v>6.2241970098074403E-2</v>
      </c>
      <c r="E54" s="11">
        <v>6.2402337860569E-2</v>
      </c>
      <c r="F54" s="12">
        <v>0.439135319057048</v>
      </c>
      <c r="G54" s="12">
        <v>0.97837217035909596</v>
      </c>
    </row>
    <row r="55" spans="1:7" ht="15" customHeight="1" x14ac:dyDescent="0.3">
      <c r="A55" s="3">
        <v>2023</v>
      </c>
      <c r="B55" s="3" t="s">
        <v>264</v>
      </c>
      <c r="C55" s="3" t="s">
        <v>383</v>
      </c>
      <c r="D55" s="11">
        <v>6.9851682207264107E-2</v>
      </c>
      <c r="E55" s="11">
        <v>7.0237869674169201E-2</v>
      </c>
      <c r="F55" s="12">
        <v>0.45801961522605</v>
      </c>
      <c r="G55" s="12">
        <v>0.899328282855544</v>
      </c>
    </row>
    <row r="56" spans="1:7" ht="15" customHeight="1" x14ac:dyDescent="0.3">
      <c r="A56" s="3">
        <v>2023</v>
      </c>
      <c r="B56" s="3" t="s">
        <v>264</v>
      </c>
      <c r="C56" s="3" t="s">
        <v>384</v>
      </c>
      <c r="D56" s="11">
        <v>6.8488044747526997E-2</v>
      </c>
      <c r="E56" s="11">
        <v>6.8589057416912E-2</v>
      </c>
      <c r="F56" s="12">
        <v>0.45266012464571298</v>
      </c>
      <c r="G56" s="12">
        <v>0.94381316570777996</v>
      </c>
    </row>
    <row r="57" spans="1:7" ht="15" customHeight="1" x14ac:dyDescent="0.3">
      <c r="A57" s="3">
        <v>2023</v>
      </c>
      <c r="B57" s="3" t="s">
        <v>265</v>
      </c>
      <c r="C57" s="3" t="s">
        <v>374</v>
      </c>
      <c r="D57" s="11">
        <v>7.09626129752539E-2</v>
      </c>
      <c r="E57" s="11">
        <v>7.1944632778581E-2</v>
      </c>
      <c r="F57" s="12">
        <v>0.44900605670466098</v>
      </c>
      <c r="G57" s="12">
        <v>0.92256968767561898</v>
      </c>
    </row>
    <row r="58" spans="1:7" ht="15" customHeight="1" x14ac:dyDescent="0.3">
      <c r="A58" s="3">
        <v>2023</v>
      </c>
      <c r="B58" s="3" t="s">
        <v>265</v>
      </c>
      <c r="C58" s="3" t="s">
        <v>375</v>
      </c>
      <c r="D58" s="11">
        <v>6.7874986738057599E-2</v>
      </c>
      <c r="E58" s="11">
        <v>6.9127841330693496E-2</v>
      </c>
      <c r="F58" s="12">
        <v>0.44423731125954902</v>
      </c>
      <c r="G58" s="12">
        <v>0.92289883255799399</v>
      </c>
    </row>
    <row r="59" spans="1:7" ht="15" customHeight="1" x14ac:dyDescent="0.3">
      <c r="A59" s="3">
        <v>2023</v>
      </c>
      <c r="B59" s="3" t="s">
        <v>265</v>
      </c>
      <c r="C59" s="3" t="s">
        <v>376</v>
      </c>
      <c r="D59" s="11">
        <v>6.7086620134738997E-2</v>
      </c>
      <c r="E59" s="11">
        <v>6.8039527930560603E-2</v>
      </c>
      <c r="F59" s="12">
        <v>0.43759389377538599</v>
      </c>
      <c r="G59" s="12">
        <v>0.92259033282284397</v>
      </c>
    </row>
    <row r="60" spans="1:7" ht="15" customHeight="1" x14ac:dyDescent="0.3">
      <c r="A60" s="3">
        <v>2023</v>
      </c>
      <c r="B60" s="3" t="s">
        <v>265</v>
      </c>
      <c r="C60" s="3" t="s">
        <v>377</v>
      </c>
      <c r="D60" s="11">
        <v>6.9696946272818805E-2</v>
      </c>
      <c r="E60" s="11">
        <v>7.0806981615548201E-2</v>
      </c>
      <c r="F60" s="12">
        <v>0.44704323056611101</v>
      </c>
      <c r="G60" s="12">
        <v>0.92207597035205602</v>
      </c>
    </row>
    <row r="61" spans="1:7" ht="15" customHeight="1" x14ac:dyDescent="0.3">
      <c r="A61" s="3">
        <v>2023</v>
      </c>
      <c r="B61" s="3" t="s">
        <v>265</v>
      </c>
      <c r="C61" s="3" t="s">
        <v>378</v>
      </c>
      <c r="D61" s="11">
        <v>6.1286126206988797E-2</v>
      </c>
      <c r="E61" s="11">
        <v>6.22694851779153E-2</v>
      </c>
      <c r="F61" s="12">
        <v>0.42847964196939498</v>
      </c>
      <c r="G61" s="12">
        <v>0.92289883255799399</v>
      </c>
    </row>
    <row r="62" spans="1:7" ht="15" customHeight="1" x14ac:dyDescent="0.3">
      <c r="A62" s="3">
        <v>2023</v>
      </c>
      <c r="B62" s="3" t="s">
        <v>265</v>
      </c>
      <c r="C62" s="3" t="s">
        <v>379</v>
      </c>
      <c r="D62" s="11">
        <v>6.5858869568520897E-2</v>
      </c>
      <c r="E62" s="11">
        <v>6.7085590066132406E-2</v>
      </c>
      <c r="F62" s="12">
        <v>0.43899124876186002</v>
      </c>
      <c r="G62" s="12">
        <v>0.92289883255799399</v>
      </c>
    </row>
    <row r="63" spans="1:7" ht="15" customHeight="1" x14ac:dyDescent="0.3">
      <c r="A63" s="3">
        <v>2023</v>
      </c>
      <c r="B63" s="3" t="s">
        <v>265</v>
      </c>
      <c r="C63" s="3" t="s">
        <v>380</v>
      </c>
      <c r="D63" s="11">
        <v>-2.2244773104318498E-3</v>
      </c>
      <c r="E63" s="11">
        <v>0</v>
      </c>
      <c r="F63" s="12">
        <v>0.16920699019413801</v>
      </c>
      <c r="G63" s="12">
        <v>0.90016648976481395</v>
      </c>
    </row>
    <row r="64" spans="1:7" ht="15" customHeight="1" x14ac:dyDescent="0.3">
      <c r="A64" s="3">
        <v>2023</v>
      </c>
      <c r="B64" s="3" t="s">
        <v>265</v>
      </c>
      <c r="C64" s="3" t="s">
        <v>382</v>
      </c>
      <c r="D64" s="11">
        <v>-2.1189230625933099E-3</v>
      </c>
      <c r="E64" s="11">
        <v>0</v>
      </c>
      <c r="F64" s="12">
        <v>0.16920699019413801</v>
      </c>
      <c r="G64" s="12">
        <v>0.90279075794854302</v>
      </c>
    </row>
    <row r="65" spans="1:7" ht="15" customHeight="1" x14ac:dyDescent="0.3">
      <c r="A65" s="3">
        <v>2023</v>
      </c>
      <c r="B65" s="3" t="s">
        <v>265</v>
      </c>
      <c r="C65" s="3" t="s">
        <v>381</v>
      </c>
      <c r="D65" s="11">
        <v>6.3083989388004996E-2</v>
      </c>
      <c r="E65" s="11">
        <v>6.4660454573696305E-2</v>
      </c>
      <c r="F65" s="12">
        <v>0.43626852788481502</v>
      </c>
      <c r="G65" s="12">
        <v>0.91701842498224395</v>
      </c>
    </row>
    <row r="66" spans="1:7" ht="15" customHeight="1" x14ac:dyDescent="0.3">
      <c r="A66" s="3">
        <v>2023</v>
      </c>
      <c r="B66" s="3" t="s">
        <v>265</v>
      </c>
      <c r="C66" s="3" t="s">
        <v>383</v>
      </c>
      <c r="D66" s="11">
        <v>6.10717822563848E-2</v>
      </c>
      <c r="E66" s="11">
        <v>6.4331904045530505E-2</v>
      </c>
      <c r="F66" s="12">
        <v>0.43778216975684198</v>
      </c>
      <c r="G66" s="12">
        <v>0.87593630629223895</v>
      </c>
    </row>
    <row r="67" spans="1:7" ht="15" customHeight="1" x14ac:dyDescent="0.3">
      <c r="A67" s="3">
        <v>2023</v>
      </c>
      <c r="B67" s="3" t="s">
        <v>265</v>
      </c>
      <c r="C67" s="3" t="s">
        <v>384</v>
      </c>
      <c r="D67" s="11">
        <v>6.7827422471939305E-2</v>
      </c>
      <c r="E67" s="11">
        <v>6.9258327211329004E-2</v>
      </c>
      <c r="F67" s="12">
        <v>0.44476284544008099</v>
      </c>
      <c r="G67" s="12">
        <v>0.91925583722788495</v>
      </c>
    </row>
    <row r="68" spans="1:7" ht="15" customHeight="1" x14ac:dyDescent="0.3">
      <c r="A68" s="3">
        <v>2024</v>
      </c>
      <c r="B68" s="3" t="s">
        <v>262</v>
      </c>
      <c r="C68" s="3" t="s">
        <v>374</v>
      </c>
      <c r="D68" s="11">
        <v>4.6527823914402501E-2</v>
      </c>
      <c r="E68" s="11">
        <v>5.7907297277530002E-2</v>
      </c>
      <c r="F68" s="12">
        <v>0.39994575071745397</v>
      </c>
      <c r="G68" s="12">
        <v>1.1013156928843999</v>
      </c>
    </row>
    <row r="69" spans="1:7" ht="15" customHeight="1" x14ac:dyDescent="0.3">
      <c r="A69" s="3">
        <v>2024</v>
      </c>
      <c r="B69" s="3" t="s">
        <v>262</v>
      </c>
      <c r="C69" s="3" t="s">
        <v>375</v>
      </c>
      <c r="D69" s="11">
        <v>4.2238504866621097E-2</v>
      </c>
      <c r="E69" s="11">
        <v>5.2188537715822401E-2</v>
      </c>
      <c r="F69" s="12">
        <v>0.38905689129558302</v>
      </c>
      <c r="G69" s="12">
        <v>1.1005389436644799</v>
      </c>
    </row>
    <row r="70" spans="1:7" ht="15" customHeight="1" x14ac:dyDescent="0.3">
      <c r="A70" s="3">
        <v>2024</v>
      </c>
      <c r="B70" s="3" t="s">
        <v>262</v>
      </c>
      <c r="C70" s="3" t="s">
        <v>376</v>
      </c>
      <c r="D70" s="11">
        <v>4.1855768029935403E-2</v>
      </c>
      <c r="E70" s="11">
        <v>5.3762384418148998E-2</v>
      </c>
      <c r="F70" s="12">
        <v>0.39356367203130299</v>
      </c>
      <c r="G70" s="12">
        <v>1.1014870584349801</v>
      </c>
    </row>
    <row r="71" spans="1:7" ht="15" customHeight="1" x14ac:dyDescent="0.3">
      <c r="A71" s="3">
        <v>2024</v>
      </c>
      <c r="B71" s="3" t="s">
        <v>262</v>
      </c>
      <c r="C71" s="3" t="s">
        <v>377</v>
      </c>
      <c r="D71" s="11">
        <v>4.6940393348920299E-2</v>
      </c>
      <c r="E71" s="11">
        <v>5.8294524596686298E-2</v>
      </c>
      <c r="F71" s="12">
        <v>0.40203910424742401</v>
      </c>
      <c r="G71" s="12">
        <v>1.1024808167142699</v>
      </c>
    </row>
    <row r="72" spans="1:7" ht="15" customHeight="1" x14ac:dyDescent="0.3">
      <c r="A72" s="3">
        <v>2024</v>
      </c>
      <c r="B72" s="3" t="s">
        <v>262</v>
      </c>
      <c r="C72" s="3" t="s">
        <v>378</v>
      </c>
      <c r="D72" s="11">
        <v>3.8306223488557403E-2</v>
      </c>
      <c r="E72" s="11">
        <v>4.9631582663504099E-2</v>
      </c>
      <c r="F72" s="12">
        <v>0.38128950754619301</v>
      </c>
      <c r="G72" s="12">
        <v>1.1005389436644799</v>
      </c>
    </row>
    <row r="73" spans="1:7" ht="15" customHeight="1" x14ac:dyDescent="0.3">
      <c r="A73" s="3">
        <v>2024</v>
      </c>
      <c r="B73" s="3" t="s">
        <v>262</v>
      </c>
      <c r="C73" s="3" t="s">
        <v>379</v>
      </c>
      <c r="D73" s="11">
        <v>4.52121304458145E-2</v>
      </c>
      <c r="E73" s="11">
        <v>5.62784175582587E-2</v>
      </c>
      <c r="F73" s="12">
        <v>0.39324699026311899</v>
      </c>
      <c r="G73" s="12">
        <v>1.1005389436644799</v>
      </c>
    </row>
    <row r="74" spans="1:7" ht="15" customHeight="1" x14ac:dyDescent="0.3">
      <c r="A74" s="3">
        <v>2024</v>
      </c>
      <c r="B74" s="3" t="s">
        <v>262</v>
      </c>
      <c r="C74" s="3" t="s">
        <v>380</v>
      </c>
      <c r="D74" s="11">
        <v>-7.4836807053650896E-3</v>
      </c>
      <c r="E74" s="11">
        <v>1.11022302462516E-16</v>
      </c>
      <c r="F74" s="12">
        <v>0.15149540383354199</v>
      </c>
      <c r="G74" s="12">
        <v>1.05979220633955</v>
      </c>
    </row>
    <row r="75" spans="1:7" ht="15" customHeight="1" x14ac:dyDescent="0.3">
      <c r="A75" s="3">
        <v>2024</v>
      </c>
      <c r="B75" s="3" t="s">
        <v>262</v>
      </c>
      <c r="C75" s="3" t="s">
        <v>382</v>
      </c>
      <c r="D75" s="11">
        <v>-1.31160115711577E-2</v>
      </c>
      <c r="E75" s="11">
        <v>0</v>
      </c>
      <c r="F75" s="12">
        <v>0.15149540383354199</v>
      </c>
      <c r="G75" s="12">
        <v>1.1344851400204701</v>
      </c>
    </row>
    <row r="76" spans="1:7" ht="15" customHeight="1" x14ac:dyDescent="0.3">
      <c r="A76" s="3">
        <v>2024</v>
      </c>
      <c r="B76" s="3" t="s">
        <v>262</v>
      </c>
      <c r="C76" s="3" t="s">
        <v>381</v>
      </c>
      <c r="D76" s="11">
        <v>4.4631351189973897E-2</v>
      </c>
      <c r="E76" s="11">
        <v>4.98861685703113E-2</v>
      </c>
      <c r="F76" s="12">
        <v>0.38172439885950898</v>
      </c>
      <c r="G76" s="12">
        <v>1.0293076004859101</v>
      </c>
    </row>
    <row r="77" spans="1:7" ht="15" customHeight="1" x14ac:dyDescent="0.3">
      <c r="A77" s="3">
        <v>2024</v>
      </c>
      <c r="B77" s="3" t="s">
        <v>262</v>
      </c>
      <c r="C77" s="3" t="s">
        <v>383</v>
      </c>
      <c r="D77" s="11">
        <v>4.94757297707136E-2</v>
      </c>
      <c r="E77" s="11">
        <v>5.2461220976251097E-2</v>
      </c>
      <c r="F77" s="12">
        <v>0.38316832009089902</v>
      </c>
      <c r="G77" s="12">
        <v>0.97243916445474898</v>
      </c>
    </row>
    <row r="78" spans="1:7" ht="15" customHeight="1" x14ac:dyDescent="0.3">
      <c r="A78" s="3">
        <v>2024</v>
      </c>
      <c r="B78" s="3" t="s">
        <v>262</v>
      </c>
      <c r="C78" s="3" t="s">
        <v>384</v>
      </c>
      <c r="D78" s="11">
        <v>4.4804329047407401E-2</v>
      </c>
      <c r="E78" s="11">
        <v>5.1782807710991502E-2</v>
      </c>
      <c r="F78" s="12">
        <v>0.38848168159817498</v>
      </c>
      <c r="G78" s="12">
        <v>1.05972285467075</v>
      </c>
    </row>
    <row r="79" spans="1:7" ht="15" customHeight="1" x14ac:dyDescent="0.3">
      <c r="A79" s="3">
        <v>2024</v>
      </c>
      <c r="B79" s="3" t="s">
        <v>264</v>
      </c>
      <c r="C79" s="3" t="s">
        <v>374</v>
      </c>
      <c r="D79" s="11">
        <v>7.4796502413447999E-2</v>
      </c>
      <c r="E79" s="11">
        <v>7.5181597489063806E-2</v>
      </c>
      <c r="F79" s="12">
        <v>0.46720728702397601</v>
      </c>
      <c r="G79" s="12">
        <v>0.93683218427032799</v>
      </c>
    </row>
    <row r="80" spans="1:7" ht="15" customHeight="1" x14ac:dyDescent="0.3">
      <c r="A80" s="3">
        <v>2024</v>
      </c>
      <c r="B80" s="3" t="s">
        <v>264</v>
      </c>
      <c r="C80" s="3" t="s">
        <v>375</v>
      </c>
      <c r="D80" s="11">
        <v>6.9732577827570405E-2</v>
      </c>
      <c r="E80" s="11">
        <v>7.0032118841310095E-2</v>
      </c>
      <c r="F80" s="12">
        <v>0.45503947638317099</v>
      </c>
      <c r="G80" s="12">
        <v>0.93802049404247201</v>
      </c>
    </row>
    <row r="81" spans="1:7" ht="15" customHeight="1" x14ac:dyDescent="0.3">
      <c r="A81" s="3">
        <v>2024</v>
      </c>
      <c r="B81" s="3" t="s">
        <v>264</v>
      </c>
      <c r="C81" s="3" t="s">
        <v>376</v>
      </c>
      <c r="D81" s="11">
        <v>7.0956424345883298E-2</v>
      </c>
      <c r="E81" s="11">
        <v>7.1229898394651603E-2</v>
      </c>
      <c r="F81" s="12">
        <v>0.45979946995806997</v>
      </c>
      <c r="G81" s="12">
        <v>0.93490049547144805</v>
      </c>
    </row>
    <row r="82" spans="1:7" ht="15" customHeight="1" x14ac:dyDescent="0.3">
      <c r="A82" s="3">
        <v>2024</v>
      </c>
      <c r="B82" s="3" t="s">
        <v>264</v>
      </c>
      <c r="C82" s="3" t="s">
        <v>377</v>
      </c>
      <c r="D82" s="11">
        <v>7.4812926751531797E-2</v>
      </c>
      <c r="E82" s="11">
        <v>7.5171403296287007E-2</v>
      </c>
      <c r="F82" s="12">
        <v>0.466885908049536</v>
      </c>
      <c r="G82" s="12">
        <v>0.93632290865369505</v>
      </c>
    </row>
    <row r="83" spans="1:7" ht="15" customHeight="1" x14ac:dyDescent="0.3">
      <c r="A83" s="3">
        <v>2024</v>
      </c>
      <c r="B83" s="3" t="s">
        <v>264</v>
      </c>
      <c r="C83" s="3" t="s">
        <v>378</v>
      </c>
      <c r="D83" s="11">
        <v>6.6633321728046396E-2</v>
      </c>
      <c r="E83" s="11">
        <v>6.71229790265047E-2</v>
      </c>
      <c r="F83" s="12">
        <v>0.45126999296264098</v>
      </c>
      <c r="G83" s="12">
        <v>0.93802049404247201</v>
      </c>
    </row>
    <row r="84" spans="1:7" ht="15" customHeight="1" x14ac:dyDescent="0.3">
      <c r="A84" s="3">
        <v>2024</v>
      </c>
      <c r="B84" s="3" t="s">
        <v>264</v>
      </c>
      <c r="C84" s="3" t="s">
        <v>379</v>
      </c>
      <c r="D84" s="11">
        <v>7.2647597381882506E-2</v>
      </c>
      <c r="E84" s="11">
        <v>7.3030268959774894E-2</v>
      </c>
      <c r="F84" s="12">
        <v>0.45993240589539602</v>
      </c>
      <c r="G84" s="12">
        <v>0.93802049404247201</v>
      </c>
    </row>
    <row r="85" spans="1:7" ht="15" customHeight="1" x14ac:dyDescent="0.3">
      <c r="A85" s="3">
        <v>2024</v>
      </c>
      <c r="B85" s="3" t="s">
        <v>264</v>
      </c>
      <c r="C85" s="3" t="s">
        <v>380</v>
      </c>
      <c r="D85" s="11">
        <v>-1.0466628502150399E-3</v>
      </c>
      <c r="E85" s="11">
        <v>-2.2204460492503101E-16</v>
      </c>
      <c r="F85" s="12">
        <v>0.20744408052004901</v>
      </c>
      <c r="G85" s="12">
        <v>0.82545819068778903</v>
      </c>
    </row>
    <row r="86" spans="1:7" ht="15" customHeight="1" x14ac:dyDescent="0.3">
      <c r="A86" s="3">
        <v>2024</v>
      </c>
      <c r="B86" s="3" t="s">
        <v>264</v>
      </c>
      <c r="C86" s="3" t="s">
        <v>382</v>
      </c>
      <c r="D86" s="11">
        <v>-6.4134016925843098E-5</v>
      </c>
      <c r="E86" s="11">
        <v>0</v>
      </c>
      <c r="F86" s="12">
        <v>0.20744408052004901</v>
      </c>
      <c r="G86" s="12">
        <v>0.92187156734286202</v>
      </c>
    </row>
    <row r="87" spans="1:7" ht="15" customHeight="1" x14ac:dyDescent="0.3">
      <c r="A87" s="3">
        <v>2024</v>
      </c>
      <c r="B87" s="3" t="s">
        <v>264</v>
      </c>
      <c r="C87" s="3" t="s">
        <v>381</v>
      </c>
      <c r="D87" s="11">
        <v>6.8697354934385599E-2</v>
      </c>
      <c r="E87" s="11">
        <v>6.8700064388011198E-2</v>
      </c>
      <c r="F87" s="12">
        <v>0.45318925513517599</v>
      </c>
      <c r="G87" s="12">
        <v>0.91290249671059398</v>
      </c>
    </row>
    <row r="88" spans="1:7" ht="15" customHeight="1" x14ac:dyDescent="0.3">
      <c r="A88" s="3">
        <v>2024</v>
      </c>
      <c r="B88" s="3" t="s">
        <v>264</v>
      </c>
      <c r="C88" s="3" t="s">
        <v>383</v>
      </c>
      <c r="D88" s="11">
        <v>7.3021803539492794E-2</v>
      </c>
      <c r="E88" s="11">
        <v>7.3216072127345197E-2</v>
      </c>
      <c r="F88" s="12">
        <v>0.45524930881142101</v>
      </c>
      <c r="G88" s="12">
        <v>0.85310958833957395</v>
      </c>
    </row>
    <row r="89" spans="1:7" ht="15" customHeight="1" x14ac:dyDescent="0.3">
      <c r="A89" s="3">
        <v>2024</v>
      </c>
      <c r="B89" s="3" t="s">
        <v>264</v>
      </c>
      <c r="C89" s="3" t="s">
        <v>384</v>
      </c>
      <c r="D89" s="11">
        <v>6.9834167701847305E-2</v>
      </c>
      <c r="E89" s="11">
        <v>6.9818643708125905E-2</v>
      </c>
      <c r="F89" s="12">
        <v>0.45433502016715499</v>
      </c>
      <c r="G89" s="12">
        <v>0.87790211880312796</v>
      </c>
    </row>
    <row r="90" spans="1:7" ht="15" customHeight="1" x14ac:dyDescent="0.3">
      <c r="A90" s="3">
        <v>2024</v>
      </c>
      <c r="B90" s="3" t="s">
        <v>265</v>
      </c>
      <c r="C90" s="3" t="s">
        <v>374</v>
      </c>
      <c r="D90" s="11">
        <v>6.4249845842681994E-2</v>
      </c>
      <c r="E90" s="11">
        <v>6.4247995164310803E-2</v>
      </c>
      <c r="F90" s="12">
        <v>0.43820942664469598</v>
      </c>
      <c r="G90" s="12">
        <v>1.01424874766908</v>
      </c>
    </row>
    <row r="91" spans="1:7" ht="15" customHeight="1" x14ac:dyDescent="0.3">
      <c r="A91" s="3">
        <v>2024</v>
      </c>
      <c r="B91" s="3" t="s">
        <v>265</v>
      </c>
      <c r="C91" s="3" t="s">
        <v>375</v>
      </c>
      <c r="D91" s="11">
        <v>6.2004189660772702E-2</v>
      </c>
      <c r="E91" s="11">
        <v>6.1851882177136101E-2</v>
      </c>
      <c r="F91" s="12">
        <v>0.43675012326005702</v>
      </c>
      <c r="G91" s="12">
        <v>1.01466795975624</v>
      </c>
    </row>
    <row r="92" spans="1:7" ht="15" customHeight="1" x14ac:dyDescent="0.3">
      <c r="A92" s="3">
        <v>2024</v>
      </c>
      <c r="B92" s="3" t="s">
        <v>265</v>
      </c>
      <c r="C92" s="3" t="s">
        <v>376</v>
      </c>
      <c r="D92" s="11">
        <v>5.8582334603282299E-2</v>
      </c>
      <c r="E92" s="11">
        <v>5.8479754469833098E-2</v>
      </c>
      <c r="F92" s="12">
        <v>0.42578131245926198</v>
      </c>
      <c r="G92" s="12">
        <v>1.01314554443071</v>
      </c>
    </row>
    <row r="93" spans="1:7" ht="15" customHeight="1" x14ac:dyDescent="0.3">
      <c r="A93" s="3">
        <v>2024</v>
      </c>
      <c r="B93" s="3" t="s">
        <v>265</v>
      </c>
      <c r="C93" s="3" t="s">
        <v>377</v>
      </c>
      <c r="D93" s="11">
        <v>6.1915667517950301E-2</v>
      </c>
      <c r="E93" s="11">
        <v>6.18030008174415E-2</v>
      </c>
      <c r="F93" s="12">
        <v>0.43313291194588499</v>
      </c>
      <c r="G93" s="12">
        <v>1.0136199295383499</v>
      </c>
    </row>
    <row r="94" spans="1:7" ht="15" customHeight="1" x14ac:dyDescent="0.3">
      <c r="A94" s="3">
        <v>2024</v>
      </c>
      <c r="B94" s="3" t="s">
        <v>265</v>
      </c>
      <c r="C94" s="3" t="s">
        <v>378</v>
      </c>
      <c r="D94" s="11">
        <v>5.7447281819774203E-2</v>
      </c>
      <c r="E94" s="11">
        <v>5.7533244960025799E-2</v>
      </c>
      <c r="F94" s="12">
        <v>0.42108437114092301</v>
      </c>
      <c r="G94" s="12">
        <v>1.01466795975624</v>
      </c>
    </row>
    <row r="95" spans="1:7" ht="15" customHeight="1" x14ac:dyDescent="0.3">
      <c r="A95" s="3">
        <v>2024</v>
      </c>
      <c r="B95" s="3" t="s">
        <v>265</v>
      </c>
      <c r="C95" s="3" t="s">
        <v>379</v>
      </c>
      <c r="D95" s="11">
        <v>6.1775332708466399E-2</v>
      </c>
      <c r="E95" s="11">
        <v>6.1747800430995897E-2</v>
      </c>
      <c r="F95" s="12">
        <v>0.42937917918012503</v>
      </c>
      <c r="G95" s="12">
        <v>1.01466795975624</v>
      </c>
    </row>
    <row r="96" spans="1:7" ht="15" customHeight="1" x14ac:dyDescent="0.3">
      <c r="A96" s="3">
        <v>2024</v>
      </c>
      <c r="B96" s="3" t="s">
        <v>265</v>
      </c>
      <c r="C96" s="3" t="s">
        <v>380</v>
      </c>
      <c r="D96" s="11">
        <v>-8.5529580841226004E-4</v>
      </c>
      <c r="E96" s="11">
        <v>0</v>
      </c>
      <c r="F96" s="12">
        <v>0.17960408058551799</v>
      </c>
      <c r="G96" s="12">
        <v>0.91275094106617005</v>
      </c>
    </row>
    <row r="97" spans="1:7" ht="15" customHeight="1" x14ac:dyDescent="0.3">
      <c r="A97" s="3">
        <v>2024</v>
      </c>
      <c r="B97" s="3" t="s">
        <v>265</v>
      </c>
      <c r="C97" s="3" t="s">
        <v>382</v>
      </c>
      <c r="D97" s="11">
        <v>-5.6447285612382103E-5</v>
      </c>
      <c r="E97" s="11">
        <v>0</v>
      </c>
      <c r="F97" s="12">
        <v>0.17960408058551799</v>
      </c>
      <c r="G97" s="12">
        <v>1.00882867420649</v>
      </c>
    </row>
    <row r="98" spans="1:7" ht="15" customHeight="1" x14ac:dyDescent="0.3">
      <c r="A98" s="3">
        <v>2024</v>
      </c>
      <c r="B98" s="3" t="s">
        <v>265</v>
      </c>
      <c r="C98" s="3" t="s">
        <v>381</v>
      </c>
      <c r="D98" s="11">
        <v>6.0772741681708702E-2</v>
      </c>
      <c r="E98" s="11">
        <v>6.1355944961314898E-2</v>
      </c>
      <c r="F98" s="12">
        <v>0.43266805629583999</v>
      </c>
      <c r="G98" s="12">
        <v>0.92654488588305095</v>
      </c>
    </row>
    <row r="99" spans="1:7" ht="15" customHeight="1" x14ac:dyDescent="0.3">
      <c r="A99" s="3">
        <v>2024</v>
      </c>
      <c r="B99" s="3" t="s">
        <v>265</v>
      </c>
      <c r="C99" s="3" t="s">
        <v>383</v>
      </c>
      <c r="D99" s="11">
        <v>5.8861295784181603E-2</v>
      </c>
      <c r="E99" s="11">
        <v>5.9372102486668001E-2</v>
      </c>
      <c r="F99" s="12">
        <v>0.42472453522084502</v>
      </c>
      <c r="G99" s="12">
        <v>0.93289118366410595</v>
      </c>
    </row>
    <row r="100" spans="1:7" ht="15" customHeight="1" x14ac:dyDescent="0.3">
      <c r="A100" s="3">
        <v>2024</v>
      </c>
      <c r="B100" s="3" t="s">
        <v>265</v>
      </c>
      <c r="C100" s="3" t="s">
        <v>384</v>
      </c>
      <c r="D100" s="11">
        <v>6.1633709845251197E-2</v>
      </c>
      <c r="E100" s="11">
        <v>6.2045065537356801E-2</v>
      </c>
      <c r="F100" s="12">
        <v>0.43588150468794801</v>
      </c>
      <c r="G100" s="12">
        <v>0.93917069442709</v>
      </c>
    </row>
  </sheetData>
  <autoFilter ref="A1:G100" xr:uid="{00000000-0009-0000-0000-00000A000000}"/>
  <pageMargins left="0.75" right="0.75" top="1" bottom="1" header="0.511811023622047" footer="0.511811023622047"/>
  <pageSetup paperSize="9" orientation="portrait" horizontalDpi="300" verticalDpi="300"/>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Iteration_Summary</vt:lpstr>
      <vt:lpstr>Change_Levers</vt:lpstr>
      <vt:lpstr>Local_vs_Public</vt:lpstr>
      <vt:lpstr>BEN1_Ladder</vt:lpstr>
      <vt:lpstr>Line_Scores</vt:lpstr>
      <vt:lpstr>Blend_Line</vt:lpstr>
      <vt:lpstr>Blend_Peril</vt:lpstr>
      <vt:lpstr>Next_Steps</vt:lpstr>
      <vt:lpstr>Submit_Gate</vt:lpstr>
      <vt:lpstr>SAM3_Components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Wendy Low Ching Ning</cp:lastModifiedBy>
  <cp:revision>0</cp:revision>
  <dcterms:created xsi:type="dcterms:W3CDTF">2026-10-22T10:20:31Z</dcterms:created>
  <dcterms:modified xsi:type="dcterms:W3CDTF">2026-10-25T02:17:00Z</dcterms:modified>
  <dc:language>en-US</dc:language>
</cp:coreProperties>
</file>