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ackupFile="false" showObjects="all" date1904="false"/>
  <workbookProtection/>
  <bookViews>
    <workbookView xWindow="0" yWindow="0" windowWidth="16384" windowHeight="8192" firstSheet="0" activeTab="0"/>
  </bookViews>
  <sheets>
    <sheet name="README" sheetId="1" state="visible" r:id="rId1"/>
    <sheet name="Iteration_Summary" sheetId="2" state="visible" r:id="rId2"/>
    <sheet name="Change_Levers" sheetId="3" state="visible" r:id="rId3"/>
    <sheet name="Local_vs_Public" sheetId="4" state="visible" r:id="rId4"/>
    <sheet name="BEN1_Ladder" sheetId="5" state="visible" r:id="rId5"/>
    <sheet name="Line_Scores" sheetId="6" state="visible" r:id="rId6"/>
    <sheet name="Blend_Line" sheetId="7" state="visible" r:id="rId7"/>
    <sheet name="Blend_Peril" sheetId="8" state="visible" r:id="rId8"/>
    <sheet name="Next_Steps" sheetId="9" state="visible" r:id="rId9"/>
    <sheet name="Submit_Gate" sheetId="10" state="visible" r:id="rId10"/>
    <sheet name="SAM3_Components" sheetId="11" state="visible" r:id="rId11"/>
  </sheets>
  <definedNames>
    <definedName function="false" hidden="true" localSheetId="4" name="_xlnm._FilterDatabase" vbProcedure="false">BEN1_Ladder!$A$1:$L$8</definedName>
    <definedName function="false" hidden="true" localSheetId="6" name="_xlnm._FilterDatabase" vbProcedure="false">Blend_Line!$A$1:$N$5</definedName>
    <definedName function="false" hidden="true" localSheetId="7" name="_xlnm._FilterDatabase" vbProcedure="false">Blend_Peril!$A$1:$S$16</definedName>
    <definedName function="false" hidden="true" localSheetId="2" name="_xlnm._FilterDatabase" vbProcedure="false">Change_Levers!$A$1:$H$18</definedName>
    <definedName function="false" hidden="true" localSheetId="1" name="_xlnm._FilterDatabase" vbProcedure="false">Iteration_Summary!$A$1:$AA$16</definedName>
    <definedName function="false" hidden="true" localSheetId="5" name="_xlnm._FilterDatabase" vbProcedure="false">Line_Scores!$A$1:$F$79</definedName>
    <definedName function="false" hidden="true" localSheetId="3" name="_xlnm._FilterDatabase" vbProcedure="false">Local_vs_Public!$A$1:$H$10</definedName>
    <definedName function="false" hidden="true" localSheetId="8" name="_xlnm._FilterDatabase" vbProcedure="false">Next_Steps!$A$1:$E$9</definedName>
    <definedName function="false" hidden="true" localSheetId="10" name="_xlnm._FilterDatabase" vbProcedure="false">SAM3_Components!$A$1:$G$100</definedName>
  </definedNames>
  <calcPr iterateCount="100" refMode="A1" iterate="false" iterateDelta="0.0001"/>
</workbook>
</file>

<file path=xl/sharedStrings.xml><?xml version="1.0" encoding="utf-8"?>
<sst xmlns="http://schemas.openxmlformats.org/spreadsheetml/2006/main" count="526" uniqueCount="526">
  <si>
    <t xml:space="preserve">Model iterations - score summary, improvement reasons and blend plan</t>
  </si>
  <si>
    <t xml:space="preserve">Purpose</t>
  </si>
  <si>
    <t xml:space="preserve">Track every submission's public score against its local scores, record why each change probably helped or hurt, and plan the final per-line / per-peril blend.</t>
  </si>
  <si>
    <t xml:space="preserve">Target</t>
  </si>
  <si>
    <t xml:space="preserve">Public score = Kaggle Tweedie D2 (p = 1.5), higher = better. Best so far: SAM 2 0.12796.</t>
  </si>
  <si>
    <t xml:space="preserve">Sources</t>
  </si>
  <si>
    <t xml:space="preserve">Public and local D2: submission log and BEN 1 table in docs/workflow.md (22 Oct 2026). Predicted 2025 burn costs: comparison table in R/6_export_model_spreadsheet.R (only ITER 1, ITER 2, SAM 1, SAM 2 recorded there). Code facts: model_variations_register.xlsx.</t>
  </si>
  <si>
    <t xml:space="preserve">Main caution</t>
  </si>
  <si>
    <t xml:space="preserve">Local D2 is NOT on one basis (SAM 2 and SAM 3 share 3 reported folds; WENDY 4, WENDY 5, WENDY 6 and WENDY 4 SAM02-clean share the 2024 developed fold): WENDY 4 scores developed actuals, the others reported actuals; WENDY 3 has 2024 only; SAM 2 also has 2022. Use local scores to choose components only after re-scoring every model with one shared harness (Next_Steps #1).</t>
  </si>
  <si>
    <t xml:space="preserve">Reasons column</t>
  </si>
  <si>
    <t xml:space="preserve">'Potential reasons' are hypotheses from reading the code and the logged scores - not measured unless the evidence column says 'measured' (BEN 1 variant ladder).</t>
  </si>
  <si>
    <t xml:space="preserve">Editable cells</t>
  </si>
  <si>
    <t xml:space="preserve">Blue text on yellow fill = inputs. Iteration_Summary rows 9-12 take new submissions (formulas fill in). Blend_Peril: enter each candidate's mean out-of-fold D2 (developed actuals, 2023-24) - the best candidate fills in. Example format: 0.0612 in W4_freq_sev for motor / own_damage.</t>
  </si>
  <si>
    <t xml:space="preserve">Sheets</t>
  </si>
  <si>
    <t xml:space="preserve">Iteration_Summary | Change_Levers | Local_vs_Public | BEN1_Ladder | Line_Scores | Blend_Line | Blend_Peril | Next_Steps</t>
  </si>
  <si>
    <t xml:space="preserve">#</t>
  </si>
  <si>
    <t xml:space="preserve">iteration</t>
  </si>
  <si>
    <t xml:space="preserve">date</t>
  </si>
  <si>
    <t xml:space="preserve">time SGT</t>
  </si>
  <si>
    <t xml:space="preserve">file</t>
  </si>
  <si>
    <t xml:space="preserve">public D2</t>
  </si>
  <si>
    <t xml:space="preserve">local D2 ALL 2022</t>
  </si>
  <si>
    <t xml:space="preserve">local D2 ALL 2023</t>
  </si>
  <si>
    <t xml:space="preserve">local D2 ALL 2024</t>
  </si>
  <si>
    <t xml:space="preserve">local actual basis</t>
  </si>
  <si>
    <t xml:space="preserve">motor 2023</t>
  </si>
  <si>
    <t xml:space="preserve">motor 2024</t>
  </si>
  <si>
    <t xml:space="preserve">buildings 2023</t>
  </si>
  <si>
    <t xml:space="preserve">buildings 2024</t>
  </si>
  <si>
    <t xml:space="preserve">contents 2023</t>
  </si>
  <si>
    <t xml:space="preserve">contents 2024</t>
  </si>
  <si>
    <t xml:space="preserve">2025 burn motor</t>
  </si>
  <si>
    <t xml:space="preserve">2025 burn buildings</t>
  </si>
  <si>
    <t xml:space="preserve">2025 burn contents</t>
  </si>
  <si>
    <t xml:space="preserve">key change vs parent</t>
  </si>
  <si>
    <t xml:space="preserve">potential reasons (hypotheses)</t>
  </si>
  <si>
    <t xml:space="preserve">evidence</t>
  </si>
  <si>
    <t xml:space="preserve">confidence</t>
  </si>
  <si>
    <t xml:space="preserve">change vs previous submission</t>
  </si>
  <si>
    <t xml:space="preserve">change vs best before</t>
  </si>
  <si>
    <t xml:space="preserve">new best?</t>
  </si>
  <si>
    <t xml:space="preserve">public rank</t>
  </si>
  <si>
    <t xml:space="preserve">ITER 1</t>
  </si>
  <si>
    <t xml:space="preserve">2026-10-20</t>
  </si>
  <si>
    <t xml:space="preserve">~14:00</t>
  </si>
  <si>
    <t xml:space="preserve">submission_20261020_1400_submitted.csv</t>
  </si>
  <si>
    <t xml:space="preserve">reported</t>
  </si>
  <si>
    <t xml:space="preserve">Baseline: best of 4 candidates per line; GLM freq x sev won all lines; no trend</t>
  </si>
  <si>
    <t xml:space="preserve">Explainable GLM, but 2025 priced at the 2021-24 average level (no trend) and 2024 only count-developed.</t>
  </si>
  <si>
    <t xml:space="preserve">Local 2023 high (0.1055) yet public among the lowest -&gt; local 2023 does not track public.</t>
  </si>
  <si>
    <t xml:space="preserve">-</t>
  </si>
  <si>
    <t xml:space="preserve">Yes (first)</t>
  </si>
  <si>
    <t xml:space="preserve">ITER 2</t>
  </si>
  <si>
    <t xml:space="preserve">2026-10-21</t>
  </si>
  <si>
    <t xml:space="preserve">n/r</t>
  </si>
  <si>
    <t xml:space="preserve">submission_20261021_0951.csv</t>
  </si>
  <si>
    <t xml:space="preserve">XGBoost Tweedie per line + random grid search</t>
  </si>
  <si>
    <t xml:space="preserve">Trees capture non-linear effects and interactions (buildings +0.008 / +0.005 for 2023 / 2024). Features include written_premium (current price), which can carry a lot of rating signal.</t>
  </si>
  <si>
    <t xml:space="preserve">Public +0.00245; local 2024 +0.003 but local 2023 -0.006 (motor 0.055 -&gt; 0.038): public followed 2024, not 2023.</t>
  </si>
  <si>
    <t xml:space="preserve">Medium</t>
  </si>
  <si>
    <t xml:space="preserve">SAM 1</t>
  </si>
  <si>
    <t xml:space="preserve">13:36</t>
  </si>
  <si>
    <t xml:space="preserve">submission_20261021_1336.csv</t>
  </si>
  <si>
    <t xml:space="preserve">GLM (motor) and GLM/LightGBM blend (buildings, contents) chosen by mean local D2</t>
  </si>
  <si>
    <t xml:space="preserve">Selection leaned on the 2023 fold, which favours the GLM; the GLM has no trend and the blend lowered the buildings / contents level (411.79 / 111.80 vs 434.25 / 119.13 in ITER 2). Blend weights picked on the reported folds (optimistic).</t>
  </si>
  <si>
    <t xml:space="preserve">Public -0.00273 vs #2 despite the best local 2023 (0.1071).</t>
  </si>
  <si>
    <t xml:space="preserve">WENDY 3</t>
  </si>
  <si>
    <t xml:space="preserve">~17:15</t>
  </si>
  <si>
    <t xml:space="preserve">submission_20261021_1650.csv</t>
  </si>
  <si>
    <t xml:space="preserve">reported (2024 only)</t>
  </si>
  <si>
    <t xml:space="preserve">One XGBoost Tweedie per peril (15), line = sum</t>
  </si>
  <si>
    <t xml:space="preserve">Per-peril split helps buildings / contents a little but sparse perils give tiny Tweedie trees; ~72 s tuning per motor peril; motor lost 0.007. No trend; single immature fold.</t>
  </si>
  <si>
    <t xml:space="preserve">Public -0.00017 vs #2; local 2024 -0.002 (motor -0.007, buildings +0.001, contents +0.002).</t>
  </si>
  <si>
    <t xml:space="preserve">BEN 1</t>
  </si>
  <si>
    <t xml:space="preserve">submission_20261021_1658.csv</t>
  </si>
  <si>
    <t xml:space="preserve">ITER 2 + EDA feature fixes, per-peril IBNR, trend to 2025, time-fold tuning, monotone, expanding window</t>
  </si>
  <si>
    <t xml:space="preserve">Measured: trend helps buildings / contents; time-fold tuning + monotone helps motor 2023 and contents; expanding beats rolling by 0.002-0.004 (2024). Feature fixes cost a little locally but cut 2025 drift.</t>
  </si>
  <si>
    <t xml:space="preserve">Public +0.00075 vs #2, in line with local gains on both years (BEN1_Ladder).</t>
  </si>
  <si>
    <t xml:space="preserve">High (ladder measured)</t>
  </si>
  <si>
    <t xml:space="preserve">WENDY 4</t>
  </si>
  <si>
    <t xml:space="preserve">2026-10-22</t>
  </si>
  <si>
    <t xml:space="preserve">07:52</t>
  </si>
  <si>
    <t xml:space="preserve">submission_20261022_0715_wendy04.csv</t>
  </si>
  <si>
    <t xml:space="preserve">DEVELOPED</t>
  </si>
  <si>
    <t xml:space="preserve">Per-peril Poisson GBM freq x Gamma GBM/GLM sev (vs Tweedie challenger), ultimate frequency, severity trend, history, structural zeros</t>
  </si>
  <si>
    <t xml:space="preserve">Frequency fitted on exposure x reported share (ULTIMATE level), severity trended to 2025, outlier claim limited to 2m, open-claim recoveries, prior-year claims history, written_premium removed. Gini barely moved (0.502 vs 0.491 ITER 2) so most of the gain is probably LEVEL / calibration rather than ranking.</t>
  </si>
  <si>
    <t xml:space="preserve">Public +0.00447 vs #5 (largest single jump). Reported-basis re-score (R/4_check_reported_w4.R, 22 Oct; developed rows reproduce the card exactly): ALL 0.1028 / 0.0988 (2023 / 2024); motor 0.0403 / 0.0491, buildings 0.0706 / 0.0727, contents 0.0703 / 0.0637. Mean 0.1008 vs SAM 3 0.1015 / SAM 2 0.1014 - same order as the public board. Motor 2023 is hit by the 11.9m BI claim (raw basis has no 2m limit).</t>
  </si>
  <si>
    <t xml:space="preserve">SAM 2</t>
  </si>
  <si>
    <t xml:space="preserve">submission_20261021_1528.csv</t>
  </si>
  <si>
    <t xml:space="preserve">Raw rebuild: claim-history features, per-peril trended GLM level, LGB/XGB frequency bags, line Tweedie bags, greedy blend</t>
  </si>
  <si>
    <t xml:space="preserve">Highest 2025 level of all logged runs (motor 604 vs 499-518; buildings 487 vs 412-434; contents 125 vs 112-119) from per-peril trend (+/-10%) and IBNR; rich policy / customer / address claim history; blend of 5 model types.</t>
  </si>
  <si>
    <t xml:space="preserve">Best public (+0.00125 vs #6, +0.00647 vs #2). Local 2024 only 4th -&gt; gain again looks level-driven.</t>
  </si>
  <si>
    <t xml:space="preserve">WENDY 5</t>
  </si>
  <si>
    <t xml:space="preserve">submission_20261022_0912_wendy05.csv</t>
  </si>
  <si>
    <t xml:space="preserve">DEVELOPED (time_2024)</t>
  </si>
  <si>
    <t xml:space="preserve">WENDY 4 basis + random-search tuning per component (20 configs), severity GBM vs GLM per peril, method chosen on 5-fold policy-grouped CV over all years</t>
  </si>
  <si>
    <t xml:space="preserve">Same targets, features, caps, IBNR and trend as WENDY 4, so the 2025 LEVEL hardly changed - only ranking could move. Tuning optimised component deviance on a random policy fold and the method choice used folds that mix years (grouped CV 0.1118 looks much better than the 2024 time check 0.1025), which rewards fit to the past rather than the 2025 forecast. Chose freq_sev for 13/15 perils (WENDY 4: 12/15) and severity GBM for 11 perils, GLM for 4.</t>
  </si>
  <si>
    <t xml:space="preserve">Like-for-like with WENDY 4 on the 2024 developed fold: 0.1025 vs 0.1045 (-0.0020; motor 0.052 vs 0.055, buildings 0.069 vs 0.071, contents 0.063 vs 0.064) - local AGREES with the public drop (-0.00035). Grouped CV (not comparable): ALL 0.1118, motor 0.058, buildings 0.071, contents 0.073. MD5 33b990116f99a3b93ba90900c8864b25; replication passed.</t>
  </si>
  <si>
    <t xml:space="preserve">SAM 3</t>
  </si>
  <si>
    <t xml:space="preserve">14:01</t>
  </si>
  <si>
    <t xml:space="preserve">submission_20261022_1159.csv</t>
  </si>
  <si>
    <t xml:space="preserve">SAM 2 with ONE change: peril frequency models use observed counts over effective exposure (exposure / IBNR factor) instead of IBNR-inflated counts over exposure; same data, severity, tuning budget, blend method</t>
  </si>
  <si>
    <t xml:space="preserve">2025 level is the same as SAM 2 (burn within 0.2% on every line). The expected frequency rate is unchanged; what changes is the WEIGHT - immature 2024 rows now count less in the fit, so 2024 noise (open, late claims) moves the relativities less. Blend weights shifted to peril XGB + GLM; LightGBM got 0. The gain is small and may be within noise.</t>
  </si>
  <si>
    <t xml:space="preserve">Public +0.00022 vs SAM 2; local ALL 2022 / 2023 / 2024 = +0.0002 / -0.0002 / +0.0004 vs SAM 2 - consistent but tiny.</t>
  </si>
  <si>
    <t xml:space="preserve">Low-medium</t>
  </si>
  <si>
    <t xml:space="preserve">WENDY 4 SAM02-clean</t>
  </si>
  <si>
    <t xml:space="preserve">run done - not submitted</t>
  </si>
  <si>
    <t xml:space="preserve">submission_&lt;run id&gt;_wendy04_vsam02clean.csv</t>
  </si>
  <si>
    <t xml:space="preserve">WENDY 4 models unchanged on SAM 2-cleaned data (controlled cleaning test)</t>
  </si>
  <si>
    <t xml:space="preserve">Expected: almost identical to WENDY 4 (only sum_insured rule, missing-level scope and nil-claim filter order differ). A material move would point at data cleaning, not modelling, as part of SAM 2's edge.</t>
  </si>
  <si>
    <t xml:space="preserve">Reported 2024 figures supplied earlier (ALL 0.0988; motor 0.0491, buildings 0.0727, contents 0.0637) are IDENTICAL to WENDY 4's own reported re-score - either they came from the WENDY 4 run or cleaning changed nothing. Confirm with R/4_check_reported_w4.R on the SAM02-clean script + the compare script. Not submitted: see Submit_Gate.</t>
  </si>
  <si>
    <t xml:space="preserve">WENDY 6</t>
  </si>
  <si>
    <t xml:space="preserve">running</t>
  </si>
  <si>
    <t xml:space="preserve">submission_&lt;run id&gt;_wendy06.csv</t>
  </si>
  <si>
    <t xml:space="preserve">H2O AutoML per peril for frequency and severity on WENDY 5's folds; no monotone constraints</t>
  </si>
  <si>
    <t xml:space="preserve">Tests the learner only (same basis as WENDY 5). AutoML may rank better on data-rich perils; dropping monotone constraints and no Tweedie option can hurt sparse perils and the excess / NCB shape.</t>
  </si>
  <si>
    <t xml:space="preserve">Pending. Compare time_2024 peril and line D2 and component_cv with WENDY 5 (same folds and targets).</t>
  </si>
  <si>
    <t xml:space="preserve">Best public D2</t>
  </si>
  <si>
    <t xml:space="preserve">Best iteration</t>
  </si>
  <si>
    <t xml:space="preserve">Notes</t>
  </si>
  <si>
    <t xml:space="preserve">n/r = not recorded. Numbering follows workflow.md (22 Oct 15:14 version): SAM 2 #7, WENDY 5 #8, SAM 3 #9; #10-#11 are still running. Rows 12-16 take updates / new submissions. Blank burn cost = not recorded outside the model card (models/&lt;iteration&gt;/test_prediction_summary.csv was not in the zip). WENDY 3 has no 2023 fold.</t>
  </si>
  <si>
    <t xml:space="preserve">lever</t>
  </si>
  <si>
    <t xml:space="preserve">used in</t>
  </si>
  <si>
    <t xml:space="preserve">public evidence</t>
  </si>
  <si>
    <t xml:space="preserve">local evidence</t>
  </si>
  <si>
    <t xml:space="preserve">direction</t>
  </si>
  <si>
    <t xml:space="preserve">keep for final blend?</t>
  </si>
  <si>
    <t xml:space="preserve">test to confirm</t>
  </si>
  <si>
    <t xml:space="preserve">Level to 2025 ULTIMATE (trend + IBNR as ultimate)</t>
  </si>
  <si>
    <t xml:space="preserve">BEN 1 (trend), WENDY 4, SAM 2</t>
  </si>
  <si>
    <t xml:space="preserve">The two best public scores (SAM 2, WENDY 4) both target ultimate and trend to 2025; SAM 2 level is about 17% / 15% / 11% above ITER 1 (motor / buildings / contents).</t>
  </si>
  <si>
    <t xml:space="preserve">BEN 1 v4 (+trend): buildings +0.002 both years, contents +0.002 / +0.001.</t>
  </si>
  <si>
    <t xml:space="preserve">Positive</t>
  </si>
  <si>
    <t xml:space="preserve">Medium-high</t>
  </si>
  <si>
    <t xml:space="preserve">Yes - one consistent level method for all components</t>
  </si>
  <si>
    <t xml:space="preserve">Level sensitivity on developed 2023-24 actuals: scale predictions x0.9-1.1, read D2.</t>
  </si>
  <si>
    <t xml:space="preserve">Tree boosting vs GLM (line level)</t>
  </si>
  <si>
    <t xml:space="preserve">ITER 2, BEN 1, WENDY 3</t>
  </si>
  <si>
    <t xml:space="preserve">ITER 2 +0.00245 over ITER 1 GLM.</t>
  </si>
  <si>
    <t xml:space="preserve">2024 +0.003; 2023 -0.006 (motor).</t>
  </si>
  <si>
    <t xml:space="preserve">Yes</t>
  </si>
  <si>
    <t xml:space="preserve">Common harness: tree vs GLM per line on developed actuals.</t>
  </si>
  <si>
    <t xml:space="preserve">Frequency x severity per peril</t>
  </si>
  <si>
    <t xml:space="preserve">WENDY 4, SAM 2</t>
  </si>
  <si>
    <t xml:space="preserve">WENDY 4 beats WENDY 3 (Tweedie per peril) by 0.00539; freq_sev chosen for 12/15 perils.</t>
  </si>
  <si>
    <t xml:space="preserve">Within WENDY 4: freq_sev &gt; Tweedie challenger on 12/15 perils (developed basis).</t>
  </si>
  <si>
    <t xml:space="preserve">Positive (confounded with level and history)</t>
  </si>
  <si>
    <t xml:space="preserve">Re-run WENDY 3 targets on WENDY 4's ultimate frequency to isolate.</t>
  </si>
  <si>
    <t xml:space="preserve">Per-peril split with Tweedie trees</t>
  </si>
  <si>
    <t xml:space="preserve">-0.00017 vs ITER 2.</t>
  </si>
  <si>
    <t xml:space="preserve">Motor -0.007, buildings +0.001, contents +0.002 (2024).</t>
  </si>
  <si>
    <t xml:space="preserve">Neutral / negative for motor</t>
  </si>
  <si>
    <t xml:space="preserve">Only for buildings / contents perils</t>
  </si>
  <si>
    <t xml:space="preserve">Claim-history features</t>
  </si>
  <si>
    <t xml:space="preserve">WENDY 4 (prior year), SAM 2 (policy, customer, address)</t>
  </si>
  <si>
    <t xml:space="preserve">Present in the two best submissions.</t>
  </si>
  <si>
    <t xml:space="preserve">Not isolated.</t>
  </si>
  <si>
    <t xml:space="preserve">Probably positive</t>
  </si>
  <si>
    <t xml:space="preserve">Yes - SAM 2 set is richer</t>
  </si>
  <si>
    <t xml:space="preserve">Group-drop test of hist_* in the common harness.</t>
  </si>
  <si>
    <t xml:space="preserve">Remove written_premium / drifting fields</t>
  </si>
  <si>
    <t xml:space="preserve">BEN 1, WENDY 4, SAM 2</t>
  </si>
  <si>
    <t xml:space="preserve">BEN 1 up vs ITER 2 despite the removal; WENDY 4 and SAM 2 exclude it.</t>
  </si>
  <si>
    <t xml:space="preserve">BEN 1 v2 (feature fixes) mixed: -0.005 to +0.002 by line and year; premium_index worth 0.003-0.007.</t>
  </si>
  <si>
    <t xml:space="preserve">Neutral to slightly negative locally, safer for 2025</t>
  </si>
  <si>
    <t xml:space="preserve">Yes; test premium_index as a challenger</t>
  </si>
  <si>
    <t xml:space="preserve">premium_index on / off in WENDY 4 and SAM 2.</t>
  </si>
  <si>
    <t xml:space="preserve">Time-fold tuning + monotone constraints</t>
  </si>
  <si>
    <t xml:space="preserve">BEN 1 v5</t>
  </si>
  <si>
    <t xml:space="preserve">Part of BEN 1's +0.00075.</t>
  </si>
  <si>
    <t xml:space="preserve">Motor 2023 +0.003, contents +0.004 / +0.002.</t>
  </si>
  <si>
    <t xml:space="preserve">High (measured)</t>
  </si>
  <si>
    <t xml:space="preserve">Expanding vs rolling window</t>
  </si>
  <si>
    <t xml:space="preserve">BEN 1 v6</t>
  </si>
  <si>
    <t xml:space="preserve">Expanding kept for the final fit.</t>
  </si>
  <si>
    <t xml:space="preserve">2024: +0.002 motor, +0.0035 buildings, +0.003 contents.</t>
  </si>
  <si>
    <t xml:space="preserve">Yes - fit on 2021-24</t>
  </si>
  <si>
    <t xml:space="preserve">Blend selected on the reported folds</t>
  </si>
  <si>
    <t xml:space="preserve">-0.00273 vs ITER 2.</t>
  </si>
  <si>
    <t xml:space="preserve">Best local 2023 of all (0.1071).</t>
  </si>
  <si>
    <t xml:space="preserve">Negative</t>
  </si>
  <si>
    <t xml:space="preserve">Choose weights on developed actuals and mostly the 2024 fold</t>
  </si>
  <si>
    <t xml:space="preserve">Hyper-parameter tuning per component (random search)</t>
  </si>
  <si>
    <t xml:space="preserve">WENDY 5 -0.00035 vs WENDY 4.</t>
  </si>
  <si>
    <t xml:space="preserve">Tuning gain per component in wendy_iteration_05/tuning_gain.csv.</t>
  </si>
  <si>
    <t xml:space="preserve">Neutral / slightly negative</t>
  </si>
  <si>
    <t xml:space="preserve">Low (one test, near noise)</t>
  </si>
  <si>
    <t xml:space="preserve">Light tuning only; defaults are close</t>
  </si>
  <si>
    <t xml:space="preserve">Compare WENDY 5 vs WENDY 4 per peril on the 2024 time fold.</t>
  </si>
  <si>
    <t xml:space="preserve">Method choice on policy-grouped CV over all years</t>
  </si>
  <si>
    <t xml:space="preserve">Part of WENDY 5's -0.00035.</t>
  </si>
  <si>
    <t xml:space="preserve">WENDY 5 card: group_cv vs time_2024 picks.</t>
  </si>
  <si>
    <t xml:space="preserve">Unclear</t>
  </si>
  <si>
    <t xml:space="preserve">Low</t>
  </si>
  <si>
    <t xml:space="preserve">Prefer time-based choice for 2025</t>
  </si>
  <si>
    <t xml:space="preserve">Count perils where group_cv and time_2024 pick different methods.</t>
  </si>
  <si>
    <t xml:space="preserve">Cleaning basis (2_clean vs SAM 2 cleaning)</t>
  </si>
  <si>
    <t xml:space="preserve">Pending.</t>
  </si>
  <si>
    <t xml:space="preserve">Pending - same folds as WENDY 4.</t>
  </si>
  <si>
    <t xml:space="preserve">Expected ~0</t>
  </si>
  <si>
    <t xml:space="preserve">Keep 2_clean unless the score moves beyond noise</t>
  </si>
  <si>
    <t xml:space="preserve">Public and per-peril D2 vs WENDY 4.</t>
  </si>
  <si>
    <t xml:space="preserve">IBNR as exposure offset (frequency) instead of inflated counts / targets - i.e. down-weighting immature years</t>
  </si>
  <si>
    <t xml:space="preserve">WENDY 4, SAM 3</t>
  </si>
  <si>
    <t xml:space="preserve">SAM 3 +0.00022 vs SAM 2 (same level); WENDY 4 +0.00447 vs BEN 1 (confounded).</t>
  </si>
  <si>
    <t xml:space="preserve">SAM 3 local ALL +0.0002 / -0.0002 / +0.0004 (2022-24) vs SAM 2.</t>
  </si>
  <si>
    <t xml:space="preserve">Positive, small</t>
  </si>
  <si>
    <t xml:space="preserve">Medium (two pipelines agree)</t>
  </si>
  <si>
    <t xml:space="preserve">Yes - standard for every frequency model</t>
  </si>
  <si>
    <t xml:space="preserve">Learner: H2O AutoML vs tuned XGBoost</t>
  </si>
  <si>
    <t xml:space="preserve">Pending - component_cv comparable with WENDY 5.</t>
  </si>
  <si>
    <t xml:space="preserve">Per peril: use whichever component deviance is lower</t>
  </si>
  <si>
    <t xml:space="preserve">comparison/component_cv.csv WENDY 5 vs 6.</t>
  </si>
  <si>
    <t xml:space="preserve">Greedy multi-model blend + bagging</t>
  </si>
  <si>
    <t xml:space="preserve">Best public, but confounded with level and history.</t>
  </si>
  <si>
    <t xml:space="preserve">Weights in sam_iteration_02/blend_weights.csv (not in zip).</t>
  </si>
  <si>
    <t xml:space="preserve">Yes, as the final combination method</t>
  </si>
  <si>
    <t xml:space="preserve">Compare blend vs its best single component on the common harness.</t>
  </si>
  <si>
    <t xml:space="preserve">Large-loss handling (claim caps, 2m outlier limit)</t>
  </si>
  <si>
    <t xml:space="preserve">Unknown</t>
  </si>
  <si>
    <t xml:space="preserve">Pick one: claim-level cap per peril + loading</t>
  </si>
  <si>
    <t xml:space="preserve">Cap quantile 0.99 / 0.995 / 0.999 sensitivity.</t>
  </si>
  <si>
    <t xml:space="preserve">Structural zeros, open-claim recoveries</t>
  </si>
  <si>
    <t xml:space="preserve">Small</t>
  </si>
  <si>
    <t xml:space="preserve">Yes (cheap, logical)</t>
  </si>
  <si>
    <t xml:space="preserve">local ALL 2023</t>
  </si>
  <si>
    <t xml:space="preserve">local ALL 2024</t>
  </si>
  <si>
    <t xml:space="preserve">basis</t>
  </si>
  <si>
    <t xml:space="preserve">rank public</t>
  </si>
  <si>
    <t xml:space="preserve">rank local 2023</t>
  </si>
  <si>
    <t xml:space="preserve">rank local 2024</t>
  </si>
  <si>
    <t xml:space="preserve">reported (re-score)</t>
  </si>
  <si>
    <t xml:space="preserve">Pearson public vs local 2024 (n = 9)</t>
  </si>
  <si>
    <t xml:space="preserve">Spearman public vs local 2024 (n = 9)</t>
  </si>
  <si>
    <t xml:space="preserve">Pearson public vs local 2023 (n = 7; WENDY 3 blank skipped)</t>
  </si>
  <si>
    <t xml:space="preserve">Reading</t>
  </si>
  <si>
    <t xml:space="preserve">Local 2024 ranks the submissions roughly like the public board; local 2023 does not (it favoured the GLMs). WENDY 4 and WENDY 5 use developed actuals (higher by construction). Only 9 points - indicative, not a test. Use 2024 (developed) as the main selection fold and 2023 as a stability check.</t>
  </si>
  <si>
    <t xml:space="preserve">variant</t>
  </si>
  <si>
    <t xml:space="preserve">change</t>
  </si>
  <si>
    <t xml:space="preserve">mean of 6</t>
  </si>
  <si>
    <t xml:space="preserve">motor change vs previous</t>
  </si>
  <si>
    <t xml:space="preserve">buildings change</t>
  </si>
  <si>
    <t xml:space="preserve">contents change</t>
  </si>
  <si>
    <t xml:space="preserve">v0</t>
  </si>
  <si>
    <t xml:space="preserve">ITER 2 setup, expanding window</t>
  </si>
  <si>
    <t xml:space="preserve">v1</t>
  </si>
  <si>
    <t xml:space="preserve">+ rolling 2-year window</t>
  </si>
  <si>
    <t xml:space="preserve">v2</t>
  </si>
  <si>
    <t xml:space="preserve">+ EDA feature fixes</t>
  </si>
  <si>
    <t xml:space="preserve">v3</t>
  </si>
  <si>
    <t xml:space="preserve">+ IBNR by peril</t>
  </si>
  <si>
    <t xml:space="preserve">v4</t>
  </si>
  <si>
    <t xml:space="preserve">+ trend to the scored year</t>
  </si>
  <si>
    <t xml:space="preserve">v5</t>
  </si>
  <si>
    <t xml:space="preserve">+ tuned on a time fold, monotone constraints</t>
  </si>
  <si>
    <t xml:space="preserve">v6</t>
  </si>
  <si>
    <t xml:space="preserve">v5 on the expanding window (selected all lines)</t>
  </si>
  <si>
    <t xml:space="preserve">line</t>
  </si>
  <si>
    <t xml:space="preserve">valid_year</t>
  </si>
  <si>
    <t xml:space="preserve">local D2</t>
  </si>
  <si>
    <t xml:space="preserve">actual basis</t>
  </si>
  <si>
    <t xml:space="preserve">source</t>
  </si>
  <si>
    <t xml:space="preserve">motor</t>
  </si>
  <si>
    <t xml:space="preserve">docs/workflow.md submission log</t>
  </si>
  <si>
    <t xml:space="preserve">buildings</t>
  </si>
  <si>
    <t xml:space="preserve">contents</t>
  </si>
  <si>
    <t xml:space="preserve">ALL</t>
  </si>
  <si>
    <t xml:space="preserve">WENDY 4 (reported re-score)</t>
  </si>
  <si>
    <t xml:space="preserve">reported (R/4_check_reported_w4.R)</t>
  </si>
  <si>
    <t xml:space="preserve">best mean 2023-24 (reported basis, excl. WENDY 4 / 5)</t>
  </si>
  <si>
    <t xml:space="preserve">best value</t>
  </si>
  <si>
    <t xml:space="preserve">starting hypothesis</t>
  </si>
  <si>
    <t xml:space="preserve">SAM 2 / WENDY 4 (public); ITER 1 GLM strong on 2023 -&gt; keep a GLM component</t>
  </si>
  <si>
    <t xml:space="preserve">SAM 2 / BEN 1 / WENDY 3 close; per-peril (WENDY 4, SAM 2 GLM) for fire / flood / subsidence</t>
  </si>
  <si>
    <t xml:space="preserve">WENDY 4 highest (developed basis) - confirm on common harness</t>
  </si>
  <si>
    <t xml:space="preserve">Mean of the 2023 and 2024 folds from Line_Scores. WENDY 3 and WENDY 5 = 2024 only. WENDY 4 and WENDY 5 are on developed actuals (shaded) and is excluded from 'best'. Re-score all on one basis before trusting this pick.</t>
  </si>
  <si>
    <t xml:space="preserve">peril</t>
  </si>
  <si>
    <t xml:space="preserve">claims 2021-24 (approx.)</t>
  </si>
  <si>
    <t xml:space="preserve">mean severity CU (approx.)</t>
  </si>
  <si>
    <t xml:space="preserve">W3_xgb_tweedie</t>
  </si>
  <si>
    <t xml:space="preserve">W4_freq_sev</t>
  </si>
  <si>
    <t xml:space="preserve">W4_tweedie</t>
  </si>
  <si>
    <t xml:space="preserve">SAM2_peril_glm</t>
  </si>
  <si>
    <t xml:space="preserve">SAM2_peril_lgb</t>
  </si>
  <si>
    <t xml:space="preserve">SAM2_peril_xgb</t>
  </si>
  <si>
    <t xml:space="preserve">W5_chosen</t>
  </si>
  <si>
    <t xml:space="preserve">W4s_chosen</t>
  </si>
  <si>
    <t xml:space="preserve">W6_freq_sev</t>
  </si>
  <si>
    <t xml:space="preserve">SAM3_peril_glm</t>
  </si>
  <si>
    <t xml:space="preserve">SAM3_peril_xgb</t>
  </si>
  <si>
    <t xml:space="preserve">NEW_1</t>
  </si>
  <si>
    <t xml:space="preserve">best component</t>
  </si>
  <si>
    <t xml:space="preserve">best mean D2</t>
  </si>
  <si>
    <t xml:space="preserve">own_damage</t>
  </si>
  <si>
    <t xml:space="preserve">Data-rich: GBM freq x GBM sev (WENDY 4) vs SAM 2 tree freq; recoveries matter</t>
  </si>
  <si>
    <t xml:space="preserve">third_party_prop</t>
  </si>
  <si>
    <t xml:space="preserve">Data-rich: WENDY 4 freq_sev or SAM 2 tree freq</t>
  </si>
  <si>
    <t xml:space="preserve">bodily_injury</t>
  </si>
  <si>
    <t xml:space="preserve">Long tail + 11.9m claim: GLM severity, latest year out of severity, consistent outlier rule</t>
  </si>
  <si>
    <t xml:space="preserve">theft</t>
  </si>
  <si>
    <t xml:space="preserve">Mid-size: GBM freq, GLM or GBM sev</t>
  </si>
  <si>
    <t xml:space="preserve">glass_hail</t>
  </si>
  <si>
    <t xml:space="preserve">Weather-driven frequency; small severity</t>
  </si>
  <si>
    <t xml:space="preserve">storm</t>
  </si>
  <si>
    <t xml:space="preserve">Weather-driven; WENDY 4 or SAM 2</t>
  </si>
  <si>
    <t xml:space="preserve">flood</t>
  </si>
  <si>
    <t xml:space="preserve">Sparse, hazard-driven: GLM / constrained GBM with flood_zone monotone</t>
  </si>
  <si>
    <t xml:space="preserve">escape_of_water</t>
  </si>
  <si>
    <t xml:space="preserve">Data-rich: GBM freq x GBM sev</t>
  </si>
  <si>
    <t xml:space="preserve">subsidence</t>
  </si>
  <si>
    <t xml:space="preserve">Sparse + long tail: GLM short list (SAM 2) or WENDY 4 GLM sev</t>
  </si>
  <si>
    <t xml:space="preserve">fire</t>
  </si>
  <si>
    <t xml:space="preserve">Sparsest + heaviest: GLM level, lower cap (0.99)</t>
  </si>
  <si>
    <t xml:space="preserve">accidental_damage</t>
  </si>
  <si>
    <t xml:space="preserve">Structural zero without AD cover</t>
  </si>
  <si>
    <t xml:space="preserve">Security level, high-value items</t>
  </si>
  <si>
    <t xml:space="preserve">GBM freq</t>
  </si>
  <si>
    <t xml:space="preserve">Sparse: GLM short list or WENDY 4 GLM sev</t>
  </si>
  <si>
    <t xml:space="preserve">Enter each candidate's D2 on ONE shared basis. Ready now: the 2024 time fold on developed actuals (fit 2021-23) - WENDY 4 / WENDY 4 SAM02-clean validation_by_peril.csv (valid_year 2024, chosen method), WENDY 5 / 6 comparison/peril_scores.csv (scheme time_2024). WENDY 3 and SAM 2 need re-scoring on that basis (Next_Steps #1). Claims and severities: profiling of 20 Oct 2026 (uncapped, approximate - verify). Peril scores cannot be read from line models (ITER 1, ITER 2, SAM 1, BEN 1).</t>
  </si>
  <si>
    <t xml:space="preserve">step</t>
  </si>
  <si>
    <t xml:space="preserve">detail</t>
  </si>
  <si>
    <t xml:space="preserve">linked items</t>
  </si>
  <si>
    <t xml:space="preserve">priority</t>
  </si>
  <si>
    <t xml:space="preserve">Shared scoring harness</t>
  </si>
  <si>
    <t xml:space="preserve">One R helper (e.g. R/oof_io.R): fixed folds 2023 / 2024 (fit on earlier years), D2 on reported AND developed actuals, d2 and d2_flat, Gini, A/E. Every script writes row-level OOF predictions per peril and line. WENDY 5/6 already write comparison/peril_scores.csv, line_scores.csv, component_cv.csv and test_preds_by_peril (wendy_core.R) - extend that format to the rest.</t>
  </si>
  <si>
    <t xml:space="preserve">CR01, CR02, CR24</t>
  </si>
  <si>
    <t xml:space="preserve">High</t>
  </si>
  <si>
    <t xml:space="preserve">Re-run every iteration through the harness</t>
  </si>
  <si>
    <t xml:space="preserve">ITER 2, BEN 1, WENDY 3, WENDY 4, SAM 2 at minimum (ITER 1 / SAM 1 as GLM references), with voluntary_excess in every frequency and severity model.</t>
  </si>
  <si>
    <t xml:space="preserve">Excess_Treatment gaps</t>
  </si>
  <si>
    <t xml:space="preserve">Fill Blend_Peril and Blend_Line</t>
  </si>
  <si>
    <t xml:space="preserve">Per peril: pick the best component (or a 2-3 model blend) on developed mean D2; per line: compare sum-of-perils vs line models.</t>
  </si>
  <si>
    <t xml:space="preserve">Separate shape from level</t>
  </si>
  <si>
    <t xml:space="preserve">Choose ranking components on calibrated D2, then set each line's 2025 level once (ultimate + trend), as SAM 2 does. Test level x0.9-1.1.</t>
  </si>
  <si>
    <t xml:space="preserve">Change_Levers #1</t>
  </si>
  <si>
    <t xml:space="preserve">Fix code issues before the final fit</t>
  </si>
  <si>
    <t xml:space="preserve">noise_probe (CR12), drift fields in SAM 2 (CR13), BEN 1 IBNR weighting (CR10), WENDY 4 replication (CR17).</t>
  </si>
  <si>
    <t xml:space="preserve">Code_Review</t>
  </si>
  <si>
    <t xml:space="preserve">Final blend script</t>
  </si>
  <si>
    <t xml:space="preserve">R/4_models_iterfinal01.R: loads the chosen fitted components, applies per-peril / per-line weights from this workbook, one level step, replication check, submission log row.</t>
  </si>
  <si>
    <t xml:space="preserve">Log every new submission</t>
  </si>
  <si>
    <t xml:space="preserve">Add a row in Iteration_Summary (rows 9-12) and in docs/workflow.md.</t>
  </si>
  <si>
    <t xml:space="preserve">Ongoing</t>
  </si>
  <si>
    <t xml:space="preserve">Bootstrap noise threshold for Submit_Gate</t>
  </si>
  <si>
    <t xml:space="preserve">Save row-level 2024 predictions of both models (same rows), then: library(data.table); set.seed(1); pol &lt;- unique(v$policy_id); d &lt;- replicate(200, { s &lt;- v[policy_id %in% sample(pol, replace = TRUE)]; d2(s$actual, s$pred_a, s$exposure) - d2(s$actual, s$pred_b, s$exposure) }); sd(d) = standard error; put 2 x sd(d) in Submit_Gate!B1. (Sampling policies with replacement and filtering keeps each policy once; a strict bootstrap would repeat drawn policies - verify the approach suits your D2 function.)</t>
  </si>
  <si>
    <t xml:space="preserve">Submit_Gate</t>
  </si>
  <si>
    <t xml:space="preserve">Noise threshold (local D2)</t>
  </si>
  <si>
    <t xml:space="preserve">Placeholder ASSUMPTION - replace with 2 x the bootstrap standard error of the paired D2 difference (R snippet in Next_Steps #8). Submit only when a candidate beats the comparator on the same fold and basis by more than this.</t>
  </si>
  <si>
    <t xml:space="preserve">candidate</t>
  </si>
  <si>
    <t xml:space="preserve">comparator</t>
  </si>
  <si>
    <t xml:space="preserve">fold</t>
  </si>
  <si>
    <t xml:space="preserve">candidate local D2 ALL</t>
  </si>
  <si>
    <t xml:space="preserve">comparator local D2 ALL</t>
  </si>
  <si>
    <t xml:space="preserve">difference</t>
  </si>
  <si>
    <t xml:space="preserve">decision</t>
  </si>
  <si>
    <t xml:space="preserve">note</t>
  </si>
  <si>
    <t xml:space="preserve">SAM 3 (best public)</t>
  </si>
  <si>
    <t xml:space="preserve">User re-run 22 Oct; SAM 3 from workflow.md</t>
  </si>
  <si>
    <t xml:space="preserve">Identical to 4 decimals - cleaning made no visible difference (confirm with the compare script)</t>
  </si>
  <si>
    <t xml:space="preserve">2023-24 mean</t>
  </si>
  <si>
    <t xml:space="preserve">Back-test: public WENDY 4 0.12671 &lt; SAM 3 0.12818 - same direction</t>
  </si>
  <si>
    <t xml:space="preserve">developed</t>
  </si>
  <si>
    <t xml:space="preserve">Back-test: public later fell -0.00035, so the gate would have saved this submission</t>
  </si>
  <si>
    <t xml:space="preserve">Back-test: public later rose +0.00022 (a tie in practice)</t>
  </si>
  <si>
    <t xml:space="preserve">WENDY 5 / WENDY 4</t>
  </si>
  <si>
    <t xml:space="preserve">Fill when the run finishes (comparison/line_scores.csv, scheme time_2024)</t>
  </si>
  <si>
    <t xml:space="preserve">model</t>
  </si>
  <si>
    <t xml:space="preserve">d2 (reported)</t>
  </si>
  <si>
    <t xml:space="preserve">d2_cal</t>
  </si>
  <si>
    <t xml:space="preserve">gini</t>
  </si>
  <si>
    <t xml:space="preserve">A/E developed</t>
  </si>
  <si>
    <t xml:space="preserve">mean d2_cal 2022-24</t>
  </si>
  <si>
    <t xml:space="preserve">mean d2 2022-24</t>
  </si>
  <si>
    <t xml:space="preserve">d2 2024</t>
  </si>
  <si>
    <t xml:space="preserve">blend weight</t>
  </si>
  <si>
    <t xml:space="preserve">blend</t>
  </si>
  <si>
    <t xml:space="preserve">peril_glm</t>
  </si>
  <si>
    <t xml:space="preserve">peril_lgb</t>
  </si>
  <si>
    <t xml:space="preserve">peril_xgb</t>
  </si>
  <si>
    <t xml:space="preserve">lgb_tweedie</t>
  </si>
  <si>
    <t xml:space="preserve">xgb_tweedie</t>
  </si>
  <si>
    <t xml:space="preserve">burn_cost</t>
  </si>
  <si>
    <t xml:space="preserve">legacy_glm</t>
  </si>
  <si>
    <t xml:space="preserve">burn_trend</t>
  </si>
  <si>
    <t xml:space="preserve">legacy_xgb</t>
  </si>
  <si>
    <t xml:space="preserve">peril_glm_notrend</t>
  </si>
  <si>
    <t xml:space="preserve">Source: sam_iteration_03_model_summary.xlsx (Validation, Blend weights). Reported actuals; d2_cal removes the level (ranking only). Legacy = SAM's replays of ITER 1 GLM / ITER 2 XGBoost on the same folds.</t>
  </si>
  <si>
    <t xml:space="preserve">WENDY 7 A0 (=WENDY 4, mid-date IBNR)</t>
  </si>
  <si>
    <t xml:space="preserve">reported_raw (local protocol)</t>
  </si>
  <si>
    <t xml:space="preserve">output/4_check_reported/wendy07_a0/line_scores.csv</t>
  </si>
  <si>
    <t xml:space="preserve">WENDY 7 A1 (IBNR over row days)</t>
  </si>
  <si>
    <t xml:space="preserve">output/4_check_reported/wendy07_a1/line_scores.csv</t>
  </si>
  <si>
    <t xml:space="preserve">WENDY 7 A2 (chain ladder)</t>
  </si>
  <si>
    <t xml:space="preserve">output/4_check_reported/wendy07_a2/line_scores.csv</t>
  </si>
  <si>
    <t xml:space="preserve">WENDY 7 B6 (excess all perils)</t>
  </si>
  <si>
    <t xml:space="preserve">output/4_check_reported/wendy07_b6/line_scores.csv</t>
  </si>
  <si>
    <t xml:space="preserve">WENDY 7 B4 (history v2)</t>
  </si>
  <si>
    <t xml:space="preserve">output/4_check_reported/wendy07_b4/line_scores.csv</t>
  </si>
  <si>
    <t xml:space="preserve">WENDY 7 C1 (CL+excess+history)</t>
  </si>
  <si>
    <t xml:space="preserve">output/4_check_reported/wendy07_c1/line_scores.csv</t>
  </si>
  <si>
    <t xml:space="preserve">WENDY 7 C2 (CL+excess)</t>
  </si>
  <si>
    <t xml:space="preserve">output/4_check_reported/wendy07_c2/line_scores.csv</t>
  </si>
  <si>
    <t xml:space="preserve">WENDY 7 C2 bag5</t>
  </si>
  <si>
    <t xml:space="preserve">output/4_check_reported/wendy07_c2bag5/line_scores.csv</t>
  </si>
  <si>
    <t xml:space="preserve">WENDY 7 C3 (C2 bag5, final fit)</t>
  </si>
  <si>
    <t xml:space="preserve">output/4_check_reported/wendy07_c3/line_scores.csv</t>
  </si>
  <si>
    <t xml:space="preserve">WENDY 7 C4 (C3 + BI no trend)</t>
  </si>
  <si>
    <t xml:space="preserve">output/4_check_reported/wendy07_c4/line_scores.csv</t>
  </si>
  <si>
    <t xml:space="preserve">WENDY 7 final (0.5 C4 + 0.5 SAM 3)</t>
  </si>
  <si>
    <t xml:space="preserve">output/4_check_reported/wendy07_final/line_scores.csv</t>
  </si>
  <si>
    <t xml:space="preserve">SAM 3 (rerun for WENDY 7 blend)</t>
  </si>
  <si>
    <t xml:space="preserve">output/4_check_reported/sam03/line_scores.csv</t>
  </si>
  <si>
    <t xml:space="preserve">Measured 22 Oct (R/4_compare_wendy07.R, 200 policy draws, mean 2023-24 reported_raw): 2 x bootstrap SE of the ALL difference is 0.0004-0.0011 depending on the pair; 0.0011 is the largest (WENDY 7 variants vs A0). Use each pair's own 2 x SE from output/4_check_reported/compare_wendy07_vs_*.csv where given.</t>
  </si>
  <si>
    <t xml:space="preserve">SAM 3 (best public, rerun)</t>
  </si>
  <si>
    <t xml:space="preserve">reported_raw</t>
  </si>
  <si>
    <t xml:space="preserve">Submit candidate - ask Wendy</t>
  </si>
  <si>
    <t xml:space="preserve">+0.00093 &gt; pair 2 x SE 0.00047, 100% of draws; cross-fold gain positive in 6/6; file submission_20261022_2135_wendy07_final.csv</t>
  </si>
  <si>
    <t xml:space="preserve">WENDY 7 C4 (alone)</t>
  </si>
  <si>
    <t xml:space="preserve">Hold - within noise</t>
  </si>
  <si>
    <t xml:space="preserve">Only worth submitting as part of the blend</t>
  </si>
  <si>
    <t xml:space="preserve">WENDY 7 A1</t>
  </si>
  <si>
    <t xml:space="preserve">WENDY 7 A0</t>
  </si>
  <si>
    <t xml:space="preserve">IBNR: judge on docs/wendy07_experiment_log.md step 6 backtest instead</t>
  </si>
  <si>
    <t xml:space="preserve">WENDY 7 A2</t>
  </si>
  <si>
    <t xml:space="preserve">IBNR: chain ladder adopted on the backtest, not on D2</t>
  </si>
  <si>
    <t xml:space="preserve">WENDY 7 B6</t>
  </si>
  <si>
    <t xml:space="preserve">Borderline (+0.00102 vs 0.00107), 100% of draws; kept in the final model</t>
  </si>
  <si>
    <t xml:space="preserve">Submitted #10 - public 0.12924 (+0.00106 vs SAM 3)</t>
  </si>
  <si>
    <t xml:space="preserve">WENDY 7 final2 (C5 x SAM 3)</t>
  </si>
  <si>
    <t xml:space="preserve">#10 WENDY 7 final (public 0.12924)</t>
  </si>
  <si>
    <t xml:space="preserve">+0.00074 &gt; pair 2 x SE 0.00051, 100% of draws; file submission_20261022_2328_wendy07_final2.csv</t>
  </si>
  <si>
    <t xml:space="preserve">WENDY 7 C5 (alone)</t>
  </si>
  <si>
    <t xml:space="preserve">Only as part of the blend</t>
  </si>
  <si>
    <t xml:space="preserve">WENDY 7 C5 (C4 + peril lab winners)</t>
  </si>
  <si>
    <t xml:space="preserve">output/4_check_reported/wendy07_c5/line_scores.csv</t>
  </si>
  <si>
    <t xml:space="preserve">output/4_check_reported/wendy07_final2/line_scores.csv</t>
  </si>
  <si>
    <t xml:space="preserve">On hold (Wendy, 23 Oct) - passes gate vs #10, not submitted</t>
  </si>
  <si>
    <t xml:space="preserve">MOTOR 1 (motor only)</t>
  </si>
  <si>
    <t xml:space="preserve">2026-10-23</t>
  </si>
  <si>
    <t xml:space="preserve">motor_only_20261023_1124_samlevel.csv (motor rows only)</t>
  </si>
  <si>
    <t xml:space="preserve">motor only, reported_raw (own folds)</t>
  </si>
  <si>
    <t xml:space="preserve">Per-peril spline GLM freq x sev, exposure x reported-share offset, feature ladder, credibility-shrunk severity, XGBoost Poisson freq</t>
  </si>
  <si>
    <t xml:space="preserve">2024 raw hurt by BI level (A/E 1.68 vs developed); ranking best so far (calibrated mean 0.0577)</t>
  </si>
  <si>
    <t xml:space="preserve">models/motor_iteration_01/model_card.md</t>
  </si>
  <si>
    <t xml:space="preserve">medium</t>
  </si>
  <si>
    <t xml:space="preserve">no</t>
  </si>
  <si>
    <t xml:space="preserve">WENDY 7 final2 + MOTOR 2 motor</t>
  </si>
  <si>
    <t xml:space="preserve">submission_20261023_wendy07_motor2_1359.csv</t>
  </si>
  <si>
    <t xml:space="preserve">n/a</t>
  </si>
  <si>
    <t xml:space="preserve">Motor rows of #11 replaced by MOTOR 2 run 1359 (BI freq pooled with TPP, BI severity on all years, own_damage no trend, blend with line Tweedie + iteration-1 GLM), rescaled to SAM 4 motor total</t>
  </si>
  <si>
    <t xml:space="preserve">Level +6% (571.6 -&gt; 607.4) mixed with ranking change; loss not attributable to ranking alone</t>
  </si>
  <si>
    <t xml:space="preserve">public -0.00038 vs #11</t>
  </si>
  <si>
    <t xml:space="preserve">low</t>
  </si>
  <si>
    <t xml:space="preserve">-0.00038 vs WENDY 7 final2</t>
  </si>
  <si>
    <t xml:space="preserve">-0.00038</t>
  </si>
  <si>
    <t xml:space="preserve">WENDY 9 + MOTOR 2 (pre-cred, m 0.5)</t>
  </si>
  <si>
    <t xml:space="preserve">~16:40</t>
  </si>
  <si>
    <t xml:space="preserve">submission_20261023_1636_w9_motor2_pre_m0.5.csv</t>
  </si>
  <si>
    <t xml:space="preserve">reported_raw, Wendy protocol (W9 panel)</t>
  </si>
  <si>
    <t xml:space="preserve">WENDY 9 with motor line blend 0.5 x W9 line blend + 0.5 x MOTOR 2 (W9 motor total) before WENDY 8 credibility</t>
  </si>
  <si>
    <t xml:space="preserve">Better motor ranking locally (+0.0016 all lines, both folds) but MOTOR 2 settings were chosen on the same folds</t>
  </si>
  <si>
    <t xml:space="preserve">output/6_blend_w9_motor2/w9_motor2_grid.csv; public +0.00001 vs W9</t>
  </si>
  <si>
    <t xml:space="preserve">low (within public noise)</t>
  </si>
  <si>
    <t xml:space="preserve">+0.00001 vs WENDY 9 (0.12964)</t>
  </si>
  <si>
    <t xml:space="preserve">+0.00001</t>
  </si>
  <si>
    <t xml:space="preserve">yes (by 0.00001, noise)</t>
  </si>
  <si>
    <t xml:space="preserve">WENDY 9 + MOTOR 2 per peril + dispersion k</t>
  </si>
  <si>
    <t xml:space="preserve">~17:10</t>
  </si>
  <si>
    <t xml:space="preserve">submission_20261023_1707_w9_per_peril_m2_k.csv</t>
  </si>
  <si>
    <t xml:space="preserve">reported_raw, Wendy protocol (approx.: W9 + local gain)</t>
  </si>
  <si>
    <t xml:space="preserve">MOTOR 2 per motor peril (0.25/1/1/0.25/1) + dispersion q^k per line (0.95/1.10/0.95), all tuned on 2023-24 folds</t>
  </si>
  <si>
    <t xml:space="preserve">Weights and k chosen on the scoring folds (overfit); public is a different 33% sample</t>
  </si>
  <si>
    <t xml:space="preserve">R/6_w9_calib_stack.R; public -0.00139</t>
  </si>
  <si>
    <t xml:space="preserve">-0.00139 vs 0.12965</t>
  </si>
  <si>
    <t xml:space="preserve">-0.00139</t>
  </si>
  <si>
    <t xml:space="preserve">0.12965 file + buildings dispersion k 1.075</t>
  </si>
  <si>
    <t xml:space="preserve">~20:15</t>
  </si>
  <si>
    <t xml:space="preserve">submission_20261023_2010_w9_motor2_m0.5_bk1.075.csv</t>
  </si>
  <si>
    <t xml:space="preserve">reported_raw, Wendy protocol</t>
  </si>
  <si>
    <t xml:space="preserve">Buildings predictions stretched q^1.075 (ranks and totals kept)</t>
  </si>
  <si>
    <t xml:space="preserve">Local z 3.5 but public -0.00077: reported_raw folds do not predict public for post-hoc calibration</t>
  </si>
  <si>
    <t xml:space="preserve">R/6_w9_buildings_k.R</t>
  </si>
  <si>
    <t xml:space="preserve">-0.00077 vs 0.12965</t>
  </si>
  <si>
    <t xml:space="preserve">-0.00077</t>
  </si>
  <si>
    <t xml:space="preserve">MOTOR 3 (in 0.12965 pipeline)</t>
  </si>
  <si>
    <t xml:space="preserve">motor3_only_20261023_1936.csv</t>
  </si>
  <si>
    <t xml:space="preserve">MOTOR 2 frozen + split claim history (collision / other, years since last collision)</t>
  </si>
  <si>
    <t xml:space="preserve">Strong univariate signal but already in hist_pol_n</t>
  </si>
  <si>
    <t xml:space="preserve">R/6_w9_ab_motor3.R: +0.00002 (SE 0.00002)</t>
  </si>
  <si>
    <t xml:space="preserve">high (no gain)</t>
  </si>
  <si>
    <t xml:space="preserve">MOTOR 4 candidate A (in 0.12965 pipeline)</t>
  </si>
  <si>
    <t xml:space="preserve">submission_20261023_2059_w9_m2_motor04_A_FAIL.csv</t>
  </si>
  <si>
    <t xml:space="preserve">reported_raw all lines; motor also developed</t>
  </si>
  <si>
    <t xml:space="preserve">W9 LightGBM recipes on MOTOR features: TPP LGB-from-GLM, BI MOTOR 2 GLM, theft LGB (w 1), GH GLM 0.25; rescaled to W9 peril totals</t>
  </si>
  <si>
    <t xml:space="preserve">Better per-peril ranking (BI, TPP) but held-out 2024 developed gain only +0.00018 (SE 0.00041)</t>
  </si>
  <si>
    <t xml:space="preserve">R/6_w9_motor04_eval.R (choices on 2023, decision on 2024)</t>
  </si>
  <si>
    <t xml:space="preserve">low (fails held-out rule)</t>
  </si>
  <si>
    <t xml:space="preserve">MOTOR 5 (BI GAM)</t>
  </si>
  <si>
    <t xml:space="preserve">developed / reported, as MOTOR 4</t>
  </si>
  <si>
    <t xml:space="preserve">mgcv bam Poisson GAM for BI frequency (own / pooled with TPP / mix)</t>
  </si>
  <si>
    <t xml:space="preserve">Smooths shrink to linear; spline GLM already captures the shape</t>
  </si>
  <si>
    <t xml:space="preserve">BI peril D2 2023: GAM 0.0698 vs GLM 0.0705</t>
  </si>
  <si>
    <t xml:space="preserve">0.12965</t>
  </si>
  <si>
    <t xml:space="preserve">Post-hoc dispersion stretch q^k</t>
  </si>
  <si>
    <t xml:space="preserve">0.12826 / 0.12888 files</t>
  </si>
  <si>
    <t xml:space="preserve">Negative (-0.0014 with per-peril weights; -0.0008 buildings alone)</t>
  </si>
  <si>
    <t xml:space="preserve">Positive (buildings +0.0004, z 3.5)</t>
  </si>
  <si>
    <t xml:space="preserve">Hurts</t>
  </si>
  <si>
    <t xml:space="preserve">No</t>
  </si>
  <si>
    <t xml:space="preserve">Per-peril re-weighting tuned on the folds</t>
  </si>
  <si>
    <t xml:space="preserve">0.12826 file, MOTOR 4</t>
  </si>
  <si>
    <t xml:space="preserve">Negative (-0.0014)</t>
  </si>
  <si>
    <t xml:space="preserve">Positive (+0.002); MOTOR 4 held-out 2024 only +0.0002 developed</t>
  </si>
  <si>
    <t xml:space="preserve">Hurts / neutral</t>
  </si>
  <si>
    <t xml:space="preserve">Only with a held-out year and a &gt; 2 SE rule</t>
  </si>
  <si>
    <t xml:space="preserve">Penalised GAM for motor BI frequency</t>
  </si>
  <si>
    <t xml:space="preserve">MOTOR 5</t>
  </si>
  <si>
    <t xml:space="preserve">Not submitted</t>
  </si>
  <si>
    <t xml:space="preserve">None (GAM below spline GLM on 2023)</t>
  </si>
  <si>
    <t xml:space="preserve">Neutral</t>
  </si>
  <si>
    <t xml:space="preserve">MOTOR 4 candidate A</t>
  </si>
  <si>
    <t xml:space="preserve">0.12965 file (W9 + MOTOR 2 m 0.5)</t>
  </si>
  <si>
    <t xml:space="preserve">developed (motor) / reported_raw (all lines)</t>
  </si>
  <si>
    <t xml:space="preserve">2024 held out (choices made on 2023)</t>
  </si>
  <si>
    <t xml:space="preserve">Hold - fails held-out rule</t>
  </si>
  <si>
    <t xml:space="preserve">Motor developed gain +0.00018, SE 0.00041; reported +0.00086, SE 0.00031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</si>
</sst>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General"/>
    <numFmt numFmtId="165" formatCode="0.00000"/>
    <numFmt numFmtId="166" formatCode="0.0000"/>
    <numFmt numFmtId="167" formatCode="0.000"/>
    <numFmt numFmtId="168" formatCode="#,##0.00"/>
    <numFmt numFmtId="169" formatCode="\+0.00000;\-0.00000;0"/>
    <numFmt numFmtId="170" formatCode="0.00"/>
    <numFmt numFmtId="171" formatCode="\+0.0000;\-0.0000;0"/>
    <numFmt numFmtId="172" formatCode="#,##0"/>
  </numFmts>
  <fonts count="7">
    <font>
      <sz val="11"/>
      <color theme="1"/>
      <name val="Calibri"/>
      <family val="2"/>
      <charset val="1"/>
    </font>
    <font>
      <sz val="14"/>
      <color theme="1"/>
      <name val="Arial"/>
      <b/>
    </font>
    <font>
      <sz val="10"/>
      <color theme="1"/>
      <name val="Arial"/>
      <b/>
    </font>
    <font>
      <sz val="10"/>
      <color theme="1"/>
      <name val="Arial"/>
    </font>
    <font>
      <sz val="10"/>
      <color rgb="FF0000FF"/>
      <name val="Arial"/>
    </font>
    <font>
      <sz val="11"/>
      <color theme="1"/>
      <name val="Calibri"/>
    </font>
    <font>
      <sz val="10"/>
      <color rgb="FFFFFFFF"/>
      <name val="Arial"/>
      <b/>
    </font>
  </fonts>
  <fills count="5">
    <fill>
      <patternFill patternType="none"/>
    </fill>
    <fill>
      <patternFill patternType="gray125"/>
    </fill>
    <fill>
      <patternFill patternType="solid">
        <fgColor rgb="FFFFF2CC"/>
        <bgColor rgb="FFFCE4D6"/>
      </patternFill>
    </fill>
    <fill>
      <patternFill patternType="solid">
        <fgColor rgb="FF1F3864"/>
        <bgColor rgb="FF333333"/>
      </patternFill>
    </fill>
    <fill>
      <patternFill patternType="solid">
        <fgColor rgb="FFFCE4D6"/>
        <bgColor rgb="FFFFF2CC"/>
      </patternFill>
    </fill>
  </fills>
  <borders count="1">
    <border>
      <left/>
      <right/>
      <top/>
      <bottom/>
      <diagonal/>
    </border>
  </borders>
  <cellStyleXfs count="1">
    <xf numFmtId="0" fontId="0" fillId="0" borderId="0"/>
  </cellStyleXfs>
  <cellXfs count="24">
    <xf numFmtId="0" fontId="0" fillId="0" borderId="0" xfId="0"/>
    <xf numFmtId="164" fontId="1" fillId="0" borderId="0" xfId="0" applyFont="1" applyNumberFormat="1" applyAlignment="1" applyProtection="1">
      <alignment textRotation="0" horizontal="general" vertical="bottom" indent="0"/>
      <protection hidden="0" locked="0"/>
    </xf>
    <xf numFmtId="164" fontId="2" fillId="0" borderId="0" xfId="0" applyFont="1" applyNumberFormat="1" applyAlignment="1" applyProtection="1">
      <alignment textRotation="0" horizontal="general" vertical="top" indent="0" wrapText="1"/>
      <protection hidden="0" locked="0"/>
    </xf>
    <xf numFmtId="164" fontId="3" fillId="0" borderId="0" xfId="0" applyFont="1" applyNumberFormat="1" applyAlignment="1" applyProtection="1">
      <alignment textRotation="0" horizontal="general" vertical="top" indent="0" wrapText="1"/>
      <protection hidden="0" locked="0"/>
    </xf>
    <xf numFmtId="165" fontId="4" fillId="2" borderId="0" xfId="0" applyFont="1" applyNumberFormat="1" applyFill="1" applyAlignment="1" applyProtection="1">
      <alignment textRotation="0" horizontal="general" vertical="top" indent="0" wrapText="1"/>
      <protection hidden="0" locked="0"/>
    </xf>
    <xf numFmtId="166" fontId="4" fillId="2" borderId="0" xfId="0" applyFont="1" applyNumberFormat="1" applyFill="1" applyAlignment="1" applyProtection="1">
      <alignment textRotation="0" horizontal="general" vertical="top" indent="0" wrapText="1"/>
      <protection hidden="0" locked="0"/>
    </xf>
    <xf numFmtId="167" fontId="4" fillId="2" borderId="0" xfId="0" applyFont="1" applyNumberFormat="1" applyFill="1" applyAlignment="1" applyProtection="1">
      <alignment textRotation="0" horizontal="general" vertical="top" indent="0" wrapText="1"/>
      <protection hidden="0" locked="0"/>
    </xf>
    <xf numFmtId="168" fontId="4" fillId="2" borderId="0" xfId="0" applyFont="1" applyNumberFormat="1" applyFill="1" applyAlignment="1" applyProtection="1">
      <alignment textRotation="0" horizontal="general" vertical="top" indent="0" wrapText="1"/>
      <protection hidden="0" locked="0"/>
    </xf>
    <xf numFmtId="164" fontId="2" fillId="0" borderId="0" xfId="0" applyFont="1" applyNumberFormat="1" applyAlignment="1" applyProtection="1">
      <alignment textRotation="0" horizontal="general" vertical="bottom" indent="0"/>
      <protection hidden="0" locked="0"/>
    </xf>
    <xf numFmtId="165" fontId="5" fillId="0" borderId="0" xfId="0" applyFont="1" applyNumberFormat="1" applyAlignment="1" applyProtection="1">
      <alignment textRotation="0" horizontal="general" vertical="bottom" indent="0"/>
      <protection hidden="0" locked="0"/>
    </xf>
    <xf numFmtId="164" fontId="5" fillId="0" borderId="0" xfId="0" applyFont="1" applyNumberFormat="1" applyAlignment="1" applyProtection="1">
      <alignment textRotation="0" horizontal="general" vertical="bottom" indent="0"/>
      <protection hidden="0" locked="0"/>
    </xf>
    <xf numFmtId="164" fontId="6" fillId="3" borderId="0" xfId="0" applyFont="1" applyNumberFormat="1" applyFill="1" applyAlignment="1" applyProtection="1">
      <alignment textRotation="0" horizontal="center" vertical="center" indent="0" wrapText="1"/>
      <protection hidden="0" locked="0"/>
    </xf>
    <xf numFmtId="165" fontId="3" fillId="0" borderId="0" xfId="0" applyFont="1" applyNumberFormat="1" applyAlignment="1" applyProtection="1">
      <alignment textRotation="0" horizontal="general" vertical="top" indent="0" wrapText="1"/>
      <protection hidden="0" locked="0"/>
    </xf>
    <xf numFmtId="166" fontId="3" fillId="0" borderId="0" xfId="0" applyFont="1" applyNumberFormat="1" applyAlignment="1" applyProtection="1">
      <alignment textRotation="0" horizontal="general" vertical="top" indent="0" wrapText="1"/>
      <protection hidden="0" locked="0"/>
    </xf>
    <xf numFmtId="167" fontId="3" fillId="0" borderId="0" xfId="0" applyFont="1" applyNumberFormat="1" applyAlignment="1" applyProtection="1">
      <alignment textRotation="0" horizontal="general" vertical="top" indent="0" wrapText="1"/>
      <protection hidden="0" locked="0"/>
    </xf>
    <xf numFmtId="168" fontId="3" fillId="0" borderId="0" xfId="0" applyFont="1" applyNumberFormat="1" applyAlignment="1" applyProtection="1">
      <alignment textRotation="0" horizontal="general" vertical="top" indent="0" wrapText="1"/>
      <protection hidden="0" locked="0"/>
    </xf>
    <xf numFmtId="169" fontId="3" fillId="0" borderId="0" xfId="0" applyFont="1" applyNumberFormat="1" applyAlignment="1" applyProtection="1">
      <alignment textRotation="0" horizontal="general" vertical="top" indent="0" wrapText="1"/>
      <protection hidden="0" locked="0"/>
    </xf>
    <xf numFmtId="164" fontId="4" fillId="2" borderId="0" xfId="0" applyFont="1" applyNumberFormat="1" applyFill="1" applyAlignment="1" applyProtection="1">
      <alignment textRotation="0" horizontal="general" vertical="top" indent="0" wrapText="1"/>
      <protection hidden="0" locked="0"/>
    </xf>
    <xf numFmtId="170" fontId="3" fillId="0" borderId="0" xfId="0" applyFont="1" applyNumberFormat="1" applyAlignment="1" applyProtection="1">
      <alignment textRotation="0" horizontal="general" vertical="bottom" indent="0"/>
      <protection hidden="0" locked="0"/>
    </xf>
    <xf numFmtId="164" fontId="3" fillId="0" borderId="0" xfId="0" applyFont="1" applyNumberFormat="1" applyAlignment="1" applyProtection="1">
      <alignment textRotation="0" horizontal="general" vertical="bottom" indent="0"/>
      <protection hidden="0" locked="0"/>
    </xf>
    <xf numFmtId="171" fontId="3" fillId="0" borderId="0" xfId="0" applyFont="1" applyNumberFormat="1" applyAlignment="1" applyProtection="1">
      <alignment textRotation="0" horizontal="general" vertical="top" indent="0" wrapText="1"/>
      <protection hidden="0" locked="0"/>
    </xf>
    <xf numFmtId="166" fontId="3" fillId="4" borderId="0" xfId="0" applyFont="1" applyNumberFormat="1" applyFill="1" applyAlignment="1" applyProtection="1">
      <alignment textRotation="0" horizontal="general" vertical="top" indent="0" wrapText="1"/>
      <protection hidden="0" locked="0"/>
    </xf>
    <xf numFmtId="172" fontId="3" fillId="0" borderId="0" xfId="0" applyFont="1" applyNumberFormat="1" applyAlignment="1" applyProtection="1">
      <alignment textRotation="0" horizontal="general" vertical="top" indent="0" wrapText="1"/>
      <protection hidden="0" locked="0"/>
    </xf>
    <xf numFmtId="166" fontId="4" fillId="2" borderId="0" xfId="0" applyFont="1" applyNumberFormat="1" applyFill="1" applyAlignment="1" applyProtection="1">
      <alignment textRotation="0" horizontal="general" vertical="bottom" indent="0"/>
      <protection hidden="0" locked="0"/>
    </xf>
  </cellXfs>
  <cellStyles count="1">
    <cellStyle name="Normal" xfId="0" builtinId="0"/>
  </cellStyles>
  <dxfs count="6">
    <dxf>
      <fill>
        <patternFill patternType="solid">
          <fgColor rgb="FF1F3864"/>
          <bgColor rgb="FF000000"/>
        </patternFill>
      </fill>
    </dxf>
    <dxf>
      <fill>
        <patternFill patternType="solid">
          <fgColor rgb="FFFFF2CC"/>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0" baseColWidth="10" outlineLevelCol="0"/>
  <cols>
    <col min="1" max="1" width="26" hidden="false" outlineLevel="0" customWidth="1"/>
    <col min="2" max="2" width="110" hidden="false" outlineLevel="0" customWidth="1"/>
  </cols>
  <sheetData>
    <row r="1" ht="17.35" customHeight="1">
      <c r="A1" s="1" t="s">
        <v>0</v>
      </c>
    </row>
    <row r="2" ht="23.85" customHeight="1">
      <c r="A2" s="2" t="s">
        <v>1</v>
      </c>
      <c r="B2" s="3" t="s">
        <v>2</v>
      </c>
    </row>
    <row r="3" ht="15" customHeight="1">
      <c r="A3" s="2" t="s">
        <v>3</v>
      </c>
      <c r="B3" s="3" t="s">
        <v>4</v>
      </c>
    </row>
    <row r="4" ht="23.85" customHeight="1">
      <c r="A4" s="2" t="s">
        <v>5</v>
      </c>
      <c r="B4" s="3" t="s">
        <v>6</v>
      </c>
    </row>
    <row r="5" ht="35.05" customHeight="1">
      <c r="A5" s="2" t="s">
        <v>7</v>
      </c>
      <c r="B5" s="3" t="s">
        <v>8</v>
      </c>
    </row>
    <row r="6" ht="23.85" customHeight="1">
      <c r="A6" s="2" t="s">
        <v>9</v>
      </c>
      <c r="B6" s="3" t="s">
        <v>10</v>
      </c>
    </row>
    <row r="7" ht="35.05" customHeight="1">
      <c r="A7" s="2" t="s">
        <v>11</v>
      </c>
      <c r="B7" s="3" t="s">
        <v>12</v>
      </c>
    </row>
    <row r="8" ht="15" customHeight="1">
      <c r="A8" s="2" t="s">
        <v>13</v>
      </c>
      <c r="B8" s="3" t="s">
        <v>14</v>
      </c>
    </row>
  </sheetData>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RowHeight="15.0" baseColWidth="10" outlineLevelCol="0"/>
  <cols>
    <col min="1" max="1" width="4" hidden="false" outlineLevel="0" customWidth="1"/>
    <col min="2" max="2" width="10" hidden="false" outlineLevel="0" customWidth="1"/>
    <col min="3" max="3" width="11" hidden="false" outlineLevel="0" customWidth="1"/>
    <col min="4" max="4" width="8" hidden="false" outlineLevel="0" customWidth="1"/>
    <col min="5" max="5" width="30" hidden="false" outlineLevel="0" customWidth="1"/>
    <col min="6" max="6" width="10" hidden="false" outlineLevel="0" customWidth="1"/>
    <col min="7" max="7" width="9" hidden="false" outlineLevel="0" customWidth="1"/>
    <col min="8" max="8" width="9" hidden="false" outlineLevel="0" customWidth="1"/>
    <col min="9" max="9" width="9" hidden="false" outlineLevel="0" customWidth="1"/>
    <col min="10" max="10" width="12" hidden="false" outlineLevel="0" customWidth="1"/>
    <col min="11" max="11" width="8" hidden="false" outlineLevel="0" customWidth="1"/>
    <col min="12" max="12" width="8" hidden="false" outlineLevel="0" customWidth="1"/>
    <col min="13" max="13" width="8" hidden="false" outlineLevel="0" customWidth="1"/>
    <col min="14" max="14" width="8" hidden="false" outlineLevel="0" customWidth="1"/>
    <col min="15" max="15" width="8" hidden="false" outlineLevel="0" customWidth="1"/>
    <col min="16" max="16" width="8" hidden="false" outlineLevel="0" customWidth="1"/>
    <col min="17" max="17" width="10" hidden="false" outlineLevel="0" customWidth="1"/>
    <col min="18" max="18" width="10" hidden="false" outlineLevel="0" customWidth="1"/>
    <col min="19" max="19" width="10" hidden="false" outlineLevel="0" customWidth="1"/>
    <col min="20" max="20" width="40" hidden="false" outlineLevel="0" customWidth="1"/>
    <col min="21" max="21" width="60" hidden="false" outlineLevel="0" customWidth="1"/>
    <col min="22" max="22" width="44" hidden="false" outlineLevel="0" customWidth="1"/>
    <col min="23" max="23" width="12" hidden="false" outlineLevel="0" customWidth="1"/>
    <col min="24" max="24" width="12" hidden="false" outlineLevel="0" customWidth="1"/>
    <col min="25" max="25" width="12" hidden="false" outlineLevel="0" customWidth="1"/>
    <col min="26" max="26" width="9" hidden="false" outlineLevel="0" customWidth="1"/>
    <col min="27" max="27" width="7" hidden="false" outlineLevel="0" customWidth="1"/>
  </cols>
  <sheetData>
    <row r="1" ht="30" customHeight="1">
      <c r="A1" s="11" t="s">
        <v>15</v>
      </c>
      <c r="B1" s="11" t="s">
        <v>16</v>
      </c>
      <c r="C1" s="11" t="s">
        <v>17</v>
      </c>
      <c r="D1" s="11" t="s">
        <v>18</v>
      </c>
      <c r="E1" s="11" t="s">
        <v>19</v>
      </c>
      <c r="F1" s="11" t="s">
        <v>20</v>
      </c>
      <c r="G1" s="11" t="s">
        <v>21</v>
      </c>
      <c r="H1" s="11" t="s">
        <v>22</v>
      </c>
      <c r="I1" s="11" t="s">
        <v>23</v>
      </c>
      <c r="J1" s="11" t="s">
        <v>24</v>
      </c>
      <c r="K1" s="11" t="s">
        <v>25</v>
      </c>
      <c r="L1" s="11" t="s">
        <v>26</v>
      </c>
      <c r="M1" s="11" t="s">
        <v>27</v>
      </c>
      <c r="N1" s="11" t="s">
        <v>28</v>
      </c>
      <c r="O1" s="11" t="s">
        <v>29</v>
      </c>
      <c r="P1" s="11" t="s">
        <v>30</v>
      </c>
      <c r="Q1" s="11" t="s">
        <v>31</v>
      </c>
      <c r="R1" s="11" t="s">
        <v>32</v>
      </c>
      <c r="S1" s="11" t="s">
        <v>33</v>
      </c>
      <c r="T1" s="11" t="s">
        <v>34</v>
      </c>
      <c r="U1" s="11" t="s">
        <v>35</v>
      </c>
      <c r="V1" s="11" t="s">
        <v>36</v>
      </c>
      <c r="W1" s="11" t="s">
        <v>37</v>
      </c>
      <c r="X1" s="11" t="s">
        <v>38</v>
      </c>
      <c r="Y1" s="11" t="s">
        <v>39</v>
      </c>
      <c r="Z1" s="11" t="s">
        <v>40</v>
      </c>
      <c r="AA1" s="11" t="s">
        <v>41</v>
      </c>
    </row>
    <row r="2" ht="23.85" customHeight="1">
      <c r="A2" s="3" t="n">
        <v>1</v>
      </c>
      <c r="B2" s="3" t="s">
        <v>42</v>
      </c>
      <c r="C2" s="3" t="s">
        <v>43</v>
      </c>
      <c r="D2" s="3" t="s">
        <v>44</v>
      </c>
      <c r="E2" s="3" t="s">
        <v>45</v>
      </c>
      <c r="F2" s="12" t="n">
        <v>0.11904</v>
      </c>
      <c r="G2" s="13"/>
      <c r="H2" s="13" t="n">
        <v>0.1055</v>
      </c>
      <c r="I2" s="13" t="n">
        <v>0.0944</v>
      </c>
      <c r="J2" s="3" t="s">
        <v>46</v>
      </c>
      <c r="K2" s="14" t="n">
        <v>0.055</v>
      </c>
      <c r="L2" s="14" t="n">
        <v>0.045</v>
      </c>
      <c r="M2" s="14" t="n">
        <v>0.062</v>
      </c>
      <c r="N2" s="14" t="n">
        <v>0.066</v>
      </c>
      <c r="O2" s="14" t="n">
        <v>0.062</v>
      </c>
      <c r="P2" s="14" t="n">
        <v>0.061</v>
      </c>
      <c r="Q2" s="15" t="n">
        <v>518.12</v>
      </c>
      <c r="R2" s="15" t="n">
        <v>425.08</v>
      </c>
      <c r="S2" s="15" t="n">
        <v>113.2</v>
      </c>
      <c r="T2" s="3" t="s">
        <v>47</v>
      </c>
      <c r="U2" s="3" t="s">
        <v>48</v>
      </c>
      <c r="V2" s="3" t="s">
        <v>49</v>
      </c>
      <c r="W2" s="3" t="s">
        <v>50</v>
      </c>
      <c r="X2" s="16" t="s">
        <v>50</v>
      </c>
      <c r="Y2" s="16" t="s">
        <v>50</v>
      </c>
      <c r="Z2" s="3" t="s">
        <v>51</v>
      </c>
      <c r="AA2" s="3" t="n">
        <f aca="false">IF(F2="","",RANK(F2,$F$2:$F$16))</f>
        <v>8</v>
      </c>
    </row>
    <row r="3" ht="35.05" customHeight="1">
      <c r="A3" s="3" t="n">
        <v>2</v>
      </c>
      <c r="B3" s="3" t="s">
        <v>52</v>
      </c>
      <c r="C3" s="3" t="s">
        <v>53</v>
      </c>
      <c r="D3" s="3" t="s">
        <v>54</v>
      </c>
      <c r="E3" s="3" t="s">
        <v>55</v>
      </c>
      <c r="F3" s="12" t="n">
        <v>0.12149</v>
      </c>
      <c r="G3" s="13"/>
      <c r="H3" s="13" t="n">
        <v>0.0997</v>
      </c>
      <c r="I3" s="13" t="n">
        <v>0.0973</v>
      </c>
      <c r="J3" s="3" t="s">
        <v>46</v>
      </c>
      <c r="K3" s="14" t="n">
        <v>0.038</v>
      </c>
      <c r="L3" s="14" t="n">
        <v>0.05</v>
      </c>
      <c r="M3" s="14" t="n">
        <v>0.07</v>
      </c>
      <c r="N3" s="14" t="n">
        <v>0.071</v>
      </c>
      <c r="O3" s="14" t="n">
        <v>0.06</v>
      </c>
      <c r="P3" s="14" t="n">
        <v>0.057</v>
      </c>
      <c r="Q3" s="15" t="n">
        <v>498.8</v>
      </c>
      <c r="R3" s="15" t="n">
        <v>434.25</v>
      </c>
      <c r="S3" s="15" t="n">
        <v>119.13</v>
      </c>
      <c r="T3" s="3" t="s">
        <v>56</v>
      </c>
      <c r="U3" s="3" t="s">
        <v>57</v>
      </c>
      <c r="V3" s="3" t="s">
        <v>58</v>
      </c>
      <c r="W3" s="3" t="s">
        <v>59</v>
      </c>
      <c r="X3" s="16" t="n">
        <f aca="false">IF(OR(F3="",F2=""),"",F3-F2)</f>
        <v>0.00244999999999999</v>
      </c>
      <c r="Y3" s="16" t="n">
        <f aca="false">IF(F3="","",F3-MAX(F$2:F2))</f>
        <v>0.00244999999999999</v>
      </c>
      <c r="Z3" s="3" t="str">
        <f aca="false">IF(F3="","",IF(F3&gt;MAX(F$2:F2),"Yes","No"))</f>
        <v>Yes</v>
      </c>
      <c r="AA3" s="3" t="n">
        <f aca="false">IF(F3="","",RANK(F3,$F$2:$F$16))</f>
        <v>6</v>
      </c>
    </row>
    <row r="4" ht="46.25" customHeight="1">
      <c r="A4" s="3" t="n">
        <v>3</v>
      </c>
      <c r="B4" s="3" t="s">
        <v>60</v>
      </c>
      <c r="C4" s="3" t="s">
        <v>53</v>
      </c>
      <c r="D4" s="3" t="s">
        <v>61</v>
      </c>
      <c r="E4" s="3" t="s">
        <v>62</v>
      </c>
      <c r="F4" s="12" t="n">
        <v>0.11876</v>
      </c>
      <c r="G4" s="13"/>
      <c r="H4" s="13" t="n">
        <v>0.1071</v>
      </c>
      <c r="I4" s="13" t="n">
        <v>0.0959</v>
      </c>
      <c r="J4" s="3" t="s">
        <v>46</v>
      </c>
      <c r="K4" s="14" t="n">
        <v>0.056</v>
      </c>
      <c r="L4" s="14" t="n">
        <v>0.045</v>
      </c>
      <c r="M4" s="14" t="n">
        <v>0.065</v>
      </c>
      <c r="N4" s="14" t="n">
        <v>0.07</v>
      </c>
      <c r="O4" s="14" t="n">
        <v>0.064</v>
      </c>
      <c r="P4" s="14" t="n">
        <v>0.062</v>
      </c>
      <c r="Q4" s="15" t="n">
        <v>518.12</v>
      </c>
      <c r="R4" s="15" t="n">
        <v>411.79</v>
      </c>
      <c r="S4" s="15" t="n">
        <v>111.8</v>
      </c>
      <c r="T4" s="3" t="s">
        <v>63</v>
      </c>
      <c r="U4" s="3" t="s">
        <v>64</v>
      </c>
      <c r="V4" s="3" t="s">
        <v>65</v>
      </c>
      <c r="W4" s="3" t="s">
        <v>59</v>
      </c>
      <c r="X4" s="16" t="n">
        <f aca="false">IF(OR(F4="",F3=""),"",F4-F3)</f>
        <v>-0.00273</v>
      </c>
      <c r="Y4" s="16" t="n">
        <f aca="false">IF(F4="","",F4-MAX(F$2:F3))</f>
        <v>-0.00273</v>
      </c>
      <c r="Z4" s="3" t="str">
        <f aca="false">IF(F4="","",IF(F4&gt;MAX(F$2:F3),"Yes","No"))</f>
        <v>No</v>
      </c>
      <c r="AA4" s="3" t="n">
        <f aca="false">IF(F4="","",RANK(F4,$F$2:$F$16))</f>
        <v>9</v>
      </c>
    </row>
    <row r="5" ht="35.05" customHeight="1">
      <c r="A5" s="3" t="n">
        <v>4</v>
      </c>
      <c r="B5" s="3" t="s">
        <v>66</v>
      </c>
      <c r="C5" s="3" t="s">
        <v>53</v>
      </c>
      <c r="D5" s="3" t="s">
        <v>67</v>
      </c>
      <c r="E5" s="3" t="s">
        <v>68</v>
      </c>
      <c r="F5" s="12" t="n">
        <v>0.12132</v>
      </c>
      <c r="G5" s="13"/>
      <c r="H5" s="13"/>
      <c r="I5" s="13" t="n">
        <v>0.0954</v>
      </c>
      <c r="J5" s="3" t="s">
        <v>69</v>
      </c>
      <c r="K5" s="14"/>
      <c r="L5" s="14" t="n">
        <v>0.043</v>
      </c>
      <c r="M5" s="14"/>
      <c r="N5" s="14" t="n">
        <v>0.072</v>
      </c>
      <c r="O5" s="14"/>
      <c r="P5" s="14" t="n">
        <v>0.059</v>
      </c>
      <c r="Q5" s="15"/>
      <c r="R5" s="15"/>
      <c r="S5" s="15"/>
      <c r="T5" s="3" t="s">
        <v>70</v>
      </c>
      <c r="U5" s="3" t="s">
        <v>71</v>
      </c>
      <c r="V5" s="3" t="s">
        <v>72</v>
      </c>
      <c r="W5" s="3" t="s">
        <v>59</v>
      </c>
      <c r="X5" s="16" t="n">
        <f aca="false">IF(OR(F5="",F4=""),"",F5-F4)</f>
        <v>0.00255999999999999</v>
      </c>
      <c r="Y5" s="16" t="n">
        <f aca="false">IF(F5="","",F5-MAX(F$2:F4))</f>
        <v>-0.000170000000000003</v>
      </c>
      <c r="Z5" s="3" t="str">
        <f aca="false">IF(F5="","",IF(F5&gt;MAX(F$2:F4),"Yes","No"))</f>
        <v>No</v>
      </c>
      <c r="AA5" s="3" t="n">
        <f aca="false">IF(F5="","",RANK(F5,$F$2:$F$16))</f>
        <v>7</v>
      </c>
    </row>
    <row r="6" ht="35.05" customHeight="1">
      <c r="A6" s="3" t="n">
        <v>5</v>
      </c>
      <c r="B6" s="3" t="s">
        <v>73</v>
      </c>
      <c r="C6" s="3" t="s">
        <v>53</v>
      </c>
      <c r="D6" s="3" t="s">
        <v>54</v>
      </c>
      <c r="E6" s="3" t="s">
        <v>74</v>
      </c>
      <c r="F6" s="12" t="n">
        <v>0.12224</v>
      </c>
      <c r="G6" s="13"/>
      <c r="H6" s="13" t="n">
        <v>0.1</v>
      </c>
      <c r="I6" s="13" t="n">
        <v>0.0998</v>
      </c>
      <c r="J6" s="3" t="s">
        <v>46</v>
      </c>
      <c r="K6" s="14" t="n">
        <v>0.038</v>
      </c>
      <c r="L6" s="14" t="n">
        <v>0.051</v>
      </c>
      <c r="M6" s="14" t="n">
        <v>0.069</v>
      </c>
      <c r="N6" s="14" t="n">
        <v>0.073</v>
      </c>
      <c r="O6" s="14" t="n">
        <v>0.062</v>
      </c>
      <c r="P6" s="14" t="n">
        <v>0.062</v>
      </c>
      <c r="Q6" s="15"/>
      <c r="R6" s="15"/>
      <c r="S6" s="15"/>
      <c r="T6" s="3" t="s">
        <v>75</v>
      </c>
      <c r="U6" s="3" t="s">
        <v>76</v>
      </c>
      <c r="V6" s="3" t="s">
        <v>77</v>
      </c>
      <c r="W6" s="3" t="s">
        <v>78</v>
      </c>
      <c r="X6" s="16" t="n">
        <f aca="false">IF(OR(F6="",F5=""),"",F6-F5)</f>
        <v>0.000920000000000004</v>
      </c>
      <c r="Y6" s="16" t="n">
        <f aca="false">IF(F6="","",F6-MAX(F$2:F5))</f>
        <v>0.000750000000000001</v>
      </c>
      <c r="Z6" s="3" t="str">
        <f aca="false">IF(F6="","",IF(F6&gt;MAX(F$2:F5),"Yes","No"))</f>
        <v>Yes</v>
      </c>
      <c r="AA6" s="3" t="n">
        <f aca="false">IF(F6="","",RANK(F6,$F$2:$F$16))</f>
        <v>5</v>
      </c>
    </row>
    <row r="7" ht="102.2" customHeight="1">
      <c r="A7" s="3" t="n">
        <v>6</v>
      </c>
      <c r="B7" s="3" t="s">
        <v>79</v>
      </c>
      <c r="C7" s="3" t="s">
        <v>80</v>
      </c>
      <c r="D7" s="3" t="s">
        <v>81</v>
      </c>
      <c r="E7" s="3" t="s">
        <v>82</v>
      </c>
      <c r="F7" s="12" t="n">
        <v>0.12671</v>
      </c>
      <c r="G7" s="13"/>
      <c r="H7" s="13" t="n">
        <v>0.1053</v>
      </c>
      <c r="I7" s="13" t="n">
        <v>0.1045</v>
      </c>
      <c r="J7" s="3" t="s">
        <v>83</v>
      </c>
      <c r="K7" s="14" t="n">
        <v>0.051</v>
      </c>
      <c r="L7" s="14" t="n">
        <v>0.055</v>
      </c>
      <c r="M7" s="14" t="n">
        <v>0.07</v>
      </c>
      <c r="N7" s="14" t="n">
        <v>0.071</v>
      </c>
      <c r="O7" s="14" t="n">
        <v>0.07</v>
      </c>
      <c r="P7" s="14" t="n">
        <v>0.064</v>
      </c>
      <c r="Q7" s="15"/>
      <c r="R7" s="15"/>
      <c r="S7" s="15"/>
      <c r="T7" s="3" t="s">
        <v>84</v>
      </c>
      <c r="U7" s="3" t="s">
        <v>85</v>
      </c>
      <c r="V7" s="3" t="s">
        <v>86</v>
      </c>
      <c r="W7" s="3" t="s">
        <v>59</v>
      </c>
      <c r="X7" s="16" t="n">
        <f aca="false">IF(OR(F7="",F6=""),"",F7-F6)</f>
        <v>0.00446999999999999</v>
      </c>
      <c r="Y7" s="16" t="n">
        <f aca="false">IF(F7="","",F7-MAX(F$2:F6))</f>
        <v>0.00446999999999999</v>
      </c>
      <c r="Z7" s="3" t="str">
        <f aca="false">IF(F7="","",IF(F7&gt;MAX(F$2:F6),"Yes","No"))</f>
        <v>Yes</v>
      </c>
      <c r="AA7" s="3" t="n">
        <f aca="false">IF(F7="","",RANK(F7,$F$2:$F$16))</f>
        <v>3</v>
      </c>
    </row>
    <row r="8" ht="46.25" customHeight="1">
      <c r="A8" s="3" t="n">
        <v>7</v>
      </c>
      <c r="B8" s="3" t="s">
        <v>87</v>
      </c>
      <c r="C8" s="3" t="s">
        <v>80</v>
      </c>
      <c r="D8" s="3" t="s">
        <v>54</v>
      </c>
      <c r="E8" s="3" t="s">
        <v>88</v>
      </c>
      <c r="F8" s="12" t="n">
        <v>0.12796</v>
      </c>
      <c r="G8" s="13" t="n">
        <v>0.1143</v>
      </c>
      <c r="H8" s="13" t="n">
        <v>0.1045</v>
      </c>
      <c r="I8" s="13" t="n">
        <v>0.0982</v>
      </c>
      <c r="J8" s="3" t="s">
        <v>46</v>
      </c>
      <c r="K8" s="14" t="n">
        <v>0.049</v>
      </c>
      <c r="L8" s="14" t="n">
        <v>0.046</v>
      </c>
      <c r="M8" s="14" t="n">
        <v>0.071</v>
      </c>
      <c r="N8" s="14" t="n">
        <v>0.071</v>
      </c>
      <c r="O8" s="14" t="n">
        <v>0.066</v>
      </c>
      <c r="P8" s="14" t="n">
        <v>0.067</v>
      </c>
      <c r="Q8" s="15" t="n">
        <v>604.13</v>
      </c>
      <c r="R8" s="15" t="n">
        <v>487.37</v>
      </c>
      <c r="S8" s="15" t="n">
        <v>125.14</v>
      </c>
      <c r="T8" s="3" t="s">
        <v>89</v>
      </c>
      <c r="U8" s="3" t="s">
        <v>90</v>
      </c>
      <c r="V8" s="3" t="s">
        <v>91</v>
      </c>
      <c r="W8" s="3" t="s">
        <v>59</v>
      </c>
      <c r="X8" s="16" t="n">
        <f aca="false">IF(OR(F8="",F7=""),"",F8-F7)</f>
        <v>0.00125</v>
      </c>
      <c r="Y8" s="16" t="n">
        <f aca="false">IF(F8="","",F8-MAX(F$2:F7))</f>
        <v>0.00125</v>
      </c>
      <c r="Z8" s="3" t="str">
        <f aca="false">IF(F8="","",IF(F8&gt;MAX(F$2:F7),"Yes","No"))</f>
        <v>Yes</v>
      </c>
      <c r="AA8" s="3" t="n">
        <f aca="false">IF(F8="","",RANK(F8,$F$2:$F$16))</f>
        <v>2</v>
      </c>
    </row>
    <row r="9" ht="91" customHeight="1">
      <c r="A9" s="3" t="n">
        <v>8</v>
      </c>
      <c r="B9" s="3" t="s">
        <v>92</v>
      </c>
      <c r="C9" s="3" t="s">
        <v>80</v>
      </c>
      <c r="D9" s="3" t="s">
        <v>54</v>
      </c>
      <c r="E9" s="3" t="s">
        <v>93</v>
      </c>
      <c r="F9" s="12" t="n">
        <v>0.12636</v>
      </c>
      <c r="G9" s="13"/>
      <c r="H9" s="13"/>
      <c r="I9" s="13" t="n">
        <v>0.1025</v>
      </c>
      <c r="J9" s="3" t="s">
        <v>94</v>
      </c>
      <c r="K9" s="14"/>
      <c r="L9" s="14" t="n">
        <v>0.052</v>
      </c>
      <c r="M9" s="14"/>
      <c r="N9" s="14" t="n">
        <v>0.069</v>
      </c>
      <c r="O9" s="14"/>
      <c r="P9" s="14" t="n">
        <v>0.063</v>
      </c>
      <c r="Q9" s="15"/>
      <c r="R9" s="15"/>
      <c r="S9" s="15"/>
      <c r="T9" s="3" t="s">
        <v>95</v>
      </c>
      <c r="U9" s="3" t="s">
        <v>96</v>
      </c>
      <c r="V9" s="3" t="s">
        <v>97</v>
      </c>
      <c r="W9" s="3" t="s">
        <v>59</v>
      </c>
      <c r="X9" s="16" t="n">
        <f aca="false">IF(OR(F9="",F8=""),"",F9-F8)</f>
        <v>-0.00159999999999999</v>
      </c>
      <c r="Y9" s="16" t="n">
        <f aca="false">IF(F9="","",F9-MAX(F$2:F8))</f>
        <v>-0.00159999999999999</v>
      </c>
      <c r="Z9" s="3" t="str">
        <f aca="false">IF(F9="","",IF(F9&gt;MAX(F$2:F8),"Yes","No"))</f>
        <v>No</v>
      </c>
      <c r="AA9" s="3" t="n">
        <f aca="false">IF(F9="","",RANK(F9,$F$2:$F$16))</f>
        <v>4</v>
      </c>
    </row>
    <row r="10" ht="57.45" customHeight="1">
      <c r="A10" s="3" t="n">
        <v>9</v>
      </c>
      <c r="B10" s="3" t="s">
        <v>98</v>
      </c>
      <c r="C10" s="3" t="s">
        <v>80</v>
      </c>
      <c r="D10" s="3" t="s">
        <v>99</v>
      </c>
      <c r="E10" s="3" t="s">
        <v>100</v>
      </c>
      <c r="F10" s="12" t="n">
        <v>0.12818</v>
      </c>
      <c r="G10" s="13" t="n">
        <v>0.1145</v>
      </c>
      <c r="H10" s="13" t="n">
        <v>0.1043</v>
      </c>
      <c r="I10" s="13" t="n">
        <v>0.0986</v>
      </c>
      <c r="J10" s="3" t="s">
        <v>46</v>
      </c>
      <c r="K10" s="14" t="n">
        <v>0.043</v>
      </c>
      <c r="L10" s="14" t="n">
        <v>0.047</v>
      </c>
      <c r="M10" s="14" t="n">
        <v>0.071</v>
      </c>
      <c r="N10" s="14" t="n">
        <v>0.075</v>
      </c>
      <c r="O10" s="14" t="n">
        <v>0.071</v>
      </c>
      <c r="P10" s="14" t="n">
        <v>0.064</v>
      </c>
      <c r="Q10" s="15" t="n">
        <v>603.26</v>
      </c>
      <c r="R10" s="15" t="n">
        <v>487.44</v>
      </c>
      <c r="S10" s="15" t="n">
        <v>125.17</v>
      </c>
      <c r="T10" s="3" t="s">
        <v>101</v>
      </c>
      <c r="U10" s="3" t="s">
        <v>102</v>
      </c>
      <c r="V10" s="3" t="s">
        <v>103</v>
      </c>
      <c r="W10" s="3" t="s">
        <v>104</v>
      </c>
      <c r="X10" s="16" t="n">
        <f aca="false">IF(OR(F10="",F9=""),"",F10-F9)</f>
        <v>0.00181999999999999</v>
      </c>
      <c r="Y10" s="16" t="n">
        <f aca="false">IF(F10="","",F10-MAX(F$2:F9))</f>
        <v>0.000219999999999998</v>
      </c>
      <c r="Z10" s="3" t="str">
        <f aca="false">IF(F10="","",IF(F10&gt;MAX(F$2:F9),"Yes","No"))</f>
        <v>Yes</v>
      </c>
      <c r="AA10" s="3" t="n">
        <f aca="false">IF(F10="","",RANK(F10,$F$2:$F$16))</f>
        <v>1</v>
      </c>
    </row>
    <row r="11" ht="91" customHeight="1">
      <c r="A11" s="3" t="n">
        <v>10</v>
      </c>
      <c r="B11" s="3" t="s">
        <v>105</v>
      </c>
      <c r="C11" s="3" t="s">
        <v>106</v>
      </c>
      <c r="D11" s="3"/>
      <c r="E11" s="3" t="s">
        <v>107</v>
      </c>
      <c r="F11" s="12"/>
      <c r="G11" s="13"/>
      <c r="H11" s="13"/>
      <c r="I11" s="13" t="n">
        <v>0.0988</v>
      </c>
      <c r="J11" s="3" t="s">
        <v>69</v>
      </c>
      <c r="K11" s="14"/>
      <c r="L11" s="14" t="n">
        <v>0.0491</v>
      </c>
      <c r="M11" s="14"/>
      <c r="N11" s="14" t="n">
        <v>0.0727</v>
      </c>
      <c r="O11" s="14"/>
      <c r="P11" s="14" t="n">
        <v>0.0637</v>
      </c>
      <c r="Q11" s="15"/>
      <c r="R11" s="15"/>
      <c r="S11" s="15"/>
      <c r="T11" s="3" t="s">
        <v>108</v>
      </c>
      <c r="U11" s="3" t="s">
        <v>109</v>
      </c>
      <c r="V11" s="3" t="s">
        <v>110</v>
      </c>
      <c r="W11" s="3" t="s">
        <v>50</v>
      </c>
      <c r="X11" s="16" t="str">
        <f aca="false">IF(OR(F11="",F10=""),"",F11-F10)</f>
        <v/>
      </c>
      <c r="Y11" s="16" t="str">
        <f aca="false">IF(F11="","",F11-MAX(F$2:F10))</f>
        <v/>
      </c>
      <c r="Z11" s="3" t="str">
        <f aca="false">IF(F11="","",IF(F11&gt;MAX(F$2:F10),"Yes","No"))</f>
        <v/>
      </c>
      <c r="AA11" s="3" t="str">
        <f aca="false">IF(F11="","",RANK(F11,$F$2:$F$16))</f>
        <v/>
      </c>
    </row>
    <row r="12" ht="35.05" customHeight="1">
      <c r="A12" s="17" t="n">
        <v>11</v>
      </c>
      <c r="B12" s="17" t="s">
        <v>111</v>
      </c>
      <c r="C12" s="17" t="s">
        <v>112</v>
      </c>
      <c r="D12" s="17"/>
      <c r="E12" s="17" t="s">
        <v>113</v>
      </c>
      <c r="F12" s="4"/>
      <c r="G12" s="5"/>
      <c r="H12" s="5"/>
      <c r="I12" s="5"/>
      <c r="J12" s="17" t="s">
        <v>83</v>
      </c>
      <c r="K12" s="6"/>
      <c r="L12" s="6"/>
      <c r="M12" s="6"/>
      <c r="N12" s="6"/>
      <c r="O12" s="6"/>
      <c r="P12" s="6"/>
      <c r="Q12" s="7"/>
      <c r="R12" s="7"/>
      <c r="S12" s="7"/>
      <c r="T12" s="17" t="s">
        <v>114</v>
      </c>
      <c r="U12" s="17" t="s">
        <v>115</v>
      </c>
      <c r="V12" s="17" t="s">
        <v>116</v>
      </c>
      <c r="W12" s="17" t="s">
        <v>50</v>
      </c>
      <c r="X12" s="16" t="str">
        <f aca="false">IF(OR(F12="",F11=""),"",F12-F11)</f>
        <v/>
      </c>
      <c r="Y12" s="16" t="str">
        <f aca="false">IF(F12="","",F12-MAX(F$2:F11))</f>
        <v/>
      </c>
      <c r="Z12" s="3" t="str">
        <f aca="false">IF(F12="","",IF(F12&gt;MAX(F$2:F11),"Yes","No"))</f>
        <v/>
      </c>
      <c r="AA12" s="3" t="str">
        <f aca="false">IF(F12="","",RANK(F12,$F$2:$F$16))</f>
        <v/>
      </c>
    </row>
    <row r="13" ht="15" customHeight="1">
      <c r="A13" s="17" t="s">
        <v>50</v>
      </c>
      <c r="B13" s="17" t="s">
        <v>437</v>
      </c>
      <c r="C13" s="17" t="s">
        <v>438</v>
      </c>
      <c r="D13" s="17" t="s">
        <v>106</v>
      </c>
      <c r="E13" s="17" t="s">
        <v>439</v>
      </c>
      <c r="F13" s="4"/>
      <c r="G13" s="5"/>
      <c r="H13" s="5"/>
      <c r="I13" s="5"/>
      <c r="J13" s="17" t="s">
        <v>440</v>
      </c>
      <c r="K13" s="6" t="n">
        <v>0.0501</v>
      </c>
      <c r="L13" s="6" t="n">
        <v>0.0377</v>
      </c>
      <c r="M13" s="6"/>
      <c r="N13" s="6"/>
      <c r="O13" s="6"/>
      <c r="P13" s="6"/>
      <c r="Q13" s="7" t="n">
        <v>607.4</v>
      </c>
      <c r="R13" s="7"/>
      <c r="S13" s="7"/>
      <c r="T13" s="17" t="s">
        <v>441</v>
      </c>
      <c r="U13" s="17" t="s">
        <v>442</v>
      </c>
      <c r="V13" s="17" t="s">
        <v>443</v>
      </c>
      <c r="W13" s="17" t="s">
        <v>444</v>
      </c>
      <c r="X13" s="16"/>
      <c r="Y13" s="16"/>
      <c r="Z13" s="3" t="s">
        <v>445</v>
      </c>
      <c r="AA13" s="3"/>
    </row>
    <row r="14" ht="15" customHeight="1">
      <c r="A14" s="17" t="s">
        <v>50</v>
      </c>
      <c r="B14" s="17" t="s">
        <v>446</v>
      </c>
      <c r="C14" s="17" t="s">
        <v>438</v>
      </c>
      <c r="D14" s="17" t="s">
        <v>54</v>
      </c>
      <c r="E14" s="17" t="s">
        <v>447</v>
      </c>
      <c r="F14" s="4" t="n">
        <v>0.12887</v>
      </c>
      <c r="G14" s="5"/>
      <c r="H14" s="5"/>
      <c r="I14" s="5"/>
      <c r="J14" s="17" t="s">
        <v>448</v>
      </c>
      <c r="K14" s="6" t="n">
        <v>0.0539</v>
      </c>
      <c r="L14" s="6" t="n">
        <v>0.0534</v>
      </c>
      <c r="M14" s="6"/>
      <c r="N14" s="6"/>
      <c r="O14" s="6"/>
      <c r="P14" s="6"/>
      <c r="Q14" s="7" t="n">
        <v>607.4</v>
      </c>
      <c r="R14" s="7"/>
      <c r="S14" s="7"/>
      <c r="T14" s="17" t="s">
        <v>449</v>
      </c>
      <c r="U14" s="17" t="s">
        <v>450</v>
      </c>
      <c r="V14" s="17" t="s">
        <v>451</v>
      </c>
      <c r="W14" s="17" t="s">
        <v>452</v>
      </c>
      <c r="X14" s="16" t="s">
        <v>453</v>
      </c>
      <c r="Y14" s="16" t="s">
        <v>454</v>
      </c>
      <c r="Z14" s="3" t="s">
        <v>445</v>
      </c>
      <c r="AA14" s="3"/>
    </row>
    <row r="15" ht="15" customHeight="1">
      <c r="A15" s="17" t="s">
        <v>50</v>
      </c>
      <c r="B15" s="17" t="s">
        <v>455</v>
      </c>
      <c r="C15" s="17" t="s">
        <v>438</v>
      </c>
      <c r="D15" s="17" t="s">
        <v>456</v>
      </c>
      <c r="E15" s="17" t="s">
        <v>457</v>
      </c>
      <c r="F15" s="4" t="n">
        <v>0.12965</v>
      </c>
      <c r="G15" s="5"/>
      <c r="H15" s="5" t="n">
        <v>0.1092</v>
      </c>
      <c r="I15" s="5" t="n">
        <v>0.1029</v>
      </c>
      <c r="J15" s="17" t="s">
        <v>458</v>
      </c>
      <c r="K15" s="6" t="n">
        <v>0.0505</v>
      </c>
      <c r="L15" s="6" t="n">
        <v>0.0542</v>
      </c>
      <c r="M15" s="6"/>
      <c r="N15" s="6"/>
      <c r="O15" s="6"/>
      <c r="P15" s="6"/>
      <c r="Q15" s="7" t="n">
        <v>555.7</v>
      </c>
      <c r="R15" s="7"/>
      <c r="S15" s="7"/>
      <c r="T15" s="17" t="s">
        <v>459</v>
      </c>
      <c r="U15" s="17" t="s">
        <v>460</v>
      </c>
      <c r="V15" s="17" t="s">
        <v>461</v>
      </c>
      <c r="W15" s="17" t="s">
        <v>462</v>
      </c>
      <c r="X15" s="16" t="s">
        <v>463</v>
      </c>
      <c r="Y15" s="16" t="s">
        <v>464</v>
      </c>
      <c r="Z15" s="3" t="s">
        <v>465</v>
      </c>
      <c r="AA15" s="3"/>
    </row>
    <row r="16" ht="15" customHeight="1">
      <c r="A16" s="17" t="s">
        <v>50</v>
      </c>
      <c r="B16" s="17" t="s">
        <v>466</v>
      </c>
      <c r="C16" s="17" t="s">
        <v>438</v>
      </c>
      <c r="D16" s="17" t="s">
        <v>467</v>
      </c>
      <c r="E16" s="17" t="s">
        <v>468</v>
      </c>
      <c r="F16" s="4" t="n">
        <v>0.12826</v>
      </c>
      <c r="G16" s="5"/>
      <c r="H16" s="5" t="n">
        <v>0.1091</v>
      </c>
      <c r="I16" s="5" t="n">
        <v>0.1039</v>
      </c>
      <c r="J16" s="17" t="s">
        <v>469</v>
      </c>
      <c r="K16" s="6"/>
      <c r="L16" s="6"/>
      <c r="M16" s="6"/>
      <c r="N16" s="6"/>
      <c r="O16" s="6"/>
      <c r="P16" s="6"/>
      <c r="Q16" s="7"/>
      <c r="R16" s="7"/>
      <c r="S16" s="7"/>
      <c r="T16" s="17" t="s">
        <v>470</v>
      </c>
      <c r="U16" s="17" t="s">
        <v>471</v>
      </c>
      <c r="V16" s="17" t="s">
        <v>472</v>
      </c>
      <c r="W16" s="17" t="s">
        <v>452</v>
      </c>
      <c r="X16" s="16" t="s">
        <v>473</v>
      </c>
      <c r="Y16" s="16" t="s">
        <v>474</v>
      </c>
      <c r="Z16" s="3" t="s">
        <v>445</v>
      </c>
      <c r="AA16" s="3"/>
    </row>
    <row r="17">
      <c r="A17" t="s">
        <v>50</v>
      </c>
      <c r="B17" t="s">
        <v>475</v>
      </c>
      <c r="C17" t="s">
        <v>438</v>
      </c>
      <c r="D17" t="s">
        <v>476</v>
      </c>
      <c r="E17" t="s">
        <v>477</v>
      </c>
      <c r="F17" t="n">
        <v>0.12888</v>
      </c>
      <c r="G17"/>
      <c r="H17" t="n">
        <v>0.1095</v>
      </c>
      <c r="I17" t="n">
        <v>0.1034</v>
      </c>
      <c r="J17" t="s">
        <v>478</v>
      </c>
      <c r="K17"/>
      <c r="L17"/>
      <c r="M17"/>
      <c r="N17"/>
      <c r="O17"/>
      <c r="P17"/>
      <c r="Q17"/>
      <c r="R17"/>
      <c r="S17"/>
      <c r="T17" t="s">
        <v>479</v>
      </c>
      <c r="U17" t="s">
        <v>480</v>
      </c>
      <c r="V17" t="s">
        <v>481</v>
      </c>
      <c r="W17" t="s">
        <v>452</v>
      </c>
      <c r="X17" t="s">
        <v>482</v>
      </c>
      <c r="Y17" t="s">
        <v>483</v>
      </c>
      <c r="Z17" t="s">
        <v>445</v>
      </c>
      <c r="AA17"/>
    </row>
    <row r="18" ht="15" customHeight="1">
      <c r="A18" t="s">
        <v>50</v>
      </c>
      <c r="B18" t="s">
        <v>484</v>
      </c>
      <c r="C18" t="s">
        <v>438</v>
      </c>
      <c r="D18" t="s">
        <v>106</v>
      </c>
      <c r="E18" s="8" t="s">
        <v>485</v>
      </c>
      <c r="F18" s="9"/>
      <c r="G18"/>
      <c r="H18"/>
      <c r="I18"/>
      <c r="J18" t="s">
        <v>478</v>
      </c>
      <c r="K18"/>
      <c r="L18"/>
      <c r="M18"/>
      <c r="N18"/>
      <c r="O18"/>
      <c r="P18"/>
      <c r="Q18"/>
      <c r="R18"/>
      <c r="S18"/>
      <c r="T18" t="s">
        <v>486</v>
      </c>
      <c r="U18" t="s">
        <v>487</v>
      </c>
      <c r="V18" t="s">
        <v>488</v>
      </c>
      <c r="W18" t="s">
        <v>489</v>
      </c>
      <c r="X18"/>
      <c r="Y18"/>
      <c r="Z18" t="s">
        <v>445</v>
      </c>
      <c r="AA18"/>
    </row>
    <row r="19" ht="15" customHeight="1">
      <c r="A19" t="s">
        <v>50</v>
      </c>
      <c r="B19" t="s">
        <v>490</v>
      </c>
      <c r="C19" t="s">
        <v>438</v>
      </c>
      <c r="D19" t="s">
        <v>106</v>
      </c>
      <c r="E19" s="8" t="s">
        <v>491</v>
      </c>
      <c r="F19"/>
      <c r="G19"/>
      <c r="H19" t="n">
        <v>0.10977</v>
      </c>
      <c r="I19" t="n">
        <v>0.10327</v>
      </c>
      <c r="J19" t="s">
        <v>492</v>
      </c>
      <c r="K19" t="n">
        <v>0.05179</v>
      </c>
      <c r="L19" t="n">
        <v>0.05503</v>
      </c>
      <c r="M19"/>
      <c r="N19"/>
      <c r="O19"/>
      <c r="P19"/>
      <c r="Q19" t="n">
        <v>555.7</v>
      </c>
      <c r="R19"/>
      <c r="S19"/>
      <c r="T19" t="s">
        <v>493</v>
      </c>
      <c r="U19" t="s">
        <v>494</v>
      </c>
      <c r="V19" t="s">
        <v>495</v>
      </c>
      <c r="W19" t="s">
        <v>496</v>
      </c>
      <c r="X19"/>
      <c r="Y19"/>
      <c r="Z19" t="s">
        <v>445</v>
      </c>
      <c r="AA19"/>
    </row>
    <row r="20" ht="15" customHeight="1">
      <c r="A20" t="s">
        <v>50</v>
      </c>
      <c r="B20" t="s">
        <v>497</v>
      </c>
      <c r="C20" t="s">
        <v>438</v>
      </c>
      <c r="D20" t="s">
        <v>106</v>
      </c>
      <c r="E20" s="8" t="s">
        <v>50</v>
      </c>
      <c r="F20" s="10"/>
      <c r="G20"/>
      <c r="H20"/>
      <c r="I20"/>
      <c r="J20" t="s">
        <v>498</v>
      </c>
      <c r="K20"/>
      <c r="L20"/>
      <c r="M20"/>
      <c r="N20"/>
      <c r="O20"/>
      <c r="P20"/>
      <c r="Q20"/>
      <c r="R20"/>
      <c r="S20"/>
      <c r="T20" t="s">
        <v>499</v>
      </c>
      <c r="U20" t="s">
        <v>500</v>
      </c>
      <c r="V20" t="s">
        <v>501</v>
      </c>
      <c r="W20" t="s">
        <v>489</v>
      </c>
      <c r="X20"/>
      <c r="Y20"/>
      <c r="Z20" t="s">
        <v>445</v>
      </c>
      <c r="AA20"/>
    </row>
    <row r="22">
      <c r="E22" t="s">
        <v>117</v>
      </c>
      <c r="F22" t="s">
        <v>502</v>
      </c>
    </row>
    <row r="23">
      <c r="E23" t="s">
        <v>118</v>
      </c>
      <c r="F23" t="s">
        <v>455</v>
      </c>
    </row>
    <row r="24">
      <c r="E24" t="s">
        <v>119</v>
      </c>
      <c r="F24" t="s">
        <v>120</v>
      </c>
    </row>
  </sheetData>
  <autoFilter ref="A1:AA16"/>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15.0" baseColWidth="10" outlineLevelCol="0"/>
  <cols>
    <col min="1" max="1" width="34" hidden="false" outlineLevel="0" customWidth="1"/>
    <col min="2" max="2" width="26" hidden="false" outlineLevel="0" customWidth="1"/>
    <col min="3" max="3" width="48" hidden="false" outlineLevel="0" customWidth="1"/>
    <col min="4" max="4" width="44" hidden="false" outlineLevel="0" customWidth="1"/>
    <col min="5" max="5" width="22" hidden="false" outlineLevel="0" customWidth="1"/>
    <col min="6" max="6" width="14" hidden="false" outlineLevel="0" customWidth="1"/>
    <col min="7" max="7" width="28" hidden="false" outlineLevel="0" customWidth="1"/>
    <col min="8" max="8" width="40" hidden="false" outlineLevel="0" customWidth="1"/>
  </cols>
  <sheetData>
    <row r="1" ht="30" customHeight="1">
      <c r="A1" s="11" t="s">
        <v>121</v>
      </c>
      <c r="B1" s="11" t="s">
        <v>122</v>
      </c>
      <c r="C1" s="11" t="s">
        <v>123</v>
      </c>
      <c r="D1" s="11" t="s">
        <v>124</v>
      </c>
      <c r="E1" s="11" t="s">
        <v>125</v>
      </c>
      <c r="F1" s="11" t="s">
        <v>37</v>
      </c>
      <c r="G1" s="11" t="s">
        <v>126</v>
      </c>
      <c r="H1" s="11" t="s">
        <v>127</v>
      </c>
    </row>
    <row r="2" ht="35.05" customHeight="1">
      <c r="A2" s="3" t="s">
        <v>128</v>
      </c>
      <c r="B2" s="3" t="s">
        <v>129</v>
      </c>
      <c r="C2" s="3" t="s">
        <v>130</v>
      </c>
      <c r="D2" s="3" t="s">
        <v>131</v>
      </c>
      <c r="E2" s="3" t="s">
        <v>132</v>
      </c>
      <c r="F2" s="3" t="s">
        <v>133</v>
      </c>
      <c r="G2" s="3" t="s">
        <v>134</v>
      </c>
      <c r="H2" s="3" t="s">
        <v>135</v>
      </c>
    </row>
    <row r="3" ht="23.85" customHeight="1">
      <c r="A3" s="3" t="s">
        <v>136</v>
      </c>
      <c r="B3" s="3" t="s">
        <v>137</v>
      </c>
      <c r="C3" s="3" t="s">
        <v>138</v>
      </c>
      <c r="D3" s="3" t="s">
        <v>139</v>
      </c>
      <c r="E3" s="3" t="s">
        <v>132</v>
      </c>
      <c r="F3" s="3" t="s">
        <v>59</v>
      </c>
      <c r="G3" s="3" t="s">
        <v>140</v>
      </c>
      <c r="H3" s="3" t="s">
        <v>141</v>
      </c>
    </row>
    <row r="4" ht="23.85" customHeight="1">
      <c r="A4" s="3" t="s">
        <v>142</v>
      </c>
      <c r="B4" s="3" t="s">
        <v>143</v>
      </c>
      <c r="C4" s="3" t="s">
        <v>144</v>
      </c>
      <c r="D4" s="3" t="s">
        <v>145</v>
      </c>
      <c r="E4" s="3" t="s">
        <v>146</v>
      </c>
      <c r="F4" s="3" t="s">
        <v>59</v>
      </c>
      <c r="G4" s="3" t="s">
        <v>140</v>
      </c>
      <c r="H4" s="3" t="s">
        <v>147</v>
      </c>
    </row>
    <row r="5" ht="23.85" customHeight="1">
      <c r="A5" s="3" t="s">
        <v>148</v>
      </c>
      <c r="B5" s="3" t="s">
        <v>66</v>
      </c>
      <c r="C5" s="3" t="s">
        <v>149</v>
      </c>
      <c r="D5" s="3" t="s">
        <v>150</v>
      </c>
      <c r="E5" s="3" t="s">
        <v>151</v>
      </c>
      <c r="F5" s="3" t="s">
        <v>59</v>
      </c>
      <c r="G5" s="3" t="s">
        <v>152</v>
      </c>
      <c r="H5" s="3" t="s">
        <v>50</v>
      </c>
    </row>
    <row r="6" ht="23.85" customHeight="1">
      <c r="A6" s="3" t="s">
        <v>153</v>
      </c>
      <c r="B6" s="3" t="s">
        <v>154</v>
      </c>
      <c r="C6" s="3" t="s">
        <v>155</v>
      </c>
      <c r="D6" s="3" t="s">
        <v>156</v>
      </c>
      <c r="E6" s="3" t="s">
        <v>157</v>
      </c>
      <c r="F6" s="3" t="s">
        <v>104</v>
      </c>
      <c r="G6" s="3" t="s">
        <v>158</v>
      </c>
      <c r="H6" s="3" t="s">
        <v>159</v>
      </c>
    </row>
    <row r="7" ht="23.85" customHeight="1">
      <c r="A7" s="3" t="s">
        <v>160</v>
      </c>
      <c r="B7" s="3" t="s">
        <v>161</v>
      </c>
      <c r="C7" s="3" t="s">
        <v>162</v>
      </c>
      <c r="D7" s="3" t="s">
        <v>163</v>
      </c>
      <c r="E7" s="3" t="s">
        <v>164</v>
      </c>
      <c r="F7" s="3" t="s">
        <v>59</v>
      </c>
      <c r="G7" s="3" t="s">
        <v>165</v>
      </c>
      <c r="H7" s="3" t="s">
        <v>166</v>
      </c>
    </row>
    <row r="8" ht="15" customHeight="1">
      <c r="A8" s="3" t="s">
        <v>167</v>
      </c>
      <c r="B8" s="3" t="s">
        <v>168</v>
      </c>
      <c r="C8" s="3" t="s">
        <v>169</v>
      </c>
      <c r="D8" s="3" t="s">
        <v>170</v>
      </c>
      <c r="E8" s="3" t="s">
        <v>132</v>
      </c>
      <c r="F8" s="3" t="s">
        <v>171</v>
      </c>
      <c r="G8" s="3" t="s">
        <v>140</v>
      </c>
      <c r="H8" s="3" t="s">
        <v>50</v>
      </c>
    </row>
    <row r="9" ht="23.85" customHeight="1">
      <c r="A9" s="3" t="s">
        <v>172</v>
      </c>
      <c r="B9" s="3" t="s">
        <v>173</v>
      </c>
      <c r="C9" s="3" t="s">
        <v>174</v>
      </c>
      <c r="D9" s="3" t="s">
        <v>175</v>
      </c>
      <c r="E9" s="3" t="s">
        <v>132</v>
      </c>
      <c r="F9" s="3" t="s">
        <v>171</v>
      </c>
      <c r="G9" s="3" t="s">
        <v>176</v>
      </c>
      <c r="H9" s="3" t="s">
        <v>50</v>
      </c>
    </row>
    <row r="10" ht="23.85" customHeight="1">
      <c r="A10" s="3" t="s">
        <v>177</v>
      </c>
      <c r="B10" s="3" t="s">
        <v>60</v>
      </c>
      <c r="C10" s="3" t="s">
        <v>178</v>
      </c>
      <c r="D10" s="3" t="s">
        <v>179</v>
      </c>
      <c r="E10" s="3" t="s">
        <v>180</v>
      </c>
      <c r="F10" s="3" t="s">
        <v>59</v>
      </c>
      <c r="G10" s="3" t="s">
        <v>181</v>
      </c>
      <c r="H10" s="3" t="s">
        <v>50</v>
      </c>
    </row>
    <row r="11" ht="23.85" customHeight="1">
      <c r="A11" s="3" t="s">
        <v>182</v>
      </c>
      <c r="B11" s="3" t="s">
        <v>92</v>
      </c>
      <c r="C11" s="3" t="s">
        <v>183</v>
      </c>
      <c r="D11" s="3" t="s">
        <v>184</v>
      </c>
      <c r="E11" s="3" t="s">
        <v>185</v>
      </c>
      <c r="F11" s="3" t="s">
        <v>186</v>
      </c>
      <c r="G11" s="3" t="s">
        <v>187</v>
      </c>
      <c r="H11" s="3" t="s">
        <v>188</v>
      </c>
    </row>
    <row r="12" ht="23.85" customHeight="1">
      <c r="A12" s="3" t="s">
        <v>189</v>
      </c>
      <c r="B12" s="3" t="s">
        <v>92</v>
      </c>
      <c r="C12" s="3" t="s">
        <v>190</v>
      </c>
      <c r="D12" s="3" t="s">
        <v>191</v>
      </c>
      <c r="E12" s="3" t="s">
        <v>192</v>
      </c>
      <c r="F12" s="3" t="s">
        <v>193</v>
      </c>
      <c r="G12" s="3" t="s">
        <v>194</v>
      </c>
      <c r="H12" s="3" t="s">
        <v>195</v>
      </c>
    </row>
    <row r="13" ht="23.85" customHeight="1">
      <c r="A13" s="3" t="s">
        <v>196</v>
      </c>
      <c r="B13" s="3" t="s">
        <v>105</v>
      </c>
      <c r="C13" s="3" t="s">
        <v>197</v>
      </c>
      <c r="D13" s="3" t="s">
        <v>198</v>
      </c>
      <c r="E13" s="3" t="s">
        <v>199</v>
      </c>
      <c r="F13" s="3" t="s">
        <v>50</v>
      </c>
      <c r="G13" s="3" t="s">
        <v>200</v>
      </c>
      <c r="H13" s="3" t="s">
        <v>201</v>
      </c>
    </row>
    <row r="14" ht="35.05" customHeight="1">
      <c r="A14" s="3" t="s">
        <v>202</v>
      </c>
      <c r="B14" s="3" t="s">
        <v>203</v>
      </c>
      <c r="C14" s="3" t="s">
        <v>204</v>
      </c>
      <c r="D14" s="3" t="s">
        <v>205</v>
      </c>
      <c r="E14" s="3" t="s">
        <v>206</v>
      </c>
      <c r="F14" s="3" t="s">
        <v>207</v>
      </c>
      <c r="G14" s="3" t="s">
        <v>208</v>
      </c>
      <c r="H14" s="3" t="s">
        <v>50</v>
      </c>
    </row>
    <row r="15" ht="23.85" customHeight="1">
      <c r="A15" s="3" t="s">
        <v>209</v>
      </c>
      <c r="B15" s="3" t="s">
        <v>111</v>
      </c>
      <c r="C15" s="3" t="s">
        <v>197</v>
      </c>
      <c r="D15" s="3" t="s">
        <v>210</v>
      </c>
      <c r="E15" s="3" t="s">
        <v>50</v>
      </c>
      <c r="F15" s="3" t="s">
        <v>50</v>
      </c>
      <c r="G15" s="3" t="s">
        <v>211</v>
      </c>
      <c r="H15" s="3" t="s">
        <v>212</v>
      </c>
    </row>
    <row r="16" ht="23.85" customHeight="1">
      <c r="A16" s="3" t="s">
        <v>213</v>
      </c>
      <c r="B16" s="3" t="s">
        <v>87</v>
      </c>
      <c r="C16" s="3" t="s">
        <v>214</v>
      </c>
      <c r="D16" s="3" t="s">
        <v>215</v>
      </c>
      <c r="E16" s="3" t="s">
        <v>157</v>
      </c>
      <c r="F16" s="3" t="s">
        <v>193</v>
      </c>
      <c r="G16" s="3" t="s">
        <v>216</v>
      </c>
      <c r="H16" s="3" t="s">
        <v>217</v>
      </c>
    </row>
    <row r="17" ht="23.85" customHeight="1">
      <c r="A17" s="3" t="s">
        <v>218</v>
      </c>
      <c r="B17" s="3" t="s">
        <v>143</v>
      </c>
      <c r="C17" s="3" t="s">
        <v>156</v>
      </c>
      <c r="D17" s="3" t="s">
        <v>50</v>
      </c>
      <c r="E17" s="3" t="s">
        <v>219</v>
      </c>
      <c r="F17" s="3" t="s">
        <v>193</v>
      </c>
      <c r="G17" s="3" t="s">
        <v>220</v>
      </c>
      <c r="H17" s="3" t="s">
        <v>221</v>
      </c>
    </row>
    <row r="18" ht="15" customHeight="1">
      <c r="A18" s="3" t="s">
        <v>222</v>
      </c>
      <c r="B18" s="3" t="s">
        <v>79</v>
      </c>
      <c r="C18" s="3" t="s">
        <v>156</v>
      </c>
      <c r="D18" s="3" t="s">
        <v>50</v>
      </c>
      <c r="E18" s="3" t="s">
        <v>223</v>
      </c>
      <c r="F18" s="3" t="s">
        <v>193</v>
      </c>
      <c r="G18" s="3" t="s">
        <v>224</v>
      </c>
      <c r="H18" s="3" t="s">
        <v>50</v>
      </c>
    </row>
    <row r="19">
      <c r="A19" t="s">
        <v>503</v>
      </c>
      <c r="B19" t="s">
        <v>504</v>
      </c>
      <c r="C19" t="s">
        <v>505</v>
      </c>
      <c r="D19" t="s">
        <v>506</v>
      </c>
      <c r="E19" t="s">
        <v>507</v>
      </c>
      <c r="F19" t="s">
        <v>59</v>
      </c>
      <c r="G19" t="s">
        <v>508</v>
      </c>
      <c r="H19" t="s">
        <v>50</v>
      </c>
    </row>
    <row r="20">
      <c r="A20" t="s">
        <v>509</v>
      </c>
      <c r="B20" t="s">
        <v>510</v>
      </c>
      <c r="C20" t="s">
        <v>511</v>
      </c>
      <c r="D20" t="s">
        <v>512</v>
      </c>
      <c r="E20" t="s">
        <v>513</v>
      </c>
      <c r="F20" t="s">
        <v>59</v>
      </c>
      <c r="G20" t="s">
        <v>508</v>
      </c>
      <c r="H20" t="s">
        <v>514</v>
      </c>
    </row>
    <row r="21">
      <c r="A21" t="s">
        <v>515</v>
      </c>
      <c r="B21" t="s">
        <v>516</v>
      </c>
      <c r="C21" t="s">
        <v>517</v>
      </c>
      <c r="D21" t="s">
        <v>518</v>
      </c>
      <c r="E21" t="s">
        <v>519</v>
      </c>
      <c r="F21" t="s">
        <v>326</v>
      </c>
      <c r="G21" t="s">
        <v>508</v>
      </c>
      <c r="H21" t="s">
        <v>50</v>
      </c>
    </row>
  </sheetData>
  <autoFilter ref="A1:H18"/>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15.0" baseColWidth="10" outlineLevelCol="0"/>
  <cols>
    <col min="1" max="1" width="12" hidden="false" outlineLevel="0" customWidth="1"/>
    <col min="2" max="2" width="11" hidden="false" outlineLevel="0" customWidth="1"/>
    <col min="3" max="3" width="12" hidden="false" outlineLevel="0" customWidth="1"/>
    <col min="4" max="4" width="12" hidden="false" outlineLevel="0" customWidth="1"/>
    <col min="5" max="5" width="18" hidden="false" outlineLevel="0" customWidth="1"/>
    <col min="6" max="6" width="11" hidden="false" outlineLevel="0" customWidth="1"/>
    <col min="7" max="7" width="13" hidden="false" outlineLevel="0" customWidth="1"/>
    <col min="8" max="8" width="13" hidden="false" outlineLevel="0" customWidth="1"/>
  </cols>
  <sheetData>
    <row r="1" ht="30" customHeight="1">
      <c r="A1" s="11" t="s">
        <v>16</v>
      </c>
      <c r="B1" s="11" t="s">
        <v>20</v>
      </c>
      <c r="C1" s="11" t="s">
        <v>225</v>
      </c>
      <c r="D1" s="11" t="s">
        <v>226</v>
      </c>
      <c r="E1" s="11" t="s">
        <v>227</v>
      </c>
      <c r="F1" s="11" t="s">
        <v>228</v>
      </c>
      <c r="G1" s="11" t="s">
        <v>229</v>
      </c>
      <c r="H1" s="11" t="s">
        <v>230</v>
      </c>
    </row>
    <row r="2" ht="15" customHeight="1">
      <c r="A2" s="3" t="s">
        <v>42</v>
      </c>
      <c r="B2" s="12" t="n">
        <v>0.11904</v>
      </c>
      <c r="C2" s="13" t="n">
        <v>0.1055</v>
      </c>
      <c r="D2" s="13" t="n">
        <v>0.0944</v>
      </c>
      <c r="E2" s="3" t="s">
        <v>46</v>
      </c>
      <c r="F2" s="3" t="n">
        <f aca="false">RANK(B2,$B$2:$B$10)</f>
        <v>8</v>
      </c>
      <c r="G2" s="3" t="n">
        <f aca="false">IF(C2="","",RANK(C2,$C$2:$C$10))</f>
        <v>2</v>
      </c>
      <c r="H2" s="3" t="n">
        <f aca="false">IF(D2="","",RANK(D2,$D$2:$D$10))</f>
        <v>9</v>
      </c>
    </row>
    <row r="3" ht="15" customHeight="1">
      <c r="A3" s="3" t="s">
        <v>52</v>
      </c>
      <c r="B3" s="12" t="n">
        <v>0.12149</v>
      </c>
      <c r="C3" s="13" t="n">
        <v>0.0997</v>
      </c>
      <c r="D3" s="13" t="n">
        <v>0.0973</v>
      </c>
      <c r="E3" s="3" t="s">
        <v>46</v>
      </c>
      <c r="F3" s="3" t="n">
        <f aca="false">RANK(B3,$B$2:$B$10)</f>
        <v>6</v>
      </c>
      <c r="G3" s="3" t="n">
        <f aca="false">IF(C3="","",RANK(C3,$C$2:$C$10))</f>
        <v>7</v>
      </c>
      <c r="H3" s="3" t="n">
        <f aca="false">IF(D3="","",RANK(D3,$D$2:$D$10))</f>
        <v>6</v>
      </c>
    </row>
    <row r="4" ht="15" customHeight="1">
      <c r="A4" s="3" t="s">
        <v>60</v>
      </c>
      <c r="B4" s="12" t="n">
        <v>0.11876</v>
      </c>
      <c r="C4" s="13" t="n">
        <v>0.1071</v>
      </c>
      <c r="D4" s="13" t="n">
        <v>0.0959</v>
      </c>
      <c r="E4" s="3" t="s">
        <v>46</v>
      </c>
      <c r="F4" s="3" t="n">
        <f aca="false">RANK(B4,$B$2:$B$10)</f>
        <v>9</v>
      </c>
      <c r="G4" s="3" t="n">
        <f aca="false">IF(C4="","",RANK(C4,$C$2:$C$10))</f>
        <v>1</v>
      </c>
      <c r="H4" s="3" t="n">
        <f aca="false">IF(D4="","",RANK(D4,$D$2:$D$10))</f>
        <v>7</v>
      </c>
    </row>
    <row r="5" ht="15" customHeight="1">
      <c r="A5" s="3" t="s">
        <v>66</v>
      </c>
      <c r="B5" s="12" t="n">
        <v>0.12132</v>
      </c>
      <c r="C5" s="13"/>
      <c r="D5" s="13" t="n">
        <v>0.0954</v>
      </c>
      <c r="E5" s="3" t="s">
        <v>69</v>
      </c>
      <c r="F5" s="3" t="n">
        <f aca="false">RANK(B5,$B$2:$B$10)</f>
        <v>7</v>
      </c>
      <c r="G5" s="3" t="str">
        <f aca="false">IF(C5="","",RANK(C5,$C$2:$C$10))</f>
        <v/>
      </c>
      <c r="H5" s="3" t="n">
        <f aca="false">IF(D5="","",RANK(D5,$D$2:$D$10))</f>
        <v>8</v>
      </c>
    </row>
    <row r="6" ht="15" customHeight="1">
      <c r="A6" s="3" t="s">
        <v>73</v>
      </c>
      <c r="B6" s="12" t="n">
        <v>0.12224</v>
      </c>
      <c r="C6" s="13" t="n">
        <v>0.1</v>
      </c>
      <c r="D6" s="13" t="n">
        <v>0.0998</v>
      </c>
      <c r="E6" s="3" t="s">
        <v>46</v>
      </c>
      <c r="F6" s="3" t="n">
        <f aca="false">RANK(B6,$B$2:$B$10)</f>
        <v>5</v>
      </c>
      <c r="G6" s="3" t="n">
        <f aca="false">IF(C6="","",RANK(C6,$C$2:$C$10))</f>
        <v>6</v>
      </c>
      <c r="H6" s="3" t="n">
        <f aca="false">IF(D6="","",RANK(D6,$D$2:$D$10))</f>
        <v>2</v>
      </c>
    </row>
    <row r="7" ht="15" customHeight="1">
      <c r="A7" s="3" t="s">
        <v>79</v>
      </c>
      <c r="B7" s="12" t="n">
        <v>0.12671</v>
      </c>
      <c r="C7" s="13" t="n">
        <v>0.1028</v>
      </c>
      <c r="D7" s="13" t="n">
        <v>0.0988</v>
      </c>
      <c r="E7" s="3" t="s">
        <v>231</v>
      </c>
      <c r="F7" s="3" t="n">
        <f aca="false">RANK(B7,$B$2:$B$10)</f>
        <v>3</v>
      </c>
      <c r="G7" s="3" t="n">
        <f aca="false">IF(C7="","",RANK(C7,$C$2:$C$10))</f>
        <v>5</v>
      </c>
      <c r="H7" s="3" t="n">
        <f aca="false">IF(D7="","",RANK(D7,$D$2:$D$10))</f>
        <v>3</v>
      </c>
    </row>
    <row r="8" ht="15" customHeight="1">
      <c r="A8" s="3" t="s">
        <v>87</v>
      </c>
      <c r="B8" s="12" t="n">
        <v>0.12796</v>
      </c>
      <c r="C8" s="13" t="n">
        <v>0.1045</v>
      </c>
      <c r="D8" s="13" t="n">
        <v>0.0982</v>
      </c>
      <c r="E8" s="3" t="s">
        <v>46</v>
      </c>
      <c r="F8" s="3" t="n">
        <f aca="false">RANK(B8,$B$2:$B$10)</f>
        <v>2</v>
      </c>
      <c r="G8" s="3" t="n">
        <f aca="false">IF(C8="","",RANK(C8,$C$2:$C$10))</f>
        <v>3</v>
      </c>
      <c r="H8" s="3" t="n">
        <f aca="false">IF(D8="","",RANK(D8,$D$2:$D$10))</f>
        <v>5</v>
      </c>
    </row>
    <row r="9" ht="23.85" customHeight="1">
      <c r="A9" s="3" t="s">
        <v>92</v>
      </c>
      <c r="B9" s="12" t="n">
        <v>0.12636</v>
      </c>
      <c r="C9" s="13"/>
      <c r="D9" s="13" t="n">
        <v>0.1025</v>
      </c>
      <c r="E9" s="3" t="s">
        <v>94</v>
      </c>
      <c r="F9" s="3" t="n">
        <f aca="false">RANK(B9,$B$2:$B$10)</f>
        <v>4</v>
      </c>
      <c r="G9" s="3" t="str">
        <f aca="false">IF(C9="","",RANK(C9,$C$2:$C$10))</f>
        <v/>
      </c>
      <c r="H9" s="3" t="n">
        <f aca="false">IF(D9="","",RANK(D9,$D$2:$D$10))</f>
        <v>1</v>
      </c>
    </row>
    <row r="10" ht="15" customHeight="1">
      <c r="A10" s="3" t="s">
        <v>98</v>
      </c>
      <c r="B10" s="12" t="n">
        <v>0.12818</v>
      </c>
      <c r="C10" s="13" t="n">
        <v>0.1043</v>
      </c>
      <c r="D10" s="13" t="n">
        <v>0.0986</v>
      </c>
      <c r="E10" s="3" t="s">
        <v>46</v>
      </c>
      <c r="F10" s="3" t="n">
        <f aca="false">RANK(B10,$B$2:$B$10)</f>
        <v>1</v>
      </c>
      <c r="G10" s="3" t="n">
        <f aca="false">IF(C10="","",RANK(C10,$C$2:$C$10))</f>
        <v>4</v>
      </c>
      <c r="H10" s="3" t="n">
        <f aca="false">IF(D10="","",RANK(D10,$D$2:$D$10))</f>
        <v>4</v>
      </c>
    </row>
    <row r="13" ht="15" customHeight="1">
      <c r="A13" s="8" t="s">
        <v>232</v>
      </c>
      <c r="D13" s="18" t="n">
        <f aca="false">CORREL(B2:B10,D2:D10)</f>
        <v>0.672204939805955</v>
      </c>
    </row>
    <row r="14" ht="15" customHeight="1">
      <c r="A14" s="8" t="s">
        <v>233</v>
      </c>
      <c r="D14" s="18" t="n">
        <f aca="false">CORREL(F2:F10,H2:H10)</f>
        <v>0.65</v>
      </c>
    </row>
    <row r="15" ht="15" customHeight="1">
      <c r="A15" s="8" t="s">
        <v>234</v>
      </c>
      <c r="D15" s="18" t="n">
        <f aca="false">CORREL(B2:B10,C2:C10)</f>
        <v>-0.11809570475189</v>
      </c>
    </row>
    <row r="16" ht="15" customHeight="1">
      <c r="A16" s="8" t="s">
        <v>235</v>
      </c>
      <c r="B16" s="19" t="s">
        <v>236</v>
      </c>
    </row>
  </sheetData>
  <autoFilter ref="A1:H10"/>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15.0" baseColWidth="10" outlineLevelCol="0"/>
  <cols>
    <col min="1" max="1" width="8" hidden="false" outlineLevel="0" customWidth="1"/>
    <col min="2" max="2" width="40" hidden="false" outlineLevel="0" customWidth="1"/>
    <col min="3" max="3" width="10" hidden="false" outlineLevel="0" customWidth="1"/>
    <col min="4" max="4" width="10" hidden="false" outlineLevel="0" customWidth="1"/>
    <col min="5" max="5" width="11" hidden="false" outlineLevel="0" customWidth="1"/>
    <col min="6" max="6" width="11" hidden="false" outlineLevel="0" customWidth="1"/>
    <col min="7" max="7" width="11" hidden="false" outlineLevel="0" customWidth="1"/>
    <col min="8" max="8" width="11" hidden="false" outlineLevel="0" customWidth="1"/>
    <col min="9" max="9" width="10" hidden="false" outlineLevel="0" customWidth="1"/>
    <col min="10" max="10" width="12" hidden="false" outlineLevel="0" customWidth="1"/>
    <col min="11" max="11" width="12" hidden="false" outlineLevel="0" customWidth="1"/>
    <col min="12" max="12" width="12" hidden="false" outlineLevel="0" customWidth="1"/>
  </cols>
  <sheetData>
    <row r="1" ht="30" customHeight="1">
      <c r="A1" s="11" t="s">
        <v>237</v>
      </c>
      <c r="B1" s="11" t="s">
        <v>238</v>
      </c>
      <c r="C1" s="11" t="s">
        <v>25</v>
      </c>
      <c r="D1" s="11" t="s">
        <v>26</v>
      </c>
      <c r="E1" s="11" t="s">
        <v>27</v>
      </c>
      <c r="F1" s="11" t="s">
        <v>28</v>
      </c>
      <c r="G1" s="11" t="s">
        <v>29</v>
      </c>
      <c r="H1" s="11" t="s">
        <v>30</v>
      </c>
      <c r="I1" s="11" t="s">
        <v>239</v>
      </c>
      <c r="J1" s="11" t="s">
        <v>240</v>
      </c>
      <c r="K1" s="11" t="s">
        <v>241</v>
      </c>
      <c r="L1" s="11" t="s">
        <v>242</v>
      </c>
    </row>
    <row r="2" ht="15" customHeight="1">
      <c r="A2" s="3" t="s">
        <v>243</v>
      </c>
      <c r="B2" s="3" t="s">
        <v>244</v>
      </c>
      <c r="C2" s="13" t="n">
        <v>0.0385</v>
      </c>
      <c r="D2" s="13" t="n">
        <v>0.0496</v>
      </c>
      <c r="E2" s="13" t="n">
        <v>0.0688</v>
      </c>
      <c r="F2" s="13" t="n">
        <v>0.0724</v>
      </c>
      <c r="G2" s="13" t="n">
        <v>0.0592</v>
      </c>
      <c r="H2" s="13" t="n">
        <v>0.0589</v>
      </c>
      <c r="I2" s="13" t="n">
        <f aca="false">AVERAGE(C2:H2)</f>
        <v>0.0579</v>
      </c>
      <c r="J2" s="20" t="s">
        <v>50</v>
      </c>
      <c r="K2" s="20" t="s">
        <v>50</v>
      </c>
      <c r="L2" s="20" t="s">
        <v>50</v>
      </c>
    </row>
    <row r="3" ht="15" customHeight="1">
      <c r="A3" s="3" t="s">
        <v>245</v>
      </c>
      <c r="B3" s="3" t="s">
        <v>246</v>
      </c>
      <c r="C3" s="13" t="n">
        <v>0.0385</v>
      </c>
      <c r="D3" s="13" t="n">
        <v>0.0479</v>
      </c>
      <c r="E3" s="13" t="n">
        <v>0.0688</v>
      </c>
      <c r="F3" s="13" t="n">
        <v>0.0696</v>
      </c>
      <c r="G3" s="13" t="n">
        <v>0.0592</v>
      </c>
      <c r="H3" s="13" t="n">
        <v>0.0545</v>
      </c>
      <c r="I3" s="13" t="n">
        <f aca="false">AVERAGE(C3:H3)</f>
        <v>0.0564166666666667</v>
      </c>
      <c r="J3" s="20" t="n">
        <f aca="false">AVERAGE(C3:D3)-AVERAGE(C2:D2)</f>
        <v>-0.000849999999999997</v>
      </c>
      <c r="K3" s="20" t="n">
        <f aca="false">AVERAGE(E3:F3)-AVERAGE(E2:F2)</f>
        <v>-0.0014</v>
      </c>
      <c r="L3" s="20" t="n">
        <f aca="false">AVERAGE(G3:H3)-AVERAGE(G2:H2)</f>
        <v>-0.00220000000000001</v>
      </c>
    </row>
    <row r="4" ht="15" customHeight="1">
      <c r="A4" s="3" t="s">
        <v>247</v>
      </c>
      <c r="B4" s="3" t="s">
        <v>248</v>
      </c>
      <c r="C4" s="13" t="n">
        <v>0.0337</v>
      </c>
      <c r="D4" s="13" t="n">
        <v>0.0482</v>
      </c>
      <c r="E4" s="13" t="n">
        <v>0.0676</v>
      </c>
      <c r="F4" s="13" t="n">
        <v>0.068</v>
      </c>
      <c r="G4" s="13" t="n">
        <v>0.056</v>
      </c>
      <c r="H4" s="13" t="n">
        <v>0.0567</v>
      </c>
      <c r="I4" s="13" t="n">
        <f aca="false">AVERAGE(C4:H4)</f>
        <v>0.0550333333333333</v>
      </c>
      <c r="J4" s="20" t="n">
        <f aca="false">AVERAGE(C4:D4)-AVERAGE(C3:D3)</f>
        <v>-0.00225</v>
      </c>
      <c r="K4" s="20" t="n">
        <f aca="false">AVERAGE(E4:F4)-AVERAGE(E3:F3)</f>
        <v>-0.0014</v>
      </c>
      <c r="L4" s="20" t="n">
        <f aca="false">AVERAGE(G4:H4)-AVERAGE(G3:H3)</f>
        <v>-0.0005</v>
      </c>
    </row>
    <row r="5" ht="15" customHeight="1">
      <c r="A5" s="3" t="s">
        <v>249</v>
      </c>
      <c r="B5" s="3" t="s">
        <v>250</v>
      </c>
      <c r="C5" s="13" t="n">
        <v>0.036</v>
      </c>
      <c r="D5" s="13" t="n">
        <v>0.0475</v>
      </c>
      <c r="E5" s="13" t="n">
        <v>0.0676</v>
      </c>
      <c r="F5" s="13" t="n">
        <v>0.0676</v>
      </c>
      <c r="G5" s="13" t="n">
        <v>0.056</v>
      </c>
      <c r="H5" s="13" t="n">
        <v>0.0566</v>
      </c>
      <c r="I5" s="13" t="n">
        <f aca="false">AVERAGE(C5:H5)</f>
        <v>0.0552166666666667</v>
      </c>
      <c r="J5" s="20" t="n">
        <f aca="false">AVERAGE(C5:D5)-AVERAGE(C4:D4)</f>
        <v>0.000799999999999995</v>
      </c>
      <c r="K5" s="20" t="n">
        <f aca="false">AVERAGE(E5:F5)-AVERAGE(E4:F4)</f>
        <v>-0.000200000000000006</v>
      </c>
      <c r="L5" s="20" t="n">
        <f aca="false">AVERAGE(G5:H5)-AVERAGE(G4:H4)</f>
        <v>-4.99999999999945E-005</v>
      </c>
    </row>
    <row r="6" ht="15" customHeight="1">
      <c r="A6" s="3" t="s">
        <v>251</v>
      </c>
      <c r="B6" s="3" t="s">
        <v>252</v>
      </c>
      <c r="C6" s="13" t="n">
        <v>0.0353</v>
      </c>
      <c r="D6" s="13" t="n">
        <v>0.0489</v>
      </c>
      <c r="E6" s="13" t="n">
        <v>0.0695</v>
      </c>
      <c r="F6" s="13" t="n">
        <v>0.0695</v>
      </c>
      <c r="G6" s="13" t="n">
        <v>0.0581</v>
      </c>
      <c r="H6" s="13" t="n">
        <v>0.0574</v>
      </c>
      <c r="I6" s="13" t="n">
        <f aca="false">AVERAGE(C6:H6)</f>
        <v>0.05645</v>
      </c>
      <c r="J6" s="20" t="n">
        <f aca="false">AVERAGE(C6:D6)-AVERAGE(C5:D5)</f>
        <v>0.000350000000000003</v>
      </c>
      <c r="K6" s="20" t="n">
        <f aca="false">AVERAGE(E6:F6)-AVERAGE(E5:F5)</f>
        <v>0.00190000000000001</v>
      </c>
      <c r="L6" s="20" t="n">
        <f aca="false">AVERAGE(G6:H6)-AVERAGE(G5:H5)</f>
        <v>0.00144999999999999</v>
      </c>
    </row>
    <row r="7" ht="15" customHeight="1">
      <c r="A7" s="3" t="s">
        <v>253</v>
      </c>
      <c r="B7" s="3" t="s">
        <v>254</v>
      </c>
      <c r="C7" s="13" t="n">
        <v>0.0384</v>
      </c>
      <c r="D7" s="13" t="n">
        <v>0.0494</v>
      </c>
      <c r="E7" s="13" t="n">
        <v>0.0686</v>
      </c>
      <c r="F7" s="13" t="n">
        <v>0.0696</v>
      </c>
      <c r="G7" s="13" t="n">
        <v>0.0625</v>
      </c>
      <c r="H7" s="13" t="n">
        <v>0.0598</v>
      </c>
      <c r="I7" s="13" t="n">
        <f aca="false">AVERAGE(C7:H7)</f>
        <v>0.05805</v>
      </c>
      <c r="J7" s="20" t="n">
        <f aca="false">AVERAGE(C7:D7)-AVERAGE(C6:D6)</f>
        <v>0.0018</v>
      </c>
      <c r="K7" s="20" t="n">
        <f aca="false">AVERAGE(E7:F7)-AVERAGE(E6:F6)</f>
        <v>-0.000400000000000011</v>
      </c>
      <c r="L7" s="20" t="n">
        <f aca="false">AVERAGE(G7:H7)-AVERAGE(G6:H6)</f>
        <v>0.0034</v>
      </c>
    </row>
    <row r="8" ht="15" customHeight="1">
      <c r="A8" s="3" t="s">
        <v>255</v>
      </c>
      <c r="B8" s="3" t="s">
        <v>256</v>
      </c>
      <c r="C8" s="13" t="n">
        <v>0.0384</v>
      </c>
      <c r="D8" s="13" t="n">
        <v>0.0514</v>
      </c>
      <c r="E8" s="13" t="n">
        <v>0.0686</v>
      </c>
      <c r="F8" s="13" t="n">
        <v>0.0731</v>
      </c>
      <c r="G8" s="13" t="n">
        <v>0.0625</v>
      </c>
      <c r="H8" s="13" t="n">
        <v>0.0625</v>
      </c>
      <c r="I8" s="13" t="n">
        <f aca="false">AVERAGE(C8:H8)</f>
        <v>0.0594166666666667</v>
      </c>
      <c r="J8" s="20" t="n">
        <f aca="false">AVERAGE(C8:D8)-AVERAGE(C7:D7)</f>
        <v>0.001</v>
      </c>
      <c r="K8" s="20" t="n">
        <f aca="false">AVERAGE(E8:F8)-AVERAGE(E7:F7)</f>
        <v>0.00175</v>
      </c>
      <c r="L8" s="20" t="n">
        <f aca="false">AVERAGE(G8:H8)-AVERAGE(G7:H7)</f>
        <v>0.00135</v>
      </c>
    </row>
  </sheetData>
  <autoFilter ref="A1:L8"/>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15.0" baseColWidth="10" outlineLevelCol="0"/>
  <cols>
    <col min="1" max="1" width="12" hidden="false" outlineLevel="0" customWidth="1"/>
    <col min="2" max="2" width="11" hidden="false" outlineLevel="0" customWidth="1"/>
    <col min="3" max="3" width="10" hidden="false" outlineLevel="0" customWidth="1"/>
    <col min="4" max="4" width="10" hidden="false" outlineLevel="0" customWidth="1"/>
    <col min="5" max="5" width="20" hidden="false" outlineLevel="0" customWidth="1"/>
    <col min="6" max="6" width="32" hidden="false" outlineLevel="0" customWidth="1"/>
  </cols>
  <sheetData>
    <row r="1" ht="30" customHeight="1">
      <c r="A1" s="11" t="s">
        <v>16</v>
      </c>
      <c r="B1" s="11" t="s">
        <v>257</v>
      </c>
      <c r="C1" s="11" t="s">
        <v>258</v>
      </c>
      <c r="D1" s="11" t="s">
        <v>259</v>
      </c>
      <c r="E1" s="11" t="s">
        <v>260</v>
      </c>
      <c r="F1" s="11" t="s">
        <v>261</v>
      </c>
    </row>
    <row r="2" ht="15" customHeight="1">
      <c r="A2" s="3" t="s">
        <v>42</v>
      </c>
      <c r="B2" s="3" t="s">
        <v>262</v>
      </c>
      <c r="C2" s="3" t="n">
        <v>2023</v>
      </c>
      <c r="D2" s="13" t="n">
        <v>0.055</v>
      </c>
      <c r="E2" s="3" t="s">
        <v>46</v>
      </c>
      <c r="F2" s="3" t="s">
        <v>263</v>
      </c>
    </row>
    <row r="3" ht="15" customHeight="1">
      <c r="A3" s="3" t="s">
        <v>42</v>
      </c>
      <c r="B3" s="3" t="s">
        <v>262</v>
      </c>
      <c r="C3" s="3" t="n">
        <v>2024</v>
      </c>
      <c r="D3" s="13" t="n">
        <v>0.045</v>
      </c>
      <c r="E3" s="3" t="s">
        <v>46</v>
      </c>
      <c r="F3" s="3" t="s">
        <v>263</v>
      </c>
    </row>
    <row r="4" ht="15" customHeight="1">
      <c r="A4" s="3" t="s">
        <v>42</v>
      </c>
      <c r="B4" s="3" t="s">
        <v>264</v>
      </c>
      <c r="C4" s="3" t="n">
        <v>2023</v>
      </c>
      <c r="D4" s="13" t="n">
        <v>0.062</v>
      </c>
      <c r="E4" s="3" t="s">
        <v>46</v>
      </c>
      <c r="F4" s="3" t="s">
        <v>263</v>
      </c>
    </row>
    <row r="5" ht="15" customHeight="1">
      <c r="A5" s="3" t="s">
        <v>42</v>
      </c>
      <c r="B5" s="3" t="s">
        <v>264</v>
      </c>
      <c r="C5" s="3" t="n">
        <v>2024</v>
      </c>
      <c r="D5" s="13" t="n">
        <v>0.066</v>
      </c>
      <c r="E5" s="3" t="s">
        <v>46</v>
      </c>
      <c r="F5" s="3" t="s">
        <v>263</v>
      </c>
    </row>
    <row r="6" ht="15" customHeight="1">
      <c r="A6" s="3" t="s">
        <v>42</v>
      </c>
      <c r="B6" s="3" t="s">
        <v>265</v>
      </c>
      <c r="C6" s="3" t="n">
        <v>2023</v>
      </c>
      <c r="D6" s="13" t="n">
        <v>0.062</v>
      </c>
      <c r="E6" s="3" t="s">
        <v>46</v>
      </c>
      <c r="F6" s="3" t="s">
        <v>263</v>
      </c>
    </row>
    <row r="7" ht="15" customHeight="1">
      <c r="A7" s="3" t="s">
        <v>42</v>
      </c>
      <c r="B7" s="3" t="s">
        <v>265</v>
      </c>
      <c r="C7" s="3" t="n">
        <v>2024</v>
      </c>
      <c r="D7" s="13" t="n">
        <v>0.061</v>
      </c>
      <c r="E7" s="3" t="s">
        <v>46</v>
      </c>
      <c r="F7" s="3" t="s">
        <v>263</v>
      </c>
    </row>
    <row r="8" ht="15" customHeight="1">
      <c r="A8" s="3" t="s">
        <v>42</v>
      </c>
      <c r="B8" s="3" t="s">
        <v>266</v>
      </c>
      <c r="C8" s="3" t="n">
        <v>2023</v>
      </c>
      <c r="D8" s="13" t="n">
        <v>0.1055</v>
      </c>
      <c r="E8" s="3" t="s">
        <v>46</v>
      </c>
      <c r="F8" s="3" t="s">
        <v>263</v>
      </c>
    </row>
    <row r="9" ht="15" customHeight="1">
      <c r="A9" s="3" t="s">
        <v>42</v>
      </c>
      <c r="B9" s="3" t="s">
        <v>266</v>
      </c>
      <c r="C9" s="3" t="n">
        <v>2024</v>
      </c>
      <c r="D9" s="13" t="n">
        <v>0.0944</v>
      </c>
      <c r="E9" s="3" t="s">
        <v>46</v>
      </c>
      <c r="F9" s="3" t="s">
        <v>263</v>
      </c>
    </row>
    <row r="10" ht="15" customHeight="1">
      <c r="A10" s="3" t="s">
        <v>52</v>
      </c>
      <c r="B10" s="3" t="s">
        <v>262</v>
      </c>
      <c r="C10" s="3" t="n">
        <v>2023</v>
      </c>
      <c r="D10" s="13" t="n">
        <v>0.038</v>
      </c>
      <c r="E10" s="3" t="s">
        <v>46</v>
      </c>
      <c r="F10" s="3" t="s">
        <v>263</v>
      </c>
    </row>
    <row r="11" ht="15" customHeight="1">
      <c r="A11" s="3" t="s">
        <v>52</v>
      </c>
      <c r="B11" s="3" t="s">
        <v>262</v>
      </c>
      <c r="C11" s="3" t="n">
        <v>2024</v>
      </c>
      <c r="D11" s="13" t="n">
        <v>0.05</v>
      </c>
      <c r="E11" s="3" t="s">
        <v>46</v>
      </c>
      <c r="F11" s="3" t="s">
        <v>263</v>
      </c>
    </row>
    <row r="12" ht="15" customHeight="1">
      <c r="A12" s="3" t="s">
        <v>52</v>
      </c>
      <c r="B12" s="3" t="s">
        <v>264</v>
      </c>
      <c r="C12" s="3" t="n">
        <v>2023</v>
      </c>
      <c r="D12" s="13" t="n">
        <v>0.07</v>
      </c>
      <c r="E12" s="3" t="s">
        <v>46</v>
      </c>
      <c r="F12" s="3" t="s">
        <v>263</v>
      </c>
    </row>
    <row r="13" ht="15" customHeight="1">
      <c r="A13" s="3" t="s">
        <v>52</v>
      </c>
      <c r="B13" s="3" t="s">
        <v>264</v>
      </c>
      <c r="C13" s="3" t="n">
        <v>2024</v>
      </c>
      <c r="D13" s="13" t="n">
        <v>0.071</v>
      </c>
      <c r="E13" s="3" t="s">
        <v>46</v>
      </c>
      <c r="F13" s="3" t="s">
        <v>263</v>
      </c>
    </row>
    <row r="14" ht="15" customHeight="1">
      <c r="A14" s="3" t="s">
        <v>52</v>
      </c>
      <c r="B14" s="3" t="s">
        <v>265</v>
      </c>
      <c r="C14" s="3" t="n">
        <v>2023</v>
      </c>
      <c r="D14" s="13" t="n">
        <v>0.06</v>
      </c>
      <c r="E14" s="3" t="s">
        <v>46</v>
      </c>
      <c r="F14" s="3" t="s">
        <v>263</v>
      </c>
    </row>
    <row r="15" ht="15" customHeight="1">
      <c r="A15" s="3" t="s">
        <v>52</v>
      </c>
      <c r="B15" s="3" t="s">
        <v>265</v>
      </c>
      <c r="C15" s="3" t="n">
        <v>2024</v>
      </c>
      <c r="D15" s="13" t="n">
        <v>0.057</v>
      </c>
      <c r="E15" s="3" t="s">
        <v>46</v>
      </c>
      <c r="F15" s="3" t="s">
        <v>263</v>
      </c>
    </row>
    <row r="16" ht="15" customHeight="1">
      <c r="A16" s="3" t="s">
        <v>52</v>
      </c>
      <c r="B16" s="3" t="s">
        <v>266</v>
      </c>
      <c r="C16" s="3" t="n">
        <v>2023</v>
      </c>
      <c r="D16" s="13" t="n">
        <v>0.0997</v>
      </c>
      <c r="E16" s="3" t="s">
        <v>46</v>
      </c>
      <c r="F16" s="3" t="s">
        <v>263</v>
      </c>
    </row>
    <row r="17" ht="15" customHeight="1">
      <c r="A17" s="3" t="s">
        <v>52</v>
      </c>
      <c r="B17" s="3" t="s">
        <v>266</v>
      </c>
      <c r="C17" s="3" t="n">
        <v>2024</v>
      </c>
      <c r="D17" s="13" t="n">
        <v>0.0973</v>
      </c>
      <c r="E17" s="3" t="s">
        <v>46</v>
      </c>
      <c r="F17" s="3" t="s">
        <v>263</v>
      </c>
    </row>
    <row r="18" ht="15" customHeight="1">
      <c r="A18" s="3" t="s">
        <v>60</v>
      </c>
      <c r="B18" s="3" t="s">
        <v>262</v>
      </c>
      <c r="C18" s="3" t="n">
        <v>2023</v>
      </c>
      <c r="D18" s="13" t="n">
        <v>0.056</v>
      </c>
      <c r="E18" s="3" t="s">
        <v>46</v>
      </c>
      <c r="F18" s="3" t="s">
        <v>263</v>
      </c>
    </row>
    <row r="19" ht="15" customHeight="1">
      <c r="A19" s="3" t="s">
        <v>60</v>
      </c>
      <c r="B19" s="3" t="s">
        <v>262</v>
      </c>
      <c r="C19" s="3" t="n">
        <v>2024</v>
      </c>
      <c r="D19" s="13" t="n">
        <v>0.045</v>
      </c>
      <c r="E19" s="3" t="s">
        <v>46</v>
      </c>
      <c r="F19" s="3" t="s">
        <v>263</v>
      </c>
    </row>
    <row r="20" ht="15" customHeight="1">
      <c r="A20" s="3" t="s">
        <v>60</v>
      </c>
      <c r="B20" s="3" t="s">
        <v>264</v>
      </c>
      <c r="C20" s="3" t="n">
        <v>2023</v>
      </c>
      <c r="D20" s="13" t="n">
        <v>0.065</v>
      </c>
      <c r="E20" s="3" t="s">
        <v>46</v>
      </c>
      <c r="F20" s="3" t="s">
        <v>263</v>
      </c>
    </row>
    <row r="21" ht="15" customHeight="1">
      <c r="A21" s="3" t="s">
        <v>60</v>
      </c>
      <c r="B21" s="3" t="s">
        <v>264</v>
      </c>
      <c r="C21" s="3" t="n">
        <v>2024</v>
      </c>
      <c r="D21" s="13" t="n">
        <v>0.07</v>
      </c>
      <c r="E21" s="3" t="s">
        <v>46</v>
      </c>
      <c r="F21" s="3" t="s">
        <v>263</v>
      </c>
    </row>
    <row r="22" ht="15" customHeight="1">
      <c r="A22" s="3" t="s">
        <v>60</v>
      </c>
      <c r="B22" s="3" t="s">
        <v>265</v>
      </c>
      <c r="C22" s="3" t="n">
        <v>2023</v>
      </c>
      <c r="D22" s="13" t="n">
        <v>0.064</v>
      </c>
      <c r="E22" s="3" t="s">
        <v>46</v>
      </c>
      <c r="F22" s="3" t="s">
        <v>263</v>
      </c>
    </row>
    <row r="23" ht="15" customHeight="1">
      <c r="A23" s="3" t="s">
        <v>60</v>
      </c>
      <c r="B23" s="3" t="s">
        <v>265</v>
      </c>
      <c r="C23" s="3" t="n">
        <v>2024</v>
      </c>
      <c r="D23" s="13" t="n">
        <v>0.062</v>
      </c>
      <c r="E23" s="3" t="s">
        <v>46</v>
      </c>
      <c r="F23" s="3" t="s">
        <v>263</v>
      </c>
    </row>
    <row r="24" ht="15" customHeight="1">
      <c r="A24" s="3" t="s">
        <v>60</v>
      </c>
      <c r="B24" s="3" t="s">
        <v>266</v>
      </c>
      <c r="C24" s="3" t="n">
        <v>2023</v>
      </c>
      <c r="D24" s="13" t="n">
        <v>0.1071</v>
      </c>
      <c r="E24" s="3" t="s">
        <v>46</v>
      </c>
      <c r="F24" s="3" t="s">
        <v>263</v>
      </c>
    </row>
    <row r="25" ht="15" customHeight="1">
      <c r="A25" s="3" t="s">
        <v>60</v>
      </c>
      <c r="B25" s="3" t="s">
        <v>266</v>
      </c>
      <c r="C25" s="3" t="n">
        <v>2024</v>
      </c>
      <c r="D25" s="13" t="n">
        <v>0.0959</v>
      </c>
      <c r="E25" s="3" t="s">
        <v>46</v>
      </c>
      <c r="F25" s="3" t="s">
        <v>263</v>
      </c>
    </row>
    <row r="26" ht="15" customHeight="1">
      <c r="A26" s="3" t="s">
        <v>66</v>
      </c>
      <c r="B26" s="3" t="s">
        <v>262</v>
      </c>
      <c r="C26" s="3" t="n">
        <v>2024</v>
      </c>
      <c r="D26" s="13" t="n">
        <v>0.043</v>
      </c>
      <c r="E26" s="3" t="s">
        <v>69</v>
      </c>
      <c r="F26" s="3" t="s">
        <v>263</v>
      </c>
    </row>
    <row r="27" ht="15" customHeight="1">
      <c r="A27" s="3" t="s">
        <v>66</v>
      </c>
      <c r="B27" s="3" t="s">
        <v>264</v>
      </c>
      <c r="C27" s="3" t="n">
        <v>2024</v>
      </c>
      <c r="D27" s="13" t="n">
        <v>0.072</v>
      </c>
      <c r="E27" s="3" t="s">
        <v>69</v>
      </c>
      <c r="F27" s="3" t="s">
        <v>263</v>
      </c>
    </row>
    <row r="28" ht="15" customHeight="1">
      <c r="A28" s="3" t="s">
        <v>66</v>
      </c>
      <c r="B28" s="3" t="s">
        <v>265</v>
      </c>
      <c r="C28" s="3" t="n">
        <v>2024</v>
      </c>
      <c r="D28" s="13" t="n">
        <v>0.059</v>
      </c>
      <c r="E28" s="3" t="s">
        <v>69</v>
      </c>
      <c r="F28" s="3" t="s">
        <v>263</v>
      </c>
    </row>
    <row r="29" ht="15" customHeight="1">
      <c r="A29" s="3" t="s">
        <v>66</v>
      </c>
      <c r="B29" s="3" t="s">
        <v>266</v>
      </c>
      <c r="C29" s="3" t="n">
        <v>2024</v>
      </c>
      <c r="D29" s="13" t="n">
        <v>0.0954</v>
      </c>
      <c r="E29" s="3" t="s">
        <v>69</v>
      </c>
      <c r="F29" s="3" t="s">
        <v>263</v>
      </c>
    </row>
    <row r="30" ht="15" customHeight="1">
      <c r="A30" s="3" t="s">
        <v>73</v>
      </c>
      <c r="B30" s="3" t="s">
        <v>262</v>
      </c>
      <c r="C30" s="3" t="n">
        <v>2023</v>
      </c>
      <c r="D30" s="13" t="n">
        <v>0.038</v>
      </c>
      <c r="E30" s="3" t="s">
        <v>46</v>
      </c>
      <c r="F30" s="3" t="s">
        <v>263</v>
      </c>
    </row>
    <row r="31" ht="15" customHeight="1">
      <c r="A31" s="3" t="s">
        <v>73</v>
      </c>
      <c r="B31" s="3" t="s">
        <v>262</v>
      </c>
      <c r="C31" s="3" t="n">
        <v>2024</v>
      </c>
      <c r="D31" s="13" t="n">
        <v>0.051</v>
      </c>
      <c r="E31" s="3" t="s">
        <v>46</v>
      </c>
      <c r="F31" s="3" t="s">
        <v>263</v>
      </c>
    </row>
    <row r="32" ht="15" customHeight="1">
      <c r="A32" s="3" t="s">
        <v>73</v>
      </c>
      <c r="B32" s="3" t="s">
        <v>264</v>
      </c>
      <c r="C32" s="3" t="n">
        <v>2023</v>
      </c>
      <c r="D32" s="13" t="n">
        <v>0.069</v>
      </c>
      <c r="E32" s="3" t="s">
        <v>46</v>
      </c>
      <c r="F32" s="3" t="s">
        <v>263</v>
      </c>
    </row>
    <row r="33" ht="15" customHeight="1">
      <c r="A33" s="3" t="s">
        <v>73</v>
      </c>
      <c r="B33" s="3" t="s">
        <v>264</v>
      </c>
      <c r="C33" s="3" t="n">
        <v>2024</v>
      </c>
      <c r="D33" s="13" t="n">
        <v>0.073</v>
      </c>
      <c r="E33" s="3" t="s">
        <v>46</v>
      </c>
      <c r="F33" s="3" t="s">
        <v>263</v>
      </c>
    </row>
    <row r="34" ht="15" customHeight="1">
      <c r="A34" s="3" t="s">
        <v>73</v>
      </c>
      <c r="B34" s="3" t="s">
        <v>265</v>
      </c>
      <c r="C34" s="3" t="n">
        <v>2023</v>
      </c>
      <c r="D34" s="13" t="n">
        <v>0.062</v>
      </c>
      <c r="E34" s="3" t="s">
        <v>46</v>
      </c>
      <c r="F34" s="3" t="s">
        <v>263</v>
      </c>
    </row>
    <row r="35" ht="15" customHeight="1">
      <c r="A35" s="3" t="s">
        <v>73</v>
      </c>
      <c r="B35" s="3" t="s">
        <v>265</v>
      </c>
      <c r="C35" s="3" t="n">
        <v>2024</v>
      </c>
      <c r="D35" s="13" t="n">
        <v>0.062</v>
      </c>
      <c r="E35" s="3" t="s">
        <v>46</v>
      </c>
      <c r="F35" s="3" t="s">
        <v>263</v>
      </c>
    </row>
    <row r="36" ht="15" customHeight="1">
      <c r="A36" s="3" t="s">
        <v>73</v>
      </c>
      <c r="B36" s="3" t="s">
        <v>266</v>
      </c>
      <c r="C36" s="3" t="n">
        <v>2023</v>
      </c>
      <c r="D36" s="13" t="n">
        <v>0.1</v>
      </c>
      <c r="E36" s="3" t="s">
        <v>46</v>
      </c>
      <c r="F36" s="3" t="s">
        <v>263</v>
      </c>
    </row>
    <row r="37" ht="15" customHeight="1">
      <c r="A37" s="3" t="s">
        <v>73</v>
      </c>
      <c r="B37" s="3" t="s">
        <v>266</v>
      </c>
      <c r="C37" s="3" t="n">
        <v>2024</v>
      </c>
      <c r="D37" s="13" t="n">
        <v>0.0998</v>
      </c>
      <c r="E37" s="3" t="s">
        <v>46</v>
      </c>
      <c r="F37" s="3" t="s">
        <v>263</v>
      </c>
    </row>
    <row r="38" ht="15" customHeight="1">
      <c r="A38" s="3" t="s">
        <v>79</v>
      </c>
      <c r="B38" s="3" t="s">
        <v>262</v>
      </c>
      <c r="C38" s="3" t="n">
        <v>2023</v>
      </c>
      <c r="D38" s="13" t="n">
        <v>0.051</v>
      </c>
      <c r="E38" s="3" t="s">
        <v>83</v>
      </c>
      <c r="F38" s="3" t="s">
        <v>263</v>
      </c>
    </row>
    <row r="39" ht="15" customHeight="1">
      <c r="A39" s="3" t="s">
        <v>79</v>
      </c>
      <c r="B39" s="3" t="s">
        <v>262</v>
      </c>
      <c r="C39" s="3" t="n">
        <v>2024</v>
      </c>
      <c r="D39" s="13" t="n">
        <v>0.055</v>
      </c>
      <c r="E39" s="3" t="s">
        <v>83</v>
      </c>
      <c r="F39" s="3" t="s">
        <v>263</v>
      </c>
    </row>
    <row r="40" ht="15" customHeight="1">
      <c r="A40" s="3" t="s">
        <v>79</v>
      </c>
      <c r="B40" s="3" t="s">
        <v>264</v>
      </c>
      <c r="C40" s="3" t="n">
        <v>2023</v>
      </c>
      <c r="D40" s="13" t="n">
        <v>0.07</v>
      </c>
      <c r="E40" s="3" t="s">
        <v>83</v>
      </c>
      <c r="F40" s="3" t="s">
        <v>263</v>
      </c>
    </row>
    <row r="41" ht="15" customHeight="1">
      <c r="A41" s="3" t="s">
        <v>79</v>
      </c>
      <c r="B41" s="3" t="s">
        <v>264</v>
      </c>
      <c r="C41" s="3" t="n">
        <v>2024</v>
      </c>
      <c r="D41" s="13" t="n">
        <v>0.071</v>
      </c>
      <c r="E41" s="3" t="s">
        <v>83</v>
      </c>
      <c r="F41" s="3" t="s">
        <v>263</v>
      </c>
    </row>
    <row r="42" ht="15" customHeight="1">
      <c r="A42" s="3" t="s">
        <v>79</v>
      </c>
      <c r="B42" s="3" t="s">
        <v>265</v>
      </c>
      <c r="C42" s="3" t="n">
        <v>2023</v>
      </c>
      <c r="D42" s="13" t="n">
        <v>0.07</v>
      </c>
      <c r="E42" s="3" t="s">
        <v>83</v>
      </c>
      <c r="F42" s="3" t="s">
        <v>263</v>
      </c>
    </row>
    <row r="43" ht="15" customHeight="1">
      <c r="A43" s="3" t="s">
        <v>79</v>
      </c>
      <c r="B43" s="3" t="s">
        <v>265</v>
      </c>
      <c r="C43" s="3" t="n">
        <v>2024</v>
      </c>
      <c r="D43" s="13" t="n">
        <v>0.064</v>
      </c>
      <c r="E43" s="3" t="s">
        <v>83</v>
      </c>
      <c r="F43" s="3" t="s">
        <v>263</v>
      </c>
    </row>
    <row r="44" ht="15" customHeight="1">
      <c r="A44" s="3" t="s">
        <v>79</v>
      </c>
      <c r="B44" s="3" t="s">
        <v>266</v>
      </c>
      <c r="C44" s="3" t="n">
        <v>2023</v>
      </c>
      <c r="D44" s="13" t="n">
        <v>0.1053</v>
      </c>
      <c r="E44" s="3" t="s">
        <v>83</v>
      </c>
      <c r="F44" s="3" t="s">
        <v>263</v>
      </c>
    </row>
    <row r="45" ht="15" customHeight="1">
      <c r="A45" s="3" t="s">
        <v>79</v>
      </c>
      <c r="B45" s="3" t="s">
        <v>266</v>
      </c>
      <c r="C45" s="3" t="n">
        <v>2024</v>
      </c>
      <c r="D45" s="13" t="n">
        <v>0.1045</v>
      </c>
      <c r="E45" s="3" t="s">
        <v>83</v>
      </c>
      <c r="F45" s="3" t="s">
        <v>263</v>
      </c>
    </row>
    <row r="46" ht="15" customHeight="1">
      <c r="A46" s="3" t="s">
        <v>87</v>
      </c>
      <c r="B46" s="3" t="s">
        <v>262</v>
      </c>
      <c r="C46" s="3" t="n">
        <v>2023</v>
      </c>
      <c r="D46" s="13" t="n">
        <v>0.049</v>
      </c>
      <c r="E46" s="3" t="s">
        <v>46</v>
      </c>
      <c r="F46" s="3" t="s">
        <v>263</v>
      </c>
    </row>
    <row r="47" ht="15" customHeight="1">
      <c r="A47" s="3" t="s">
        <v>87</v>
      </c>
      <c r="B47" s="3" t="s">
        <v>262</v>
      </c>
      <c r="C47" s="3" t="n">
        <v>2024</v>
      </c>
      <c r="D47" s="13" t="n">
        <v>0.046</v>
      </c>
      <c r="E47" s="3" t="s">
        <v>46</v>
      </c>
      <c r="F47" s="3" t="s">
        <v>263</v>
      </c>
    </row>
    <row r="48" ht="15" customHeight="1">
      <c r="A48" s="3" t="s">
        <v>87</v>
      </c>
      <c r="B48" s="3" t="s">
        <v>264</v>
      </c>
      <c r="C48" s="3" t="n">
        <v>2023</v>
      </c>
      <c r="D48" s="13" t="n">
        <v>0.071</v>
      </c>
      <c r="E48" s="3" t="s">
        <v>46</v>
      </c>
      <c r="F48" s="3" t="s">
        <v>263</v>
      </c>
    </row>
    <row r="49" ht="15" customHeight="1">
      <c r="A49" s="3" t="s">
        <v>87</v>
      </c>
      <c r="B49" s="3" t="s">
        <v>264</v>
      </c>
      <c r="C49" s="3" t="n">
        <v>2024</v>
      </c>
      <c r="D49" s="13" t="n">
        <v>0.071</v>
      </c>
      <c r="E49" s="3" t="s">
        <v>46</v>
      </c>
      <c r="F49" s="3" t="s">
        <v>263</v>
      </c>
    </row>
    <row r="50" ht="15" customHeight="1">
      <c r="A50" s="3" t="s">
        <v>87</v>
      </c>
      <c r="B50" s="3" t="s">
        <v>265</v>
      </c>
      <c r="C50" s="3" t="n">
        <v>2023</v>
      </c>
      <c r="D50" s="13" t="n">
        <v>0.066</v>
      </c>
      <c r="E50" s="3" t="s">
        <v>46</v>
      </c>
      <c r="F50" s="3" t="s">
        <v>263</v>
      </c>
    </row>
    <row r="51" ht="15" customHeight="1">
      <c r="A51" s="3" t="s">
        <v>87</v>
      </c>
      <c r="B51" s="3" t="s">
        <v>265</v>
      </c>
      <c r="C51" s="3" t="n">
        <v>2024</v>
      </c>
      <c r="D51" s="13" t="n">
        <v>0.067</v>
      </c>
      <c r="E51" s="3" t="s">
        <v>46</v>
      </c>
      <c r="F51" s="3" t="s">
        <v>263</v>
      </c>
    </row>
    <row r="52" ht="15" customHeight="1">
      <c r="A52" s="3" t="s">
        <v>87</v>
      </c>
      <c r="B52" s="3" t="s">
        <v>266</v>
      </c>
      <c r="C52" s="3" t="n">
        <v>2023</v>
      </c>
      <c r="D52" s="13" t="n">
        <v>0.1045</v>
      </c>
      <c r="E52" s="3" t="s">
        <v>46</v>
      </c>
      <c r="F52" s="3" t="s">
        <v>263</v>
      </c>
    </row>
    <row r="53" ht="15" customHeight="1">
      <c r="A53" s="3" t="s">
        <v>87</v>
      </c>
      <c r="B53" s="3" t="s">
        <v>266</v>
      </c>
      <c r="C53" s="3" t="n">
        <v>2024</v>
      </c>
      <c r="D53" s="13" t="n">
        <v>0.0982</v>
      </c>
      <c r="E53" s="3" t="s">
        <v>46</v>
      </c>
      <c r="F53" s="3" t="s">
        <v>263</v>
      </c>
    </row>
    <row r="54" ht="15" customHeight="1">
      <c r="A54" s="3" t="s">
        <v>87</v>
      </c>
      <c r="B54" s="3" t="s">
        <v>266</v>
      </c>
      <c r="C54" s="3" t="n">
        <v>2022</v>
      </c>
      <c r="D54" s="13" t="n">
        <v>0.1143</v>
      </c>
      <c r="E54" s="3" t="s">
        <v>46</v>
      </c>
      <c r="F54" s="3" t="s">
        <v>263</v>
      </c>
    </row>
    <row r="55" ht="23.85" customHeight="1">
      <c r="A55" s="3" t="s">
        <v>92</v>
      </c>
      <c r="B55" s="3" t="s">
        <v>262</v>
      </c>
      <c r="C55" s="3" t="n">
        <v>2024</v>
      </c>
      <c r="D55" s="13" t="n">
        <v>0.052</v>
      </c>
      <c r="E55" s="3" t="s">
        <v>94</v>
      </c>
      <c r="F55" s="3" t="s">
        <v>263</v>
      </c>
    </row>
    <row r="56" ht="23.85" customHeight="1">
      <c r="A56" s="3" t="s">
        <v>92</v>
      </c>
      <c r="B56" s="3" t="s">
        <v>264</v>
      </c>
      <c r="C56" s="3" t="n">
        <v>2024</v>
      </c>
      <c r="D56" s="13" t="n">
        <v>0.069</v>
      </c>
      <c r="E56" s="3" t="s">
        <v>94</v>
      </c>
      <c r="F56" s="3" t="s">
        <v>263</v>
      </c>
    </row>
    <row r="57" ht="23.85" customHeight="1">
      <c r="A57" s="3" t="s">
        <v>92</v>
      </c>
      <c r="B57" s="3" t="s">
        <v>265</v>
      </c>
      <c r="C57" s="3" t="n">
        <v>2024</v>
      </c>
      <c r="D57" s="13" t="n">
        <v>0.063</v>
      </c>
      <c r="E57" s="3" t="s">
        <v>94</v>
      </c>
      <c r="F57" s="3" t="s">
        <v>263</v>
      </c>
    </row>
    <row r="58" ht="23.85" customHeight="1">
      <c r="A58" s="3" t="s">
        <v>92</v>
      </c>
      <c r="B58" s="3" t="s">
        <v>266</v>
      </c>
      <c r="C58" s="3" t="n">
        <v>2024</v>
      </c>
      <c r="D58" s="13" t="n">
        <v>0.1025</v>
      </c>
      <c r="E58" s="3" t="s">
        <v>94</v>
      </c>
      <c r="F58" s="3" t="s">
        <v>263</v>
      </c>
    </row>
    <row r="59" ht="15" customHeight="1">
      <c r="A59" s="3" t="s">
        <v>98</v>
      </c>
      <c r="B59" s="3" t="s">
        <v>262</v>
      </c>
      <c r="C59" s="3" t="n">
        <v>2023</v>
      </c>
      <c r="D59" s="13" t="n">
        <v>0.043</v>
      </c>
      <c r="E59" s="3" t="s">
        <v>46</v>
      </c>
      <c r="F59" s="3" t="s">
        <v>263</v>
      </c>
    </row>
    <row r="60" ht="15" customHeight="1">
      <c r="A60" s="3" t="s">
        <v>98</v>
      </c>
      <c r="B60" s="3" t="s">
        <v>262</v>
      </c>
      <c r="C60" s="3" t="n">
        <v>2024</v>
      </c>
      <c r="D60" s="13" t="n">
        <v>0.047</v>
      </c>
      <c r="E60" s="3" t="s">
        <v>46</v>
      </c>
      <c r="F60" s="3" t="s">
        <v>263</v>
      </c>
    </row>
    <row r="61" ht="15" customHeight="1">
      <c r="A61" s="3" t="s">
        <v>98</v>
      </c>
      <c r="B61" s="3" t="s">
        <v>264</v>
      </c>
      <c r="C61" s="3" t="n">
        <v>2023</v>
      </c>
      <c r="D61" s="13" t="n">
        <v>0.071</v>
      </c>
      <c r="E61" s="3" t="s">
        <v>46</v>
      </c>
      <c r="F61" s="3" t="s">
        <v>263</v>
      </c>
    </row>
    <row r="62" ht="15" customHeight="1">
      <c r="A62" s="3" t="s">
        <v>98</v>
      </c>
      <c r="B62" s="3" t="s">
        <v>264</v>
      </c>
      <c r="C62" s="3" t="n">
        <v>2024</v>
      </c>
      <c r="D62" s="13" t="n">
        <v>0.075</v>
      </c>
      <c r="E62" s="3" t="s">
        <v>46</v>
      </c>
      <c r="F62" s="3" t="s">
        <v>263</v>
      </c>
    </row>
    <row r="63" ht="15" customHeight="1">
      <c r="A63" s="3" t="s">
        <v>98</v>
      </c>
      <c r="B63" s="3" t="s">
        <v>265</v>
      </c>
      <c r="C63" s="3" t="n">
        <v>2023</v>
      </c>
      <c r="D63" s="13" t="n">
        <v>0.071</v>
      </c>
      <c r="E63" s="3" t="s">
        <v>46</v>
      </c>
      <c r="F63" s="3" t="s">
        <v>263</v>
      </c>
    </row>
    <row r="64" ht="15" customHeight="1">
      <c r="A64" s="3" t="s">
        <v>98</v>
      </c>
      <c r="B64" s="3" t="s">
        <v>265</v>
      </c>
      <c r="C64" s="3" t="n">
        <v>2024</v>
      </c>
      <c r="D64" s="13" t="n">
        <v>0.064</v>
      </c>
      <c r="E64" s="3" t="s">
        <v>46</v>
      </c>
      <c r="F64" s="3" t="s">
        <v>263</v>
      </c>
    </row>
    <row r="65" ht="15" customHeight="1">
      <c r="A65" s="3" t="s">
        <v>98</v>
      </c>
      <c r="B65" s="3" t="s">
        <v>266</v>
      </c>
      <c r="C65" s="3" t="n">
        <v>2023</v>
      </c>
      <c r="D65" s="13" t="n">
        <v>0.1043</v>
      </c>
      <c r="E65" s="3" t="s">
        <v>46</v>
      </c>
      <c r="F65" s="3" t="s">
        <v>263</v>
      </c>
    </row>
    <row r="66" ht="15" customHeight="1">
      <c r="A66" s="3" t="s">
        <v>98</v>
      </c>
      <c r="B66" s="3" t="s">
        <v>266</v>
      </c>
      <c r="C66" s="3" t="n">
        <v>2024</v>
      </c>
      <c r="D66" s="13" t="n">
        <v>0.0986</v>
      </c>
      <c r="E66" s="3" t="s">
        <v>46</v>
      </c>
      <c r="F66" s="3" t="s">
        <v>263</v>
      </c>
    </row>
    <row r="67" ht="15" customHeight="1">
      <c r="A67" s="3" t="s">
        <v>98</v>
      </c>
      <c r="B67" s="3" t="s">
        <v>266</v>
      </c>
      <c r="C67" s="3" t="n">
        <v>2022</v>
      </c>
      <c r="D67" s="13" t="n">
        <v>0.1145</v>
      </c>
      <c r="E67" s="3" t="s">
        <v>46</v>
      </c>
      <c r="F67" s="3" t="s">
        <v>263</v>
      </c>
    </row>
    <row r="68" ht="23.85" customHeight="1">
      <c r="A68" s="3" t="s">
        <v>105</v>
      </c>
      <c r="B68" s="3" t="s">
        <v>262</v>
      </c>
      <c r="C68" s="3" t="n">
        <v>2024</v>
      </c>
      <c r="D68" s="13" t="n">
        <v>0.0491</v>
      </c>
      <c r="E68" s="3" t="s">
        <v>69</v>
      </c>
      <c r="F68" s="3" t="s">
        <v>263</v>
      </c>
    </row>
    <row r="69" ht="23.85" customHeight="1">
      <c r="A69" s="3" t="s">
        <v>105</v>
      </c>
      <c r="B69" s="3" t="s">
        <v>264</v>
      </c>
      <c r="C69" s="3" t="n">
        <v>2024</v>
      </c>
      <c r="D69" s="13" t="n">
        <v>0.0727</v>
      </c>
      <c r="E69" s="3" t="s">
        <v>69</v>
      </c>
      <c r="F69" s="3" t="s">
        <v>263</v>
      </c>
    </row>
    <row r="70" ht="23.85" customHeight="1">
      <c r="A70" s="3" t="s">
        <v>105</v>
      </c>
      <c r="B70" s="3" t="s">
        <v>265</v>
      </c>
      <c r="C70" s="3" t="n">
        <v>2024</v>
      </c>
      <c r="D70" s="13" t="n">
        <v>0.0637</v>
      </c>
      <c r="E70" s="3" t="s">
        <v>69</v>
      </c>
      <c r="F70" s="3" t="s">
        <v>263</v>
      </c>
    </row>
    <row r="71" ht="23.85" customHeight="1">
      <c r="A71" s="3" t="s">
        <v>105</v>
      </c>
      <c r="B71" s="3" t="s">
        <v>266</v>
      </c>
      <c r="C71" s="3" t="n">
        <v>2024</v>
      </c>
      <c r="D71" s="13" t="n">
        <v>0.0988</v>
      </c>
      <c r="E71" s="3" t="s">
        <v>69</v>
      </c>
      <c r="F71" s="3" t="s">
        <v>263</v>
      </c>
    </row>
    <row r="72" ht="35.05" customHeight="1">
      <c r="A72" s="3" t="s">
        <v>267</v>
      </c>
      <c r="B72" s="3" t="s">
        <v>262</v>
      </c>
      <c r="C72" s="3" t="n">
        <v>2023</v>
      </c>
      <c r="D72" s="13" t="n">
        <v>0.0403</v>
      </c>
      <c r="E72" s="3" t="s">
        <v>268</v>
      </c>
      <c r="F72" s="3" t="s">
        <v>263</v>
      </c>
    </row>
    <row r="73" ht="35.05" customHeight="1">
      <c r="A73" s="3" t="s">
        <v>267</v>
      </c>
      <c r="B73" s="3" t="s">
        <v>262</v>
      </c>
      <c r="C73" s="3" t="n">
        <v>2024</v>
      </c>
      <c r="D73" s="13" t="n">
        <v>0.0491</v>
      </c>
      <c r="E73" s="3" t="s">
        <v>268</v>
      </c>
      <c r="F73" s="3" t="s">
        <v>263</v>
      </c>
    </row>
    <row r="74" ht="35.05" customHeight="1">
      <c r="A74" s="3" t="s">
        <v>267</v>
      </c>
      <c r="B74" s="3" t="s">
        <v>264</v>
      </c>
      <c r="C74" s="3" t="n">
        <v>2023</v>
      </c>
      <c r="D74" s="13" t="n">
        <v>0.0706</v>
      </c>
      <c r="E74" s="3" t="s">
        <v>268</v>
      </c>
      <c r="F74" s="3" t="s">
        <v>263</v>
      </c>
    </row>
    <row r="75" ht="35.05" customHeight="1">
      <c r="A75" s="3" t="s">
        <v>267</v>
      </c>
      <c r="B75" s="3" t="s">
        <v>264</v>
      </c>
      <c r="C75" s="3" t="n">
        <v>2024</v>
      </c>
      <c r="D75" s="13" t="n">
        <v>0.0727</v>
      </c>
      <c r="E75" s="3" t="s">
        <v>268</v>
      </c>
      <c r="F75" s="3" t="s">
        <v>263</v>
      </c>
    </row>
    <row r="76" ht="35.05" customHeight="1">
      <c r="A76" s="3" t="s">
        <v>267</v>
      </c>
      <c r="B76" s="3" t="s">
        <v>265</v>
      </c>
      <c r="C76" s="3" t="n">
        <v>2023</v>
      </c>
      <c r="D76" s="13" t="n">
        <v>0.0703</v>
      </c>
      <c r="E76" s="3" t="s">
        <v>268</v>
      </c>
      <c r="F76" s="3" t="s">
        <v>263</v>
      </c>
    </row>
    <row r="77" ht="35.05" customHeight="1">
      <c r="A77" s="3" t="s">
        <v>267</v>
      </c>
      <c r="B77" s="3" t="s">
        <v>265</v>
      </c>
      <c r="C77" s="3" t="n">
        <v>2024</v>
      </c>
      <c r="D77" s="13" t="n">
        <v>0.0637</v>
      </c>
      <c r="E77" s="3" t="s">
        <v>268</v>
      </c>
      <c r="F77" s="3" t="s">
        <v>263</v>
      </c>
    </row>
    <row r="78" ht="35.05" customHeight="1">
      <c r="A78" s="3" t="s">
        <v>267</v>
      </c>
      <c r="B78" s="3" t="s">
        <v>266</v>
      </c>
      <c r="C78" s="3" t="n">
        <v>2023</v>
      </c>
      <c r="D78" s="13" t="n">
        <v>0.1028</v>
      </c>
      <c r="E78" s="3" t="s">
        <v>268</v>
      </c>
      <c r="F78" s="3" t="s">
        <v>263</v>
      </c>
    </row>
    <row r="79" ht="35.05" customHeight="1">
      <c r="A79" s="3" t="s">
        <v>267</v>
      </c>
      <c r="B79" s="3" t="s">
        <v>266</v>
      </c>
      <c r="C79" s="3" t="n">
        <v>2024</v>
      </c>
      <c r="D79" s="13" t="n">
        <v>0.0988</v>
      </c>
      <c r="E79" s="3" t="s">
        <v>268</v>
      </c>
      <c r="F79" s="3" t="s">
        <v>263</v>
      </c>
    </row>
    <row r="80">
      <c r="A80" t="s">
        <v>387</v>
      </c>
      <c r="B80" t="s">
        <v>266</v>
      </c>
      <c r="C80" t="n">
        <v>2023</v>
      </c>
      <c r="D80" t="n">
        <v>0.10406</v>
      </c>
      <c r="E80" t="s">
        <v>388</v>
      </c>
      <c r="F80" t="s">
        <v>389</v>
      </c>
    </row>
    <row r="81">
      <c r="A81" t="s">
        <v>387</v>
      </c>
      <c r="B81" t="s">
        <v>264</v>
      </c>
      <c r="C81" t="n">
        <v>2023</v>
      </c>
      <c r="D81" t="n">
        <v>0.0708</v>
      </c>
      <c r="E81" t="s">
        <v>388</v>
      </c>
      <c r="F81" t="s">
        <v>389</v>
      </c>
    </row>
    <row r="82">
      <c r="A82" t="s">
        <v>387</v>
      </c>
      <c r="B82" t="s">
        <v>265</v>
      </c>
      <c r="C82" t="n">
        <v>2023</v>
      </c>
      <c r="D82" t="n">
        <v>0.07089</v>
      </c>
      <c r="E82" t="s">
        <v>388</v>
      </c>
      <c r="F82" t="s">
        <v>389</v>
      </c>
    </row>
    <row r="83">
      <c r="A83" t="s">
        <v>387</v>
      </c>
      <c r="B83" t="s">
        <v>262</v>
      </c>
      <c r="C83" t="n">
        <v>2023</v>
      </c>
      <c r="D83" t="n">
        <v>0.04262</v>
      </c>
      <c r="E83" t="s">
        <v>388</v>
      </c>
      <c r="F83" t="s">
        <v>389</v>
      </c>
    </row>
    <row r="84">
      <c r="A84" t="s">
        <v>387</v>
      </c>
      <c r="B84" t="s">
        <v>266</v>
      </c>
      <c r="C84" t="n">
        <v>2024</v>
      </c>
      <c r="D84" t="n">
        <v>0.09866</v>
      </c>
      <c r="E84" t="s">
        <v>388</v>
      </c>
      <c r="F84" t="s">
        <v>389</v>
      </c>
    </row>
    <row r="85">
      <c r="A85" t="s">
        <v>387</v>
      </c>
      <c r="B85" t="s">
        <v>264</v>
      </c>
      <c r="C85" t="n">
        <v>2024</v>
      </c>
      <c r="D85" t="n">
        <v>0.07244</v>
      </c>
      <c r="E85" t="s">
        <v>388</v>
      </c>
      <c r="F85" t="s">
        <v>389</v>
      </c>
    </row>
    <row r="86">
      <c r="A86" t="s">
        <v>387</v>
      </c>
      <c r="B86" t="s">
        <v>265</v>
      </c>
      <c r="C86" t="n">
        <v>2024</v>
      </c>
      <c r="D86" t="n">
        <v>0.06349</v>
      </c>
      <c r="E86" t="s">
        <v>388</v>
      </c>
      <c r="F86" t="s">
        <v>389</v>
      </c>
    </row>
    <row r="87">
      <c r="A87" t="s">
        <v>387</v>
      </c>
      <c r="B87" t="s">
        <v>262</v>
      </c>
      <c r="C87" t="n">
        <v>2024</v>
      </c>
      <c r="D87" t="n">
        <v>0.04891</v>
      </c>
      <c r="E87" t="s">
        <v>388</v>
      </c>
      <c r="F87" t="s">
        <v>389</v>
      </c>
    </row>
    <row r="88">
      <c r="A88" t="s">
        <v>390</v>
      </c>
      <c r="B88" t="s">
        <v>266</v>
      </c>
      <c r="C88" t="n">
        <v>2023</v>
      </c>
      <c r="D88" t="n">
        <v>0.10406</v>
      </c>
      <c r="E88" t="s">
        <v>388</v>
      </c>
      <c r="F88" t="s">
        <v>391</v>
      </c>
    </row>
    <row r="89">
      <c r="A89" t="s">
        <v>390</v>
      </c>
      <c r="B89" t="s">
        <v>264</v>
      </c>
      <c r="C89" t="n">
        <v>2023</v>
      </c>
      <c r="D89" t="n">
        <v>0.0708</v>
      </c>
      <c r="E89" t="s">
        <v>388</v>
      </c>
      <c r="F89" t="s">
        <v>391</v>
      </c>
    </row>
    <row r="90">
      <c r="A90" t="s">
        <v>390</v>
      </c>
      <c r="B90" t="s">
        <v>265</v>
      </c>
      <c r="C90" t="n">
        <v>2023</v>
      </c>
      <c r="D90" t="n">
        <v>0.07089</v>
      </c>
      <c r="E90" t="s">
        <v>388</v>
      </c>
      <c r="F90" t="s">
        <v>391</v>
      </c>
    </row>
    <row r="91">
      <c r="A91" t="s">
        <v>390</v>
      </c>
      <c r="B91" t="s">
        <v>262</v>
      </c>
      <c r="C91" t="n">
        <v>2023</v>
      </c>
      <c r="D91" t="n">
        <v>0.04264</v>
      </c>
      <c r="E91" t="s">
        <v>388</v>
      </c>
      <c r="F91" t="s">
        <v>391</v>
      </c>
    </row>
    <row r="92">
      <c r="A92" t="s">
        <v>390</v>
      </c>
      <c r="B92" t="s">
        <v>266</v>
      </c>
      <c r="C92" t="n">
        <v>2024</v>
      </c>
      <c r="D92" t="n">
        <v>0.09873</v>
      </c>
      <c r="E92" t="s">
        <v>388</v>
      </c>
      <c r="F92" t="s">
        <v>391</v>
      </c>
    </row>
    <row r="93">
      <c r="A93" t="s">
        <v>390</v>
      </c>
      <c r="B93" t="s">
        <v>264</v>
      </c>
      <c r="C93" t="n">
        <v>2024</v>
      </c>
      <c r="D93" t="n">
        <v>0.07256</v>
      </c>
      <c r="E93" t="s">
        <v>388</v>
      </c>
      <c r="F93" t="s">
        <v>391</v>
      </c>
    </row>
    <row r="94">
      <c r="A94" t="s">
        <v>390</v>
      </c>
      <c r="B94" t="s">
        <v>265</v>
      </c>
      <c r="C94" t="n">
        <v>2024</v>
      </c>
      <c r="D94" t="n">
        <v>0.06345</v>
      </c>
      <c r="E94" t="s">
        <v>388</v>
      </c>
      <c r="F94" t="s">
        <v>391</v>
      </c>
    </row>
    <row r="95">
      <c r="A95" t="s">
        <v>390</v>
      </c>
      <c r="B95" t="s">
        <v>262</v>
      </c>
      <c r="C95" t="n">
        <v>2024</v>
      </c>
      <c r="D95" t="n">
        <v>0.04899</v>
      </c>
      <c r="E95" t="s">
        <v>388</v>
      </c>
      <c r="F95" t="s">
        <v>391</v>
      </c>
    </row>
    <row r="96">
      <c r="A96" t="s">
        <v>392</v>
      </c>
      <c r="B96" t="s">
        <v>266</v>
      </c>
      <c r="C96" t="n">
        <v>2023</v>
      </c>
      <c r="D96" t="n">
        <v>0.10435</v>
      </c>
      <c r="E96" t="s">
        <v>388</v>
      </c>
      <c r="F96" t="s">
        <v>393</v>
      </c>
    </row>
    <row r="97">
      <c r="A97" t="s">
        <v>392</v>
      </c>
      <c r="B97" t="s">
        <v>264</v>
      </c>
      <c r="C97" t="n">
        <v>2023</v>
      </c>
      <c r="D97" t="n">
        <v>0.0708</v>
      </c>
      <c r="E97" t="s">
        <v>388</v>
      </c>
      <c r="F97" t="s">
        <v>393</v>
      </c>
    </row>
    <row r="98">
      <c r="A98" t="s">
        <v>392</v>
      </c>
      <c r="B98" t="s">
        <v>265</v>
      </c>
      <c r="C98" t="n">
        <v>2023</v>
      </c>
      <c r="D98" t="n">
        <v>0.07089</v>
      </c>
      <c r="E98" t="s">
        <v>388</v>
      </c>
      <c r="F98" t="s">
        <v>393</v>
      </c>
    </row>
    <row r="99">
      <c r="A99" t="s">
        <v>392</v>
      </c>
      <c r="B99" t="s">
        <v>262</v>
      </c>
      <c r="C99" t="n">
        <v>2023</v>
      </c>
      <c r="D99" t="n">
        <v>0.04327</v>
      </c>
      <c r="E99" t="s">
        <v>388</v>
      </c>
      <c r="F99" t="s">
        <v>393</v>
      </c>
    </row>
    <row r="100">
      <c r="A100" t="s">
        <v>392</v>
      </c>
      <c r="B100" t="s">
        <v>266</v>
      </c>
      <c r="C100" t="n">
        <v>2024</v>
      </c>
      <c r="D100" t="n">
        <v>0.09864</v>
      </c>
      <c r="E100" t="s">
        <v>388</v>
      </c>
      <c r="F100" t="s">
        <v>393</v>
      </c>
    </row>
    <row r="101">
      <c r="A101" t="s">
        <v>392</v>
      </c>
      <c r="B101" t="s">
        <v>264</v>
      </c>
      <c r="C101" t="n">
        <v>2024</v>
      </c>
      <c r="D101" t="n">
        <v>0.07258</v>
      </c>
      <c r="E101" t="s">
        <v>388</v>
      </c>
      <c r="F101" t="s">
        <v>393</v>
      </c>
    </row>
    <row r="102">
      <c r="A102" t="s">
        <v>392</v>
      </c>
      <c r="B102" t="s">
        <v>265</v>
      </c>
      <c r="C102" t="n">
        <v>2024</v>
      </c>
      <c r="D102" t="n">
        <v>0.06344</v>
      </c>
      <c r="E102" t="s">
        <v>388</v>
      </c>
      <c r="F102" t="s">
        <v>393</v>
      </c>
    </row>
    <row r="103">
      <c r="A103" t="s">
        <v>392</v>
      </c>
      <c r="B103" t="s">
        <v>262</v>
      </c>
      <c r="C103" t="n">
        <v>2024</v>
      </c>
      <c r="D103" t="n">
        <v>0.04876</v>
      </c>
      <c r="E103" t="s">
        <v>388</v>
      </c>
      <c r="F103" t="s">
        <v>393</v>
      </c>
    </row>
    <row r="104">
      <c r="A104" t="s">
        <v>394</v>
      </c>
      <c r="B104" t="s">
        <v>266</v>
      </c>
      <c r="C104" t="n">
        <v>2023</v>
      </c>
      <c r="D104" t="n">
        <v>0.10549</v>
      </c>
      <c r="E104" t="s">
        <v>388</v>
      </c>
      <c r="F104" t="s">
        <v>395</v>
      </c>
    </row>
    <row r="105">
      <c r="A105" t="s">
        <v>394</v>
      </c>
      <c r="B105" t="s">
        <v>264</v>
      </c>
      <c r="C105" t="n">
        <v>2023</v>
      </c>
      <c r="D105" t="n">
        <v>0.07142</v>
      </c>
      <c r="E105" t="s">
        <v>388</v>
      </c>
      <c r="F105" t="s">
        <v>395</v>
      </c>
    </row>
    <row r="106">
      <c r="A106" t="s">
        <v>394</v>
      </c>
      <c r="B106" t="s">
        <v>265</v>
      </c>
      <c r="C106" t="n">
        <v>2023</v>
      </c>
      <c r="D106" t="n">
        <v>0.07071</v>
      </c>
      <c r="E106" t="s">
        <v>388</v>
      </c>
      <c r="F106" t="s">
        <v>395</v>
      </c>
    </row>
    <row r="107">
      <c r="A107" t="s">
        <v>394</v>
      </c>
      <c r="B107" t="s">
        <v>262</v>
      </c>
      <c r="C107" t="n">
        <v>2023</v>
      </c>
      <c r="D107" t="n">
        <v>0.0454</v>
      </c>
      <c r="E107" t="s">
        <v>388</v>
      </c>
      <c r="F107" t="s">
        <v>395</v>
      </c>
    </row>
    <row r="108">
      <c r="A108" t="s">
        <v>394</v>
      </c>
      <c r="B108" t="s">
        <v>266</v>
      </c>
      <c r="C108" t="n">
        <v>2024</v>
      </c>
      <c r="D108" t="n">
        <v>0.09926</v>
      </c>
      <c r="E108" t="s">
        <v>388</v>
      </c>
      <c r="F108" t="s">
        <v>395</v>
      </c>
    </row>
    <row r="109">
      <c r="A109" t="s">
        <v>394</v>
      </c>
      <c r="B109" t="s">
        <v>264</v>
      </c>
      <c r="C109" t="n">
        <v>2024</v>
      </c>
      <c r="D109" t="n">
        <v>0.07311</v>
      </c>
      <c r="E109" t="s">
        <v>388</v>
      </c>
      <c r="F109" t="s">
        <v>395</v>
      </c>
    </row>
    <row r="110">
      <c r="A110" t="s">
        <v>394</v>
      </c>
      <c r="B110" t="s">
        <v>265</v>
      </c>
      <c r="C110" t="n">
        <v>2024</v>
      </c>
      <c r="D110" t="n">
        <v>0.06362</v>
      </c>
      <c r="E110" t="s">
        <v>388</v>
      </c>
      <c r="F110" t="s">
        <v>395</v>
      </c>
    </row>
    <row r="111">
      <c r="A111" t="s">
        <v>394</v>
      </c>
      <c r="B111" t="s">
        <v>262</v>
      </c>
      <c r="C111" t="n">
        <v>2024</v>
      </c>
      <c r="D111" t="n">
        <v>0.04971</v>
      </c>
      <c r="E111" t="s">
        <v>388</v>
      </c>
      <c r="F111" t="s">
        <v>395</v>
      </c>
    </row>
    <row r="112">
      <c r="A112" t="s">
        <v>396</v>
      </c>
      <c r="B112" t="s">
        <v>266</v>
      </c>
      <c r="C112" t="n">
        <v>2023</v>
      </c>
      <c r="D112" t="n">
        <v>0.10401</v>
      </c>
      <c r="E112" t="s">
        <v>388</v>
      </c>
      <c r="F112" t="s">
        <v>397</v>
      </c>
    </row>
    <row r="113">
      <c r="A113" t="s">
        <v>396</v>
      </c>
      <c r="B113" t="s">
        <v>264</v>
      </c>
      <c r="C113" t="n">
        <v>2023</v>
      </c>
      <c r="D113" t="n">
        <v>0.07103</v>
      </c>
      <c r="E113" t="s">
        <v>388</v>
      </c>
      <c r="F113" t="s">
        <v>397</v>
      </c>
    </row>
    <row r="114">
      <c r="A114" t="s">
        <v>396</v>
      </c>
      <c r="B114" t="s">
        <v>265</v>
      </c>
      <c r="C114" t="n">
        <v>2023</v>
      </c>
      <c r="D114" t="n">
        <v>0.07107</v>
      </c>
      <c r="E114" t="s">
        <v>388</v>
      </c>
      <c r="F114" t="s">
        <v>397</v>
      </c>
    </row>
    <row r="115">
      <c r="A115" t="s">
        <v>396</v>
      </c>
      <c r="B115" t="s">
        <v>262</v>
      </c>
      <c r="C115" t="n">
        <v>2023</v>
      </c>
      <c r="D115" t="n">
        <v>0.04229</v>
      </c>
      <c r="E115" t="s">
        <v>388</v>
      </c>
      <c r="F115" t="s">
        <v>397</v>
      </c>
    </row>
    <row r="116">
      <c r="A116" t="s">
        <v>396</v>
      </c>
      <c r="B116" t="s">
        <v>266</v>
      </c>
      <c r="C116" t="n">
        <v>2024</v>
      </c>
      <c r="D116" t="n">
        <v>0.09991</v>
      </c>
      <c r="E116" t="s">
        <v>388</v>
      </c>
      <c r="F116" t="s">
        <v>397</v>
      </c>
    </row>
    <row r="117">
      <c r="A117" t="s">
        <v>396</v>
      </c>
      <c r="B117" t="s">
        <v>264</v>
      </c>
      <c r="C117" t="n">
        <v>2024</v>
      </c>
      <c r="D117" t="n">
        <v>0.07332</v>
      </c>
      <c r="E117" t="s">
        <v>388</v>
      </c>
      <c r="F117" t="s">
        <v>397</v>
      </c>
    </row>
    <row r="118">
      <c r="A118" t="s">
        <v>396</v>
      </c>
      <c r="B118" t="s">
        <v>265</v>
      </c>
      <c r="C118" t="n">
        <v>2024</v>
      </c>
      <c r="D118" t="n">
        <v>0.06309</v>
      </c>
      <c r="E118" t="s">
        <v>388</v>
      </c>
      <c r="F118" t="s">
        <v>397</v>
      </c>
    </row>
    <row r="119">
      <c r="A119" t="s">
        <v>396</v>
      </c>
      <c r="B119" t="s">
        <v>262</v>
      </c>
      <c r="C119" t="n">
        <v>2024</v>
      </c>
      <c r="D119" t="n">
        <v>0.05128</v>
      </c>
      <c r="E119" t="s">
        <v>388</v>
      </c>
      <c r="F119" t="s">
        <v>397</v>
      </c>
    </row>
    <row r="120">
      <c r="A120" t="s">
        <v>398</v>
      </c>
      <c r="B120" t="s">
        <v>266</v>
      </c>
      <c r="C120" t="n">
        <v>2023</v>
      </c>
      <c r="D120" t="n">
        <v>0.1042</v>
      </c>
      <c r="E120" t="s">
        <v>388</v>
      </c>
      <c r="F120" t="s">
        <v>399</v>
      </c>
    </row>
    <row r="121">
      <c r="A121" t="s">
        <v>398</v>
      </c>
      <c r="B121" t="s">
        <v>264</v>
      </c>
      <c r="C121" t="n">
        <v>2023</v>
      </c>
      <c r="D121" t="n">
        <v>0.07104</v>
      </c>
      <c r="E121" t="s">
        <v>388</v>
      </c>
      <c r="F121" t="s">
        <v>399</v>
      </c>
    </row>
    <row r="122">
      <c r="A122" t="s">
        <v>398</v>
      </c>
      <c r="B122" t="s">
        <v>265</v>
      </c>
      <c r="C122" t="n">
        <v>2023</v>
      </c>
      <c r="D122" t="n">
        <v>0.07089</v>
      </c>
      <c r="E122" t="s">
        <v>388</v>
      </c>
      <c r="F122" t="s">
        <v>399</v>
      </c>
    </row>
    <row r="123">
      <c r="A123" t="s">
        <v>398</v>
      </c>
      <c r="B123" t="s">
        <v>262</v>
      </c>
      <c r="C123" t="n">
        <v>2023</v>
      </c>
      <c r="D123" t="n">
        <v>0.04276</v>
      </c>
      <c r="E123" t="s">
        <v>388</v>
      </c>
      <c r="F123" t="s">
        <v>399</v>
      </c>
    </row>
    <row r="124">
      <c r="A124" t="s">
        <v>398</v>
      </c>
      <c r="B124" t="s">
        <v>266</v>
      </c>
      <c r="C124" t="n">
        <v>2024</v>
      </c>
      <c r="D124" t="n">
        <v>0.09976</v>
      </c>
      <c r="E124" t="s">
        <v>388</v>
      </c>
      <c r="F124" t="s">
        <v>399</v>
      </c>
    </row>
    <row r="125">
      <c r="A125" t="s">
        <v>398</v>
      </c>
      <c r="B125" t="s">
        <v>264</v>
      </c>
      <c r="C125" t="n">
        <v>2024</v>
      </c>
      <c r="D125" t="n">
        <v>0.07259</v>
      </c>
      <c r="E125" t="s">
        <v>388</v>
      </c>
      <c r="F125" t="s">
        <v>399</v>
      </c>
    </row>
    <row r="126">
      <c r="A126" t="s">
        <v>398</v>
      </c>
      <c r="B126" t="s">
        <v>265</v>
      </c>
      <c r="C126" t="n">
        <v>2024</v>
      </c>
      <c r="D126" t="n">
        <v>0.06327</v>
      </c>
      <c r="E126" t="s">
        <v>388</v>
      </c>
      <c r="F126" t="s">
        <v>399</v>
      </c>
    </row>
    <row r="127">
      <c r="A127" t="s">
        <v>398</v>
      </c>
      <c r="B127" t="s">
        <v>262</v>
      </c>
      <c r="C127" t="n">
        <v>2024</v>
      </c>
      <c r="D127" t="n">
        <v>0.05145</v>
      </c>
      <c r="E127" t="s">
        <v>388</v>
      </c>
      <c r="F127" t="s">
        <v>399</v>
      </c>
    </row>
    <row r="128">
      <c r="A128" t="s">
        <v>400</v>
      </c>
      <c r="B128" t="s">
        <v>266</v>
      </c>
      <c r="C128" t="n">
        <v>2023</v>
      </c>
      <c r="D128" t="n">
        <v>0.1048</v>
      </c>
      <c r="E128" t="s">
        <v>388</v>
      </c>
      <c r="F128" t="s">
        <v>401</v>
      </c>
    </row>
    <row r="129">
      <c r="A129" t="s">
        <v>400</v>
      </c>
      <c r="B129" t="s">
        <v>264</v>
      </c>
      <c r="C129" t="n">
        <v>2023</v>
      </c>
      <c r="D129" t="n">
        <v>0.07142</v>
      </c>
      <c r="E129" t="s">
        <v>388</v>
      </c>
      <c r="F129" t="s">
        <v>401</v>
      </c>
    </row>
    <row r="130">
      <c r="A130" t="s">
        <v>400</v>
      </c>
      <c r="B130" t="s">
        <v>265</v>
      </c>
      <c r="C130" t="n">
        <v>2023</v>
      </c>
      <c r="D130" t="n">
        <v>0.07071</v>
      </c>
      <c r="E130" t="s">
        <v>388</v>
      </c>
      <c r="F130" t="s">
        <v>401</v>
      </c>
    </row>
    <row r="131">
      <c r="A131" t="s">
        <v>400</v>
      </c>
      <c r="B131" t="s">
        <v>262</v>
      </c>
      <c r="C131" t="n">
        <v>2023</v>
      </c>
      <c r="D131" t="n">
        <v>0.04388</v>
      </c>
      <c r="E131" t="s">
        <v>388</v>
      </c>
      <c r="F131" t="s">
        <v>401</v>
      </c>
    </row>
    <row r="132">
      <c r="A132" t="s">
        <v>400</v>
      </c>
      <c r="B132" t="s">
        <v>266</v>
      </c>
      <c r="C132" t="n">
        <v>2024</v>
      </c>
      <c r="D132" t="n">
        <v>0.09878</v>
      </c>
      <c r="E132" t="s">
        <v>388</v>
      </c>
      <c r="F132" t="s">
        <v>401</v>
      </c>
    </row>
    <row r="133">
      <c r="A133" t="s">
        <v>400</v>
      </c>
      <c r="B133" t="s">
        <v>264</v>
      </c>
      <c r="C133" t="n">
        <v>2024</v>
      </c>
      <c r="D133" t="n">
        <v>0.07299</v>
      </c>
      <c r="E133" t="s">
        <v>388</v>
      </c>
      <c r="F133" t="s">
        <v>401</v>
      </c>
    </row>
    <row r="134">
      <c r="A134" t="s">
        <v>400</v>
      </c>
      <c r="B134" t="s">
        <v>265</v>
      </c>
      <c r="C134" t="n">
        <v>2024</v>
      </c>
      <c r="D134" t="n">
        <v>0.06348</v>
      </c>
      <c r="E134" t="s">
        <v>388</v>
      </c>
      <c r="F134" t="s">
        <v>401</v>
      </c>
    </row>
    <row r="135">
      <c r="A135" t="s">
        <v>400</v>
      </c>
      <c r="B135" t="s">
        <v>262</v>
      </c>
      <c r="C135" t="n">
        <v>2024</v>
      </c>
      <c r="D135" t="n">
        <v>0.04874</v>
      </c>
      <c r="E135" t="s">
        <v>388</v>
      </c>
      <c r="F135" t="s">
        <v>401</v>
      </c>
    </row>
    <row r="136">
      <c r="A136" t="s">
        <v>402</v>
      </c>
      <c r="B136" t="s">
        <v>266</v>
      </c>
      <c r="C136" t="n">
        <v>2023</v>
      </c>
      <c r="D136" t="n">
        <v>0.10462</v>
      </c>
      <c r="E136" t="s">
        <v>388</v>
      </c>
      <c r="F136" t="s">
        <v>403</v>
      </c>
    </row>
    <row r="137">
      <c r="A137" t="s">
        <v>402</v>
      </c>
      <c r="B137" t="s">
        <v>264</v>
      </c>
      <c r="C137" t="n">
        <v>2023</v>
      </c>
      <c r="D137" t="n">
        <v>0.07242</v>
      </c>
      <c r="E137" t="s">
        <v>388</v>
      </c>
      <c r="F137" t="s">
        <v>403</v>
      </c>
    </row>
    <row r="138">
      <c r="A138" t="s">
        <v>402</v>
      </c>
      <c r="B138" t="s">
        <v>265</v>
      </c>
      <c r="C138" t="n">
        <v>2023</v>
      </c>
      <c r="D138" t="n">
        <v>0.0716</v>
      </c>
      <c r="E138" t="s">
        <v>388</v>
      </c>
      <c r="F138" t="s">
        <v>403</v>
      </c>
    </row>
    <row r="139">
      <c r="A139" t="s">
        <v>402</v>
      </c>
      <c r="B139" t="s">
        <v>262</v>
      </c>
      <c r="C139" t="n">
        <v>2023</v>
      </c>
      <c r="D139" t="n">
        <v>0.04244</v>
      </c>
      <c r="E139" t="s">
        <v>388</v>
      </c>
      <c r="F139" t="s">
        <v>403</v>
      </c>
    </row>
    <row r="140">
      <c r="A140" t="s">
        <v>402</v>
      </c>
      <c r="B140" t="s">
        <v>266</v>
      </c>
      <c r="C140" t="n">
        <v>2024</v>
      </c>
      <c r="D140" t="n">
        <v>0.09872</v>
      </c>
      <c r="E140" t="s">
        <v>388</v>
      </c>
      <c r="F140" t="s">
        <v>403</v>
      </c>
    </row>
    <row r="141">
      <c r="A141" t="s">
        <v>402</v>
      </c>
      <c r="B141" t="s">
        <v>264</v>
      </c>
      <c r="C141" t="n">
        <v>2024</v>
      </c>
      <c r="D141" t="n">
        <v>0.0734</v>
      </c>
      <c r="E141" t="s">
        <v>388</v>
      </c>
      <c r="F141" t="s">
        <v>403</v>
      </c>
    </row>
    <row r="142">
      <c r="A142" t="s">
        <v>402</v>
      </c>
      <c r="B142" t="s">
        <v>265</v>
      </c>
      <c r="C142" t="n">
        <v>2024</v>
      </c>
      <c r="D142" t="n">
        <v>0.06343</v>
      </c>
      <c r="E142" t="s">
        <v>388</v>
      </c>
      <c r="F142" t="s">
        <v>403</v>
      </c>
    </row>
    <row r="143">
      <c r="A143" t="s">
        <v>402</v>
      </c>
      <c r="B143" t="s">
        <v>262</v>
      </c>
      <c r="C143" t="n">
        <v>2024</v>
      </c>
      <c r="D143" t="n">
        <v>0.04828</v>
      </c>
      <c r="E143" t="s">
        <v>388</v>
      </c>
      <c r="F143" t="s">
        <v>403</v>
      </c>
    </row>
    <row r="144">
      <c r="A144" t="s">
        <v>404</v>
      </c>
      <c r="B144" t="s">
        <v>266</v>
      </c>
      <c r="C144" t="n">
        <v>2023</v>
      </c>
      <c r="D144" t="n">
        <v>0.10462</v>
      </c>
      <c r="E144" t="s">
        <v>388</v>
      </c>
      <c r="F144" t="s">
        <v>405</v>
      </c>
    </row>
    <row r="145">
      <c r="A145" t="s">
        <v>404</v>
      </c>
      <c r="B145" t="s">
        <v>264</v>
      </c>
      <c r="C145" t="n">
        <v>2023</v>
      </c>
      <c r="D145" t="n">
        <v>0.07242</v>
      </c>
      <c r="E145" t="s">
        <v>388</v>
      </c>
      <c r="F145" t="s">
        <v>405</v>
      </c>
    </row>
    <row r="146">
      <c r="A146" t="s">
        <v>404</v>
      </c>
      <c r="B146" t="s">
        <v>265</v>
      </c>
      <c r="C146" t="n">
        <v>2023</v>
      </c>
      <c r="D146" t="n">
        <v>0.0716</v>
      </c>
      <c r="E146" t="s">
        <v>388</v>
      </c>
      <c r="F146" t="s">
        <v>405</v>
      </c>
    </row>
    <row r="147">
      <c r="A147" t="s">
        <v>404</v>
      </c>
      <c r="B147" t="s">
        <v>262</v>
      </c>
      <c r="C147" t="n">
        <v>2023</v>
      </c>
      <c r="D147" t="n">
        <v>0.04244</v>
      </c>
      <c r="E147" t="s">
        <v>388</v>
      </c>
      <c r="F147" t="s">
        <v>405</v>
      </c>
    </row>
    <row r="148">
      <c r="A148" t="s">
        <v>404</v>
      </c>
      <c r="B148" t="s">
        <v>266</v>
      </c>
      <c r="C148" t="n">
        <v>2024</v>
      </c>
      <c r="D148" t="n">
        <v>0.09872</v>
      </c>
      <c r="E148" t="s">
        <v>388</v>
      </c>
      <c r="F148" t="s">
        <v>405</v>
      </c>
    </row>
    <row r="149">
      <c r="A149" t="s">
        <v>404</v>
      </c>
      <c r="B149" t="s">
        <v>264</v>
      </c>
      <c r="C149" t="n">
        <v>2024</v>
      </c>
      <c r="D149" t="n">
        <v>0.0734</v>
      </c>
      <c r="E149" t="s">
        <v>388</v>
      </c>
      <c r="F149" t="s">
        <v>405</v>
      </c>
    </row>
    <row r="150">
      <c r="A150" t="s">
        <v>404</v>
      </c>
      <c r="B150" t="s">
        <v>265</v>
      </c>
      <c r="C150" t="n">
        <v>2024</v>
      </c>
      <c r="D150" t="n">
        <v>0.06343</v>
      </c>
      <c r="E150" t="s">
        <v>388</v>
      </c>
      <c r="F150" t="s">
        <v>405</v>
      </c>
    </row>
    <row r="151">
      <c r="A151" t="s">
        <v>404</v>
      </c>
      <c r="B151" t="s">
        <v>262</v>
      </c>
      <c r="C151" t="n">
        <v>2024</v>
      </c>
      <c r="D151" t="n">
        <v>0.04828</v>
      </c>
      <c r="E151" t="s">
        <v>388</v>
      </c>
      <c r="F151" t="s">
        <v>405</v>
      </c>
    </row>
    <row r="152">
      <c r="A152" t="s">
        <v>406</v>
      </c>
      <c r="B152" t="s">
        <v>266</v>
      </c>
      <c r="C152" t="n">
        <v>2023</v>
      </c>
      <c r="D152" t="n">
        <v>0.10454</v>
      </c>
      <c r="E152" t="s">
        <v>388</v>
      </c>
      <c r="F152" t="s">
        <v>407</v>
      </c>
    </row>
    <row r="153">
      <c r="A153" t="s">
        <v>406</v>
      </c>
      <c r="B153" t="s">
        <v>264</v>
      </c>
      <c r="C153" t="n">
        <v>2023</v>
      </c>
      <c r="D153" t="n">
        <v>0.07242</v>
      </c>
      <c r="E153" t="s">
        <v>388</v>
      </c>
      <c r="F153" t="s">
        <v>407</v>
      </c>
    </row>
    <row r="154">
      <c r="A154" t="s">
        <v>406</v>
      </c>
      <c r="B154" t="s">
        <v>265</v>
      </c>
      <c r="C154" t="n">
        <v>2023</v>
      </c>
      <c r="D154" t="n">
        <v>0.0716</v>
      </c>
      <c r="E154" t="s">
        <v>388</v>
      </c>
      <c r="F154" t="s">
        <v>407</v>
      </c>
    </row>
    <row r="155">
      <c r="A155" t="s">
        <v>406</v>
      </c>
      <c r="B155" t="s">
        <v>262</v>
      </c>
      <c r="C155" t="n">
        <v>2023</v>
      </c>
      <c r="D155" t="n">
        <v>0.04227</v>
      </c>
      <c r="E155" t="s">
        <v>388</v>
      </c>
      <c r="F155" t="s">
        <v>407</v>
      </c>
    </row>
    <row r="156">
      <c r="A156" t="s">
        <v>406</v>
      </c>
      <c r="B156" t="s">
        <v>266</v>
      </c>
      <c r="C156" t="n">
        <v>2024</v>
      </c>
      <c r="D156" t="n">
        <v>0.09831</v>
      </c>
      <c r="E156" t="s">
        <v>388</v>
      </c>
      <c r="F156" t="s">
        <v>407</v>
      </c>
    </row>
    <row r="157">
      <c r="A157" t="s">
        <v>406</v>
      </c>
      <c r="B157" t="s">
        <v>264</v>
      </c>
      <c r="C157" t="n">
        <v>2024</v>
      </c>
      <c r="D157" t="n">
        <v>0.0734</v>
      </c>
      <c r="E157" t="s">
        <v>388</v>
      </c>
      <c r="F157" t="s">
        <v>407</v>
      </c>
    </row>
    <row r="158">
      <c r="A158" t="s">
        <v>406</v>
      </c>
      <c r="B158" t="s">
        <v>265</v>
      </c>
      <c r="C158" t="n">
        <v>2024</v>
      </c>
      <c r="D158" t="n">
        <v>0.06343</v>
      </c>
      <c r="E158" t="s">
        <v>388</v>
      </c>
      <c r="F158" t="s">
        <v>407</v>
      </c>
    </row>
    <row r="159">
      <c r="A159" t="s">
        <v>406</v>
      </c>
      <c r="B159" t="s">
        <v>262</v>
      </c>
      <c r="C159" t="n">
        <v>2024</v>
      </c>
      <c r="D159" t="n">
        <v>0.04732</v>
      </c>
      <c r="E159" t="s">
        <v>388</v>
      </c>
      <c r="F159" t="s">
        <v>407</v>
      </c>
    </row>
    <row r="160">
      <c r="A160" t="s">
        <v>408</v>
      </c>
      <c r="B160" t="s">
        <v>266</v>
      </c>
      <c r="C160" t="n">
        <v>2023</v>
      </c>
      <c r="D160" t="n">
        <v>0.10538</v>
      </c>
      <c r="E160" t="s">
        <v>388</v>
      </c>
      <c r="F160" t="s">
        <v>409</v>
      </c>
    </row>
    <row r="161">
      <c r="A161" t="s">
        <v>408</v>
      </c>
      <c r="B161" t="s">
        <v>264</v>
      </c>
      <c r="C161" t="n">
        <v>2023</v>
      </c>
      <c r="D161" t="n">
        <v>0.073</v>
      </c>
      <c r="E161" t="s">
        <v>388</v>
      </c>
      <c r="F161" t="s">
        <v>409</v>
      </c>
    </row>
    <row r="162">
      <c r="A162" t="s">
        <v>408</v>
      </c>
      <c r="B162" t="s">
        <v>265</v>
      </c>
      <c r="C162" t="n">
        <v>2023</v>
      </c>
      <c r="D162" t="n">
        <v>0.07227</v>
      </c>
      <c r="E162" t="s">
        <v>388</v>
      </c>
      <c r="F162" t="s">
        <v>409</v>
      </c>
    </row>
    <row r="163">
      <c r="A163" t="s">
        <v>408</v>
      </c>
      <c r="B163" t="s">
        <v>262</v>
      </c>
      <c r="C163" t="n">
        <v>2023</v>
      </c>
      <c r="D163" t="n">
        <v>0.04344</v>
      </c>
      <c r="E163" t="s">
        <v>388</v>
      </c>
      <c r="F163" t="s">
        <v>409</v>
      </c>
    </row>
    <row r="164">
      <c r="A164" t="s">
        <v>408</v>
      </c>
      <c r="B164" t="s">
        <v>266</v>
      </c>
      <c r="C164" t="n">
        <v>2024</v>
      </c>
      <c r="D164" t="n">
        <v>0.09918</v>
      </c>
      <c r="E164" t="s">
        <v>388</v>
      </c>
      <c r="F164" t="s">
        <v>409</v>
      </c>
    </row>
    <row r="165">
      <c r="A165" t="s">
        <v>408</v>
      </c>
      <c r="B165" t="s">
        <v>264</v>
      </c>
      <c r="C165" t="n">
        <v>2024</v>
      </c>
      <c r="D165" t="n">
        <v>0.07491</v>
      </c>
      <c r="E165" t="s">
        <v>388</v>
      </c>
      <c r="F165" t="s">
        <v>409</v>
      </c>
    </row>
    <row r="166">
      <c r="A166" t="s">
        <v>408</v>
      </c>
      <c r="B166" t="s">
        <v>265</v>
      </c>
      <c r="C166" t="n">
        <v>2024</v>
      </c>
      <c r="D166" t="n">
        <v>0.06445</v>
      </c>
      <c r="E166" t="s">
        <v>388</v>
      </c>
      <c r="F166" t="s">
        <v>409</v>
      </c>
    </row>
    <row r="167">
      <c r="A167" t="s">
        <v>408</v>
      </c>
      <c r="B167" t="s">
        <v>262</v>
      </c>
      <c r="C167" t="n">
        <v>2024</v>
      </c>
      <c r="D167" t="n">
        <v>0.04769</v>
      </c>
      <c r="E167" t="s">
        <v>388</v>
      </c>
      <c r="F167" t="s">
        <v>409</v>
      </c>
    </row>
    <row r="168">
      <c r="A168" t="s">
        <v>410</v>
      </c>
      <c r="B168" t="s">
        <v>266</v>
      </c>
      <c r="C168" t="n">
        <v>2023</v>
      </c>
      <c r="D168" t="n">
        <v>0.10424</v>
      </c>
      <c r="E168" t="s">
        <v>388</v>
      </c>
      <c r="F168" t="s">
        <v>411</v>
      </c>
    </row>
    <row r="169">
      <c r="A169" t="s">
        <v>410</v>
      </c>
      <c r="B169" t="s">
        <v>264</v>
      </c>
      <c r="C169" t="n">
        <v>2023</v>
      </c>
      <c r="D169" t="n">
        <v>0.07119</v>
      </c>
      <c r="E169" t="s">
        <v>388</v>
      </c>
      <c r="F169" t="s">
        <v>411</v>
      </c>
    </row>
    <row r="170">
      <c r="A170" t="s">
        <v>410</v>
      </c>
      <c r="B170" t="s">
        <v>265</v>
      </c>
      <c r="C170" t="n">
        <v>2023</v>
      </c>
      <c r="D170" t="n">
        <v>0.07072</v>
      </c>
      <c r="E170" t="s">
        <v>388</v>
      </c>
      <c r="F170" t="s">
        <v>411</v>
      </c>
    </row>
    <row r="171">
      <c r="A171" t="s">
        <v>410</v>
      </c>
      <c r="B171" t="s">
        <v>262</v>
      </c>
      <c r="C171" t="n">
        <v>2023</v>
      </c>
      <c r="D171" t="n">
        <v>0.04282</v>
      </c>
      <c r="E171" t="s">
        <v>388</v>
      </c>
      <c r="F171" t="s">
        <v>411</v>
      </c>
    </row>
    <row r="172">
      <c r="A172" t="s">
        <v>410</v>
      </c>
      <c r="B172" t="s">
        <v>266</v>
      </c>
      <c r="C172" t="n">
        <v>2024</v>
      </c>
      <c r="D172" t="n">
        <v>0.09846</v>
      </c>
      <c r="E172" t="s">
        <v>388</v>
      </c>
      <c r="F172" t="s">
        <v>411</v>
      </c>
    </row>
    <row r="173">
      <c r="A173" t="s">
        <v>410</v>
      </c>
      <c r="B173" t="s">
        <v>264</v>
      </c>
      <c r="C173" t="n">
        <v>2024</v>
      </c>
      <c r="D173" t="n">
        <v>0.07471</v>
      </c>
      <c r="E173" t="s">
        <v>388</v>
      </c>
      <c r="F173" t="s">
        <v>411</v>
      </c>
    </row>
    <row r="174">
      <c r="A174" t="s">
        <v>410</v>
      </c>
      <c r="B174" t="s">
        <v>265</v>
      </c>
      <c r="C174" t="n">
        <v>2024</v>
      </c>
      <c r="D174" t="n">
        <v>0.06388</v>
      </c>
      <c r="E174" t="s">
        <v>388</v>
      </c>
      <c r="F174" t="s">
        <v>411</v>
      </c>
    </row>
    <row r="175">
      <c r="A175" t="s">
        <v>410</v>
      </c>
      <c r="B175" t="s">
        <v>262</v>
      </c>
      <c r="C175" t="n">
        <v>2024</v>
      </c>
      <c r="D175" t="n">
        <v>0.0464</v>
      </c>
      <c r="E175" t="s">
        <v>388</v>
      </c>
      <c r="F175" t="s">
        <v>411</v>
      </c>
    </row>
    <row r="176">
      <c r="A176" t="s">
        <v>433</v>
      </c>
      <c r="B176" t="s">
        <v>266</v>
      </c>
      <c r="C176" t="n">
        <v>2023</v>
      </c>
      <c r="D176" t="n">
        <v>0.10586</v>
      </c>
      <c r="E176" t="s">
        <v>388</v>
      </c>
      <c r="F176" t="s">
        <v>434</v>
      </c>
    </row>
    <row r="177">
      <c r="A177" t="s">
        <v>433</v>
      </c>
      <c r="B177" t="s">
        <v>264</v>
      </c>
      <c r="C177" t="n">
        <v>2023</v>
      </c>
      <c r="D177" t="n">
        <v>0.0725</v>
      </c>
      <c r="E177" t="s">
        <v>388</v>
      </c>
      <c r="F177" t="s">
        <v>434</v>
      </c>
    </row>
    <row r="178">
      <c r="A178" t="s">
        <v>433</v>
      </c>
      <c r="B178" t="s">
        <v>265</v>
      </c>
      <c r="C178" t="n">
        <v>2023</v>
      </c>
      <c r="D178" t="n">
        <v>0.07203</v>
      </c>
      <c r="E178" t="s">
        <v>388</v>
      </c>
      <c r="F178" t="s">
        <v>434</v>
      </c>
    </row>
    <row r="179">
      <c r="A179" t="s">
        <v>433</v>
      </c>
      <c r="B179" t="s">
        <v>262</v>
      </c>
      <c r="C179" t="n">
        <v>2023</v>
      </c>
      <c r="D179" t="n">
        <v>0.04496</v>
      </c>
      <c r="E179" t="s">
        <v>388</v>
      </c>
      <c r="F179" t="s">
        <v>434</v>
      </c>
    </row>
    <row r="180">
      <c r="A180" t="s">
        <v>433</v>
      </c>
      <c r="B180" t="s">
        <v>266</v>
      </c>
      <c r="C180" t="n">
        <v>2024</v>
      </c>
      <c r="D180" t="n">
        <v>0.09924</v>
      </c>
      <c r="E180" t="s">
        <v>388</v>
      </c>
      <c r="F180" t="s">
        <v>434</v>
      </c>
    </row>
    <row r="181">
      <c r="A181" t="s">
        <v>433</v>
      </c>
      <c r="B181" t="s">
        <v>264</v>
      </c>
      <c r="C181" t="n">
        <v>2024</v>
      </c>
      <c r="D181" t="n">
        <v>0.0741</v>
      </c>
      <c r="E181" t="s">
        <v>388</v>
      </c>
      <c r="F181" t="s">
        <v>434</v>
      </c>
    </row>
    <row r="182">
      <c r="A182" t="s">
        <v>433</v>
      </c>
      <c r="B182" t="s">
        <v>265</v>
      </c>
      <c r="C182" t="n">
        <v>2024</v>
      </c>
      <c r="D182" t="n">
        <v>0.06376</v>
      </c>
      <c r="E182" t="s">
        <v>388</v>
      </c>
      <c r="F182" t="s">
        <v>434</v>
      </c>
    </row>
    <row r="183">
      <c r="A183" t="s">
        <v>433</v>
      </c>
      <c r="B183" t="s">
        <v>262</v>
      </c>
      <c r="C183" t="n">
        <v>2024</v>
      </c>
      <c r="D183" t="n">
        <v>0.04879</v>
      </c>
      <c r="E183" t="s">
        <v>388</v>
      </c>
      <c r="F183" t="s">
        <v>434</v>
      </c>
    </row>
    <row r="184">
      <c r="A184" t="s">
        <v>428</v>
      </c>
      <c r="B184" t="s">
        <v>266</v>
      </c>
      <c r="C184" t="n">
        <v>2023</v>
      </c>
      <c r="D184" t="n">
        <v>0.10619</v>
      </c>
      <c r="E184" t="s">
        <v>388</v>
      </c>
      <c r="F184" t="s">
        <v>435</v>
      </c>
    </row>
    <row r="185">
      <c r="A185" t="s">
        <v>428</v>
      </c>
      <c r="B185" t="s">
        <v>264</v>
      </c>
      <c r="C185" t="n">
        <v>2023</v>
      </c>
      <c r="D185" t="n">
        <v>0.07305</v>
      </c>
      <c r="E185" t="s">
        <v>388</v>
      </c>
      <c r="F185" t="s">
        <v>435</v>
      </c>
    </row>
    <row r="186">
      <c r="A186" t="s">
        <v>428</v>
      </c>
      <c r="B186" t="s">
        <v>265</v>
      </c>
      <c r="C186" t="n">
        <v>2023</v>
      </c>
      <c r="D186" t="n">
        <v>0.07262</v>
      </c>
      <c r="E186" t="s">
        <v>388</v>
      </c>
      <c r="F186" t="s">
        <v>435</v>
      </c>
    </row>
    <row r="187">
      <c r="A187" t="s">
        <v>428</v>
      </c>
      <c r="B187" t="s">
        <v>262</v>
      </c>
      <c r="C187" t="n">
        <v>2023</v>
      </c>
      <c r="D187" t="n">
        <v>0.04506</v>
      </c>
      <c r="E187" t="s">
        <v>388</v>
      </c>
      <c r="F187" t="s">
        <v>435</v>
      </c>
    </row>
    <row r="188">
      <c r="A188" t="s">
        <v>428</v>
      </c>
      <c r="B188" t="s">
        <v>266</v>
      </c>
      <c r="C188" t="n">
        <v>2024</v>
      </c>
      <c r="D188" t="n">
        <v>0.09985</v>
      </c>
      <c r="E188" t="s">
        <v>388</v>
      </c>
      <c r="F188" t="s">
        <v>435</v>
      </c>
    </row>
    <row r="189">
      <c r="A189" t="s">
        <v>428</v>
      </c>
      <c r="B189" t="s">
        <v>264</v>
      </c>
      <c r="C189" t="n">
        <v>2024</v>
      </c>
      <c r="D189" t="n">
        <v>0.07529</v>
      </c>
      <c r="E189" t="s">
        <v>388</v>
      </c>
      <c r="F189" t="s">
        <v>435</v>
      </c>
    </row>
    <row r="190">
      <c r="A190" t="s">
        <v>428</v>
      </c>
      <c r="B190" t="s">
        <v>265</v>
      </c>
      <c r="C190" t="n">
        <v>2024</v>
      </c>
      <c r="D190" t="n">
        <v>0.06458</v>
      </c>
      <c r="E190" t="s">
        <v>388</v>
      </c>
      <c r="F190" t="s">
        <v>435</v>
      </c>
    </row>
    <row r="191">
      <c r="A191" t="s">
        <v>428</v>
      </c>
      <c r="B191" t="s">
        <v>262</v>
      </c>
      <c r="C191" t="n">
        <v>2024</v>
      </c>
      <c r="D191" t="n">
        <v>0.04889</v>
      </c>
      <c r="E191" t="s">
        <v>388</v>
      </c>
      <c r="F191" t="s">
        <v>435</v>
      </c>
    </row>
  </sheetData>
  <autoFilter ref="A1:F79"/>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15.0" baseColWidth="10" outlineLevelCol="0"/>
  <cols>
    <col min="1" max="1" width="11" hidden="false" outlineLevel="0" customWidth="1"/>
    <col min="2" max="2" width="10" hidden="false" outlineLevel="0" customWidth="1"/>
    <col min="3" max="3" width="10" hidden="false" outlineLevel="0" customWidth="1"/>
    <col min="4" max="4" width="10" hidden="false" outlineLevel="0" customWidth="1"/>
    <col min="5" max="5" width="10" hidden="false" outlineLevel="0" customWidth="1"/>
    <col min="6" max="6" width="10" hidden="false" outlineLevel="0" customWidth="1"/>
    <col min="7" max="7" width="10" hidden="false" outlineLevel="0" customWidth="1"/>
    <col min="8" max="8" width="10" hidden="false" outlineLevel="0" customWidth="1"/>
    <col min="9" max="9" width="10" hidden="false" outlineLevel="0" customWidth="1"/>
    <col min="10" max="10" width="10" hidden="false" outlineLevel="0" customWidth="1"/>
    <col min="11" max="11" width="10" hidden="false" outlineLevel="0" customWidth="1"/>
    <col min="12" max="12" width="22" hidden="false" outlineLevel="0" customWidth="1"/>
    <col min="13" max="13" width="10" hidden="false" outlineLevel="0" customWidth="1"/>
    <col min="14" max="14" width="60" hidden="false" outlineLevel="0" customWidth="1"/>
  </cols>
  <sheetData>
    <row r="1" ht="30" customHeight="1">
      <c r="A1" s="11" t="s">
        <v>257</v>
      </c>
      <c r="B1" s="11" t="s">
        <v>42</v>
      </c>
      <c r="C1" s="11" t="s">
        <v>52</v>
      </c>
      <c r="D1" s="11" t="s">
        <v>60</v>
      </c>
      <c r="E1" s="11" t="s">
        <v>66</v>
      </c>
      <c r="F1" s="11" t="s">
        <v>73</v>
      </c>
      <c r="G1" s="11" t="s">
        <v>87</v>
      </c>
      <c r="H1" s="11" t="s">
        <v>98</v>
      </c>
      <c r="I1" s="11" t="s">
        <v>267</v>
      </c>
      <c r="J1" s="11" t="s">
        <v>79</v>
      </c>
      <c r="K1" s="11" t="s">
        <v>92</v>
      </c>
      <c r="L1" s="11" t="s">
        <v>269</v>
      </c>
      <c r="M1" s="11" t="s">
        <v>270</v>
      </c>
      <c r="N1" s="11" t="s">
        <v>271</v>
      </c>
    </row>
    <row r="2" ht="23.85" customHeight="1">
      <c r="A2" s="3" t="s">
        <v>262</v>
      </c>
      <c r="B2" s="13" t="n">
        <f aca="false">IFERROR(AVERAGEIFS(Line_Scores!$D$2:$D$79,Line_Scores!$A$2:$A$79,B$1,Line_Scores!$B$2:$B$79,$A2,Line_Scores!$C$2:$C$79,"&gt;=2023"),"")</f>
        <v>0.05</v>
      </c>
      <c r="C2" s="13" t="n">
        <f aca="false">IFERROR(AVERAGEIFS(Line_Scores!$D$2:$D$79,Line_Scores!$A$2:$A$79,C$1,Line_Scores!$B$2:$B$79,$A2,Line_Scores!$C$2:$C$79,"&gt;=2023"),"")</f>
        <v>0.044</v>
      </c>
      <c r="D2" s="13" t="n">
        <f aca="false">IFERROR(AVERAGEIFS(Line_Scores!$D$2:$D$79,Line_Scores!$A$2:$A$79,D$1,Line_Scores!$B$2:$B$79,$A2,Line_Scores!$C$2:$C$79,"&gt;=2023"),"")</f>
        <v>0.0505</v>
      </c>
      <c r="E2" s="13" t="n">
        <f aca="false">IFERROR(AVERAGEIFS(Line_Scores!$D$2:$D$79,Line_Scores!$A$2:$A$79,E$1,Line_Scores!$B$2:$B$79,$A2,Line_Scores!$C$2:$C$79,"&gt;=2023"),"")</f>
        <v>0.043</v>
      </c>
      <c r="F2" s="13" t="n">
        <f aca="false">IFERROR(AVERAGEIFS(Line_Scores!$D$2:$D$79,Line_Scores!$A$2:$A$79,F$1,Line_Scores!$B$2:$B$79,$A2,Line_Scores!$C$2:$C$79,"&gt;=2023"),"")</f>
        <v>0.0445</v>
      </c>
      <c r="G2" s="13" t="n">
        <f aca="false">IFERROR(AVERAGEIFS(Line_Scores!$D$2:$D$79,Line_Scores!$A$2:$A$79,G$1,Line_Scores!$B$2:$B$79,$A2,Line_Scores!$C$2:$C$79,"&gt;=2023"),"")</f>
        <v>0.0475</v>
      </c>
      <c r="H2" s="13" t="n">
        <f aca="false">IFERROR(AVERAGEIFS(Line_Scores!$D$2:$D$79,Line_Scores!$A$2:$A$79,H$1,Line_Scores!$B$2:$B$79,$A2,Line_Scores!$C$2:$C$79,"&gt;=2023"),"")</f>
        <v>0.045</v>
      </c>
      <c r="I2" s="13" t="n">
        <f aca="false">IFERROR(AVERAGEIFS(Line_Scores!$D$2:$D$79,Line_Scores!$A$2:$A$79,I$1,Line_Scores!$B$2:$B$79,$A2,Line_Scores!$C$2:$C$79,"&gt;=2023"),"")</f>
        <v>0.0447</v>
      </c>
      <c r="J2" s="21" t="n">
        <f aca="false">IFERROR(AVERAGEIFS(Line_Scores!$D$2:$D$79,Line_Scores!$A$2:$A$79,J$1,Line_Scores!$B$2:$B$79,$A2,Line_Scores!$C$2:$C$79,"&gt;=2023"),"")</f>
        <v>0.053</v>
      </c>
      <c r="K2" s="21" t="n">
        <f aca="false">IFERROR(AVERAGEIFS(Line_Scores!$D$2:$D$79,Line_Scores!$A$2:$A$79,K$1,Line_Scores!$B$2:$B$79,$A2,Line_Scores!$C$2:$C$79,"&gt;=2023"),"")</f>
        <v>0.052</v>
      </c>
      <c r="L2" s="3" t="str">
        <f aca="false">INDEX($B$1:$I$1,MATCH(MAX(B2:I2),B2:I2,0))</f>
        <v>SAM 1</v>
      </c>
      <c r="M2" s="13" t="n">
        <f aca="false">MAX(B2:I2)</f>
        <v>0.0505</v>
      </c>
      <c r="N2" s="3" t="s">
        <v>272</v>
      </c>
    </row>
    <row r="3" ht="23.85" customHeight="1">
      <c r="A3" s="3" t="s">
        <v>264</v>
      </c>
      <c r="B3" s="13" t="n">
        <f aca="false">IFERROR(AVERAGEIFS(Line_Scores!$D$2:$D$79,Line_Scores!$A$2:$A$79,B$1,Line_Scores!$B$2:$B$79,$A3,Line_Scores!$C$2:$C$79,"&gt;=2023"),"")</f>
        <v>0.064</v>
      </c>
      <c r="C3" s="13" t="n">
        <f aca="false">IFERROR(AVERAGEIFS(Line_Scores!$D$2:$D$79,Line_Scores!$A$2:$A$79,C$1,Line_Scores!$B$2:$B$79,$A3,Line_Scores!$C$2:$C$79,"&gt;=2023"),"")</f>
        <v>0.0705</v>
      </c>
      <c r="D3" s="13" t="n">
        <f aca="false">IFERROR(AVERAGEIFS(Line_Scores!$D$2:$D$79,Line_Scores!$A$2:$A$79,D$1,Line_Scores!$B$2:$B$79,$A3,Line_Scores!$C$2:$C$79,"&gt;=2023"),"")</f>
        <v>0.0675</v>
      </c>
      <c r="E3" s="13" t="n">
        <f aca="false">IFERROR(AVERAGEIFS(Line_Scores!$D$2:$D$79,Line_Scores!$A$2:$A$79,E$1,Line_Scores!$B$2:$B$79,$A3,Line_Scores!$C$2:$C$79,"&gt;=2023"),"")</f>
        <v>0.072</v>
      </c>
      <c r="F3" s="13" t="n">
        <f aca="false">IFERROR(AVERAGEIFS(Line_Scores!$D$2:$D$79,Line_Scores!$A$2:$A$79,F$1,Line_Scores!$B$2:$B$79,$A3,Line_Scores!$C$2:$C$79,"&gt;=2023"),"")</f>
        <v>0.071</v>
      </c>
      <c r="G3" s="13" t="n">
        <f aca="false">IFERROR(AVERAGEIFS(Line_Scores!$D$2:$D$79,Line_Scores!$A$2:$A$79,G$1,Line_Scores!$B$2:$B$79,$A3,Line_Scores!$C$2:$C$79,"&gt;=2023"),"")</f>
        <v>0.071</v>
      </c>
      <c r="H3" s="13" t="n">
        <f aca="false">IFERROR(AVERAGEIFS(Line_Scores!$D$2:$D$79,Line_Scores!$A$2:$A$79,H$1,Line_Scores!$B$2:$B$79,$A3,Line_Scores!$C$2:$C$79,"&gt;=2023"),"")</f>
        <v>0.073</v>
      </c>
      <c r="I3" s="13" t="n">
        <f aca="false">IFERROR(AVERAGEIFS(Line_Scores!$D$2:$D$79,Line_Scores!$A$2:$A$79,I$1,Line_Scores!$B$2:$B$79,$A3,Line_Scores!$C$2:$C$79,"&gt;=2023"),"")</f>
        <v>0.07165</v>
      </c>
      <c r="J3" s="21" t="n">
        <f aca="false">IFERROR(AVERAGEIFS(Line_Scores!$D$2:$D$79,Line_Scores!$A$2:$A$79,J$1,Line_Scores!$B$2:$B$79,$A3,Line_Scores!$C$2:$C$79,"&gt;=2023"),"")</f>
        <v>0.0705</v>
      </c>
      <c r="K3" s="21" t="n">
        <f aca="false">IFERROR(AVERAGEIFS(Line_Scores!$D$2:$D$79,Line_Scores!$A$2:$A$79,K$1,Line_Scores!$B$2:$B$79,$A3,Line_Scores!$C$2:$C$79,"&gt;=2023"),"")</f>
        <v>0.069</v>
      </c>
      <c r="L3" s="3" t="str">
        <f aca="false">INDEX($B$1:$I$1,MATCH(MAX(B3:I3),B3:I3,0))</f>
        <v>SAM 3</v>
      </c>
      <c r="M3" s="13" t="n">
        <f aca="false">MAX(B3:I3)</f>
        <v>0.073</v>
      </c>
      <c r="N3" s="3" t="s">
        <v>273</v>
      </c>
    </row>
    <row r="4" ht="15" customHeight="1">
      <c r="A4" s="3" t="s">
        <v>265</v>
      </c>
      <c r="B4" s="13" t="n">
        <f aca="false">IFERROR(AVERAGEIFS(Line_Scores!$D$2:$D$79,Line_Scores!$A$2:$A$79,B$1,Line_Scores!$B$2:$B$79,$A4,Line_Scores!$C$2:$C$79,"&gt;=2023"),"")</f>
        <v>0.0615</v>
      </c>
      <c r="C4" s="13" t="n">
        <f aca="false">IFERROR(AVERAGEIFS(Line_Scores!$D$2:$D$79,Line_Scores!$A$2:$A$79,C$1,Line_Scores!$B$2:$B$79,$A4,Line_Scores!$C$2:$C$79,"&gt;=2023"),"")</f>
        <v>0.0585</v>
      </c>
      <c r="D4" s="13" t="n">
        <f aca="false">IFERROR(AVERAGEIFS(Line_Scores!$D$2:$D$79,Line_Scores!$A$2:$A$79,D$1,Line_Scores!$B$2:$B$79,$A4,Line_Scores!$C$2:$C$79,"&gt;=2023"),"")</f>
        <v>0.063</v>
      </c>
      <c r="E4" s="13" t="n">
        <f aca="false">IFERROR(AVERAGEIFS(Line_Scores!$D$2:$D$79,Line_Scores!$A$2:$A$79,E$1,Line_Scores!$B$2:$B$79,$A4,Line_Scores!$C$2:$C$79,"&gt;=2023"),"")</f>
        <v>0.059</v>
      </c>
      <c r="F4" s="13" t="n">
        <f aca="false">IFERROR(AVERAGEIFS(Line_Scores!$D$2:$D$79,Line_Scores!$A$2:$A$79,F$1,Line_Scores!$B$2:$B$79,$A4,Line_Scores!$C$2:$C$79,"&gt;=2023"),"")</f>
        <v>0.062</v>
      </c>
      <c r="G4" s="13" t="n">
        <f aca="false">IFERROR(AVERAGEIFS(Line_Scores!$D$2:$D$79,Line_Scores!$A$2:$A$79,G$1,Line_Scores!$B$2:$B$79,$A4,Line_Scores!$C$2:$C$79,"&gt;=2023"),"")</f>
        <v>0.0665</v>
      </c>
      <c r="H4" s="13" t="n">
        <f aca="false">IFERROR(AVERAGEIFS(Line_Scores!$D$2:$D$79,Line_Scores!$A$2:$A$79,H$1,Line_Scores!$B$2:$B$79,$A4,Line_Scores!$C$2:$C$79,"&gt;=2023"),"")</f>
        <v>0.0675</v>
      </c>
      <c r="I4" s="13" t="n">
        <f aca="false">IFERROR(AVERAGEIFS(Line_Scores!$D$2:$D$79,Line_Scores!$A$2:$A$79,I$1,Line_Scores!$B$2:$B$79,$A4,Line_Scores!$C$2:$C$79,"&gt;=2023"),"")</f>
        <v>0.067</v>
      </c>
      <c r="J4" s="21" t="n">
        <f aca="false">IFERROR(AVERAGEIFS(Line_Scores!$D$2:$D$79,Line_Scores!$A$2:$A$79,J$1,Line_Scores!$B$2:$B$79,$A4,Line_Scores!$C$2:$C$79,"&gt;=2023"),"")</f>
        <v>0.067</v>
      </c>
      <c r="K4" s="21" t="n">
        <f aca="false">IFERROR(AVERAGEIFS(Line_Scores!$D$2:$D$79,Line_Scores!$A$2:$A$79,K$1,Line_Scores!$B$2:$B$79,$A4,Line_Scores!$C$2:$C$79,"&gt;=2023"),"")</f>
        <v>0.063</v>
      </c>
      <c r="L4" s="3" t="str">
        <f aca="false">INDEX($B$1:$I$1,MATCH(MAX(B4:I4),B4:I4,0))</f>
        <v>SAM 3</v>
      </c>
      <c r="M4" s="13" t="n">
        <f aca="false">MAX(B4:I4)</f>
        <v>0.0675</v>
      </c>
      <c r="N4" s="3" t="s">
        <v>274</v>
      </c>
    </row>
    <row r="5" ht="15" customHeight="1">
      <c r="A5" s="3" t="s">
        <v>266</v>
      </c>
      <c r="B5" s="13" t="n">
        <f aca="false">IFERROR(AVERAGEIFS(Line_Scores!$D$2:$D$79,Line_Scores!$A$2:$A$79,B$1,Line_Scores!$B$2:$B$79,$A5,Line_Scores!$C$2:$C$79,"&gt;=2023"),"")</f>
        <v>0.09995</v>
      </c>
      <c r="C5" s="13" t="n">
        <f aca="false">IFERROR(AVERAGEIFS(Line_Scores!$D$2:$D$79,Line_Scores!$A$2:$A$79,C$1,Line_Scores!$B$2:$B$79,$A5,Line_Scores!$C$2:$C$79,"&gt;=2023"),"")</f>
        <v>0.0985</v>
      </c>
      <c r="D5" s="13" t="n">
        <f aca="false">IFERROR(AVERAGEIFS(Line_Scores!$D$2:$D$79,Line_Scores!$A$2:$A$79,D$1,Line_Scores!$B$2:$B$79,$A5,Line_Scores!$C$2:$C$79,"&gt;=2023"),"")</f>
        <v>0.1015</v>
      </c>
      <c r="E5" s="13" t="n">
        <f aca="false">IFERROR(AVERAGEIFS(Line_Scores!$D$2:$D$79,Line_Scores!$A$2:$A$79,E$1,Line_Scores!$B$2:$B$79,$A5,Line_Scores!$C$2:$C$79,"&gt;=2023"),"")</f>
        <v>0.0954</v>
      </c>
      <c r="F5" s="13" t="n">
        <f aca="false">IFERROR(AVERAGEIFS(Line_Scores!$D$2:$D$79,Line_Scores!$A$2:$A$79,F$1,Line_Scores!$B$2:$B$79,$A5,Line_Scores!$C$2:$C$79,"&gt;=2023"),"")</f>
        <v>0.0999</v>
      </c>
      <c r="G5" s="13" t="n">
        <f aca="false">IFERROR(AVERAGEIFS(Line_Scores!$D$2:$D$79,Line_Scores!$A$2:$A$79,G$1,Line_Scores!$B$2:$B$79,$A5,Line_Scores!$C$2:$C$79,"&gt;=2023"),"")</f>
        <v>0.10135</v>
      </c>
      <c r="H5" s="13" t="n">
        <f aca="false">IFERROR(AVERAGEIFS(Line_Scores!$D$2:$D$79,Line_Scores!$A$2:$A$79,H$1,Line_Scores!$B$2:$B$79,$A5,Line_Scores!$C$2:$C$79,"&gt;=2023"),"")</f>
        <v>0.10145</v>
      </c>
      <c r="I5" s="13" t="n">
        <f aca="false">IFERROR(AVERAGEIFS(Line_Scores!$D$2:$D$79,Line_Scores!$A$2:$A$79,I$1,Line_Scores!$B$2:$B$79,$A5,Line_Scores!$C$2:$C$79,"&gt;=2023"),"")</f>
        <v>0.1008</v>
      </c>
      <c r="J5" s="21" t="n">
        <f aca="false">IFERROR(AVERAGEIFS(Line_Scores!$D$2:$D$79,Line_Scores!$A$2:$A$79,J$1,Line_Scores!$B$2:$B$79,$A5,Line_Scores!$C$2:$C$79,"&gt;=2023"),"")</f>
        <v>0.1049</v>
      </c>
      <c r="K5" s="21" t="n">
        <f aca="false">IFERROR(AVERAGEIFS(Line_Scores!$D$2:$D$79,Line_Scores!$A$2:$A$79,K$1,Line_Scores!$B$2:$B$79,$A5,Line_Scores!$C$2:$C$79,"&gt;=2023"),"")</f>
        <v>0.1025</v>
      </c>
      <c r="L5" s="3" t="str">
        <f aca="false">INDEX($B$1:$I$1,MATCH(MAX(B5:I5),B5:I5,0))</f>
        <v>SAM 1</v>
      </c>
      <c r="M5" s="13" t="n">
        <f aca="false">MAX(B5:I5)</f>
        <v>0.1015</v>
      </c>
      <c r="N5" s="3" t="s">
        <v>50</v>
      </c>
    </row>
    <row r="7" ht="15" customHeight="1">
      <c r="A7" s="19" t="s">
        <v>275</v>
      </c>
    </row>
  </sheetData>
  <autoFilter ref="A1:N5"/>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RowHeight="15.0" baseColWidth="10" outlineLevelCol="0"/>
  <cols>
    <col min="1" max="1" width="11" hidden="false" outlineLevel="0" customWidth="1"/>
    <col min="2" max="2" width="18" hidden="false" outlineLevel="0" customWidth="1"/>
    <col min="3" max="3" width="11" hidden="false" outlineLevel="0" customWidth="1"/>
    <col min="4" max="4" width="11" hidden="false" outlineLevel="0" customWidth="1"/>
    <col min="5" max="5" width="11" hidden="false" outlineLevel="0" customWidth="1"/>
    <col min="6" max="6" width="11" hidden="false" outlineLevel="0" customWidth="1"/>
    <col min="7" max="7" width="11" hidden="false" outlineLevel="0" customWidth="1"/>
    <col min="8" max="8" width="11" hidden="false" outlineLevel="0" customWidth="1"/>
    <col min="9" max="9" width="11" hidden="false" outlineLevel="0" customWidth="1"/>
    <col min="10" max="10" width="11" hidden="false" outlineLevel="0" customWidth="1"/>
    <col min="11" max="11" width="11" hidden="false" outlineLevel="0" customWidth="1"/>
    <col min="12" max="12" width="11" hidden="false" outlineLevel="0" customWidth="1"/>
    <col min="13" max="13" width="11" hidden="false" outlineLevel="0" customWidth="1"/>
    <col min="14" max="14" width="11" hidden="false" outlineLevel="0" customWidth="1"/>
    <col min="15" max="15" width="11" hidden="false" outlineLevel="0" customWidth="1"/>
    <col min="16" max="16" width="11" hidden="false" outlineLevel="0" customWidth="1"/>
    <col min="17" max="17" width="16" hidden="false" outlineLevel="0" customWidth="1"/>
    <col min="18" max="18" width="10" hidden="false" outlineLevel="0" customWidth="1"/>
    <col min="19" max="19" width="60" hidden="false" outlineLevel="0" customWidth="1"/>
  </cols>
  <sheetData>
    <row r="1" ht="30" customHeight="1">
      <c r="A1" s="11" t="s">
        <v>257</v>
      </c>
      <c r="B1" s="11" t="s">
        <v>276</v>
      </c>
      <c r="C1" s="11" t="s">
        <v>277</v>
      </c>
      <c r="D1" s="11" t="s">
        <v>278</v>
      </c>
      <c r="E1" s="11" t="s">
        <v>279</v>
      </c>
      <c r="F1" s="11" t="s">
        <v>280</v>
      </c>
      <c r="G1" s="11" t="s">
        <v>281</v>
      </c>
      <c r="H1" s="11" t="s">
        <v>282</v>
      </c>
      <c r="I1" s="11" t="s">
        <v>283</v>
      </c>
      <c r="J1" s="11" t="s">
        <v>284</v>
      </c>
      <c r="K1" s="11" t="s">
        <v>285</v>
      </c>
      <c r="L1" s="11" t="s">
        <v>286</v>
      </c>
      <c r="M1" s="11" t="s">
        <v>287</v>
      </c>
      <c r="N1" s="11" t="s">
        <v>288</v>
      </c>
      <c r="O1" s="11" t="s">
        <v>289</v>
      </c>
      <c r="P1" s="11" t="s">
        <v>290</v>
      </c>
      <c r="Q1" s="11" t="s">
        <v>291</v>
      </c>
      <c r="R1" s="11" t="s">
        <v>292</v>
      </c>
      <c r="S1" s="11" t="s">
        <v>271</v>
      </c>
    </row>
    <row r="2" ht="23.85" customHeight="1">
      <c r="A2" s="3" t="s">
        <v>262</v>
      </c>
      <c r="B2" s="3" t="s">
        <v>293</v>
      </c>
      <c r="C2" s="22" t="n">
        <v>48964</v>
      </c>
      <c r="D2" s="22" t="n">
        <v>1856</v>
      </c>
      <c r="E2" s="5"/>
      <c r="F2" s="5"/>
      <c r="G2" s="5"/>
      <c r="H2" s="5"/>
      <c r="I2" s="5"/>
      <c r="J2" s="5"/>
      <c r="K2" s="5"/>
      <c r="L2" s="5"/>
      <c r="M2" s="5"/>
      <c r="N2" s="5"/>
      <c r="O2" s="5"/>
      <c r="P2" s="5"/>
      <c r="Q2" s="3" t="str">
        <f aca="false">IF(COUNT(E2:P2)=0,"enter D2",INDEX($E$1:$P$1,MATCH(MAX(E2:P2),E2:P2,0)))</f>
        <v>enter D2</v>
      </c>
      <c r="R2" s="13" t="str">
        <f aca="false">IF(COUNT(E2:P2)=0,"",MAX(E2:P2))</f>
        <v/>
      </c>
      <c r="S2" s="3" t="s">
        <v>294</v>
      </c>
    </row>
    <row r="3" ht="15" customHeight="1">
      <c r="A3" s="3" t="s">
        <v>262</v>
      </c>
      <c r="B3" s="3" t="s">
        <v>295</v>
      </c>
      <c r="C3" s="22" t="n">
        <v>33826</v>
      </c>
      <c r="D3" s="22" t="n">
        <v>3681</v>
      </c>
      <c r="E3" s="5"/>
      <c r="F3" s="5"/>
      <c r="G3" s="5"/>
      <c r="H3" s="5"/>
      <c r="I3" s="5"/>
      <c r="J3" s="5"/>
      <c r="K3" s="5"/>
      <c r="L3" s="5"/>
      <c r="M3" s="5"/>
      <c r="N3" s="5"/>
      <c r="O3" s="5"/>
      <c r="P3" s="5"/>
      <c r="Q3" s="3" t="str">
        <f aca="false">IF(COUNT(E3:P3)=0,"enter D2",INDEX($E$1:$P$1,MATCH(MAX(E3:P3),E3:P3,0)))</f>
        <v>enter D2</v>
      </c>
      <c r="R3" s="13" t="str">
        <f aca="false">IF(COUNT(E3:P3)=0,"",MAX(E3:P3))</f>
        <v/>
      </c>
      <c r="S3" s="3" t="s">
        <v>296</v>
      </c>
    </row>
    <row r="4" ht="23.85" customHeight="1">
      <c r="A4" s="3" t="s">
        <v>262</v>
      </c>
      <c r="B4" s="3" t="s">
        <v>297</v>
      </c>
      <c r="C4" s="22" t="n">
        <v>7583</v>
      </c>
      <c r="D4" s="22" t="n">
        <v>21582</v>
      </c>
      <c r="E4" s="5"/>
      <c r="F4" s="5"/>
      <c r="G4" s="5"/>
      <c r="H4" s="5"/>
      <c r="I4" s="5"/>
      <c r="J4" s="5"/>
      <c r="K4" s="5"/>
      <c r="L4" s="5"/>
      <c r="M4" s="5"/>
      <c r="N4" s="5"/>
      <c r="O4" s="5"/>
      <c r="P4" s="5"/>
      <c r="Q4" s="3" t="str">
        <f aca="false">IF(COUNT(E4:P4)=0,"enter D2",INDEX($E$1:$P$1,MATCH(MAX(E4:P4),E4:P4,0)))</f>
        <v>enter D2</v>
      </c>
      <c r="R4" s="13" t="str">
        <f aca="false">IF(COUNT(E4:P4)=0,"",MAX(E4:P4))</f>
        <v/>
      </c>
      <c r="S4" s="3" t="s">
        <v>298</v>
      </c>
    </row>
    <row r="5" ht="15" customHeight="1">
      <c r="A5" s="3" t="s">
        <v>262</v>
      </c>
      <c r="B5" s="3" t="s">
        <v>299</v>
      </c>
      <c r="C5" s="22" t="n">
        <v>6501</v>
      </c>
      <c r="D5" s="22" t="n">
        <v>6302</v>
      </c>
      <c r="E5" s="5"/>
      <c r="F5" s="5"/>
      <c r="G5" s="5"/>
      <c r="H5" s="5"/>
      <c r="I5" s="5"/>
      <c r="J5" s="5"/>
      <c r="K5" s="5"/>
      <c r="L5" s="5"/>
      <c r="M5" s="5"/>
      <c r="N5" s="5"/>
      <c r="O5" s="5"/>
      <c r="P5" s="5"/>
      <c r="Q5" s="3" t="str">
        <f aca="false">IF(COUNT(E5:P5)=0,"enter D2",INDEX($E$1:$P$1,MATCH(MAX(E5:P5),E5:P5,0)))</f>
        <v>enter D2</v>
      </c>
      <c r="R5" s="13" t="str">
        <f aca="false">IF(COUNT(E5:P5)=0,"",MAX(E5:P5))</f>
        <v/>
      </c>
      <c r="S5" s="3" t="s">
        <v>300</v>
      </c>
    </row>
    <row r="6" ht="15" customHeight="1">
      <c r="A6" s="3" t="s">
        <v>262</v>
      </c>
      <c r="B6" s="3" t="s">
        <v>301</v>
      </c>
      <c r="C6" s="22" t="n">
        <v>15732</v>
      </c>
      <c r="D6" s="22" t="n">
        <v>1086</v>
      </c>
      <c r="E6" s="5"/>
      <c r="F6" s="5"/>
      <c r="G6" s="5"/>
      <c r="H6" s="5"/>
      <c r="I6" s="5"/>
      <c r="J6" s="5"/>
      <c r="K6" s="5"/>
      <c r="L6" s="5"/>
      <c r="M6" s="5"/>
      <c r="N6" s="5"/>
      <c r="O6" s="5"/>
      <c r="P6" s="5"/>
      <c r="Q6" s="3" t="str">
        <f aca="false">IF(COUNT(E6:P6)=0,"enter D2",INDEX($E$1:$P$1,MATCH(MAX(E6:P6),E6:P6,0)))</f>
        <v>enter D2</v>
      </c>
      <c r="R6" s="13" t="str">
        <f aca="false">IF(COUNT(E6:P6)=0,"",MAX(E6:P6))</f>
        <v/>
      </c>
      <c r="S6" s="3" t="s">
        <v>302</v>
      </c>
    </row>
    <row r="7" ht="15" customHeight="1">
      <c r="A7" s="3" t="s">
        <v>264</v>
      </c>
      <c r="B7" s="3" t="s">
        <v>303</v>
      </c>
      <c r="C7" s="22" t="n">
        <v>7816</v>
      </c>
      <c r="D7" s="22" t="n">
        <v>3454</v>
      </c>
      <c r="E7" s="5"/>
      <c r="F7" s="5"/>
      <c r="G7" s="5"/>
      <c r="H7" s="5"/>
      <c r="I7" s="5"/>
      <c r="J7" s="5"/>
      <c r="K7" s="5"/>
      <c r="L7" s="5"/>
      <c r="M7" s="5"/>
      <c r="N7" s="5"/>
      <c r="O7" s="5"/>
      <c r="P7" s="5"/>
      <c r="Q7" s="3" t="str">
        <f aca="false">IF(COUNT(E7:P7)=0,"enter D2",INDEX($E$1:$P$1,MATCH(MAX(E7:P7),E7:P7,0)))</f>
        <v>enter D2</v>
      </c>
      <c r="R7" s="13" t="str">
        <f aca="false">IF(COUNT(E7:P7)=0,"",MAX(E7:P7))</f>
        <v/>
      </c>
      <c r="S7" s="3" t="s">
        <v>304</v>
      </c>
    </row>
    <row r="8" ht="23.85" customHeight="1">
      <c r="A8" s="3" t="s">
        <v>264</v>
      </c>
      <c r="B8" s="3" t="s">
        <v>305</v>
      </c>
      <c r="C8" s="22" t="n">
        <v>2232</v>
      </c>
      <c r="D8" s="22" t="n">
        <v>31359</v>
      </c>
      <c r="E8" s="5"/>
      <c r="F8" s="5"/>
      <c r="G8" s="5"/>
      <c r="H8" s="5"/>
      <c r="I8" s="5"/>
      <c r="J8" s="5"/>
      <c r="K8" s="5"/>
      <c r="L8" s="5"/>
      <c r="M8" s="5"/>
      <c r="N8" s="5"/>
      <c r="O8" s="5"/>
      <c r="P8" s="5"/>
      <c r="Q8" s="3" t="str">
        <f aca="false">IF(COUNT(E8:P8)=0,"enter D2",INDEX($E$1:$P$1,MATCH(MAX(E8:P8),E8:P8,0)))</f>
        <v>enter D2</v>
      </c>
      <c r="R8" s="13" t="str">
        <f aca="false">IF(COUNT(E8:P8)=0,"",MAX(E8:P8))</f>
        <v/>
      </c>
      <c r="S8" s="3" t="s">
        <v>306</v>
      </c>
    </row>
    <row r="9" ht="15" customHeight="1">
      <c r="A9" s="3" t="s">
        <v>264</v>
      </c>
      <c r="B9" s="3" t="s">
        <v>307</v>
      </c>
      <c r="C9" s="22" t="n">
        <v>10137</v>
      </c>
      <c r="D9" s="22" t="n">
        <v>5733</v>
      </c>
      <c r="E9" s="5"/>
      <c r="F9" s="5"/>
      <c r="G9" s="5"/>
      <c r="H9" s="5"/>
      <c r="I9" s="5"/>
      <c r="J9" s="5"/>
      <c r="K9" s="5"/>
      <c r="L9" s="5"/>
      <c r="M9" s="5"/>
      <c r="N9" s="5"/>
      <c r="O9" s="5"/>
      <c r="P9" s="5"/>
      <c r="Q9" s="3" t="str">
        <f aca="false">IF(COUNT(E9:P9)=0,"enter D2",INDEX($E$1:$P$1,MATCH(MAX(E9:P9),E9:P9,0)))</f>
        <v>enter D2</v>
      </c>
      <c r="R9" s="13" t="str">
        <f aca="false">IF(COUNT(E9:P9)=0,"",MAX(E9:P9))</f>
        <v/>
      </c>
      <c r="S9" s="3" t="s">
        <v>308</v>
      </c>
    </row>
    <row r="10" ht="15" customHeight="1">
      <c r="A10" s="3" t="s">
        <v>264</v>
      </c>
      <c r="B10" s="3" t="s">
        <v>309</v>
      </c>
      <c r="C10" s="22" t="n">
        <v>1294</v>
      </c>
      <c r="D10" s="22" t="n">
        <v>23786</v>
      </c>
      <c r="E10" s="5"/>
      <c r="F10" s="5"/>
      <c r="G10" s="5"/>
      <c r="H10" s="5"/>
      <c r="I10" s="5"/>
      <c r="J10" s="5"/>
      <c r="K10" s="5"/>
      <c r="L10" s="5"/>
      <c r="M10" s="5"/>
      <c r="N10" s="5"/>
      <c r="O10" s="5"/>
      <c r="P10" s="5"/>
      <c r="Q10" s="3" t="str">
        <f aca="false">IF(COUNT(E10:P10)=0,"enter D2",INDEX($E$1:$P$1,MATCH(MAX(E10:P10),E10:P10,0)))</f>
        <v>enter D2</v>
      </c>
      <c r="R10" s="13" t="str">
        <f aca="false">IF(COUNT(E10:P10)=0,"",MAX(E10:P10))</f>
        <v/>
      </c>
      <c r="S10" s="3" t="s">
        <v>310</v>
      </c>
    </row>
    <row r="11" ht="15" customHeight="1">
      <c r="A11" s="3" t="s">
        <v>264</v>
      </c>
      <c r="B11" s="3" t="s">
        <v>311</v>
      </c>
      <c r="C11" s="22" t="n">
        <v>1115</v>
      </c>
      <c r="D11" s="22" t="n">
        <v>51685</v>
      </c>
      <c r="E11" s="5"/>
      <c r="F11" s="5"/>
      <c r="G11" s="5"/>
      <c r="H11" s="5"/>
      <c r="I11" s="5"/>
      <c r="J11" s="5"/>
      <c r="K11" s="5"/>
      <c r="L11" s="5"/>
      <c r="M11" s="5"/>
      <c r="N11" s="5"/>
      <c r="O11" s="5"/>
      <c r="P11" s="5"/>
      <c r="Q11" s="3" t="str">
        <f aca="false">IF(COUNT(E11:P11)=0,"enter D2",INDEX($E$1:$P$1,MATCH(MAX(E11:P11),E11:P11,0)))</f>
        <v>enter D2</v>
      </c>
      <c r="R11" s="13" t="str">
        <f aca="false">IF(COUNT(E11:P11)=0,"",MAX(E11:P11))</f>
        <v/>
      </c>
      <c r="S11" s="3" t="s">
        <v>312</v>
      </c>
    </row>
    <row r="12" ht="15" customHeight="1">
      <c r="A12" s="3" t="s">
        <v>264</v>
      </c>
      <c r="B12" s="3" t="s">
        <v>313</v>
      </c>
      <c r="C12" s="22" t="n">
        <v>3848</v>
      </c>
      <c r="D12" s="22" t="n">
        <v>1218</v>
      </c>
      <c r="E12" s="5"/>
      <c r="F12" s="5"/>
      <c r="G12" s="5"/>
      <c r="H12" s="5"/>
      <c r="I12" s="5"/>
      <c r="J12" s="5"/>
      <c r="K12" s="5"/>
      <c r="L12" s="5"/>
      <c r="M12" s="5"/>
      <c r="N12" s="5"/>
      <c r="O12" s="5"/>
      <c r="P12" s="5"/>
      <c r="Q12" s="3" t="str">
        <f aca="false">IF(COUNT(E12:P12)=0,"enter D2",INDEX($E$1:$P$1,MATCH(MAX(E12:P12),E12:P12,0)))</f>
        <v>enter D2</v>
      </c>
      <c r="R12" s="13" t="str">
        <f aca="false">IF(COUNT(E12:P12)=0,"",MAX(E12:P12))</f>
        <v/>
      </c>
      <c r="S12" s="3" t="s">
        <v>314</v>
      </c>
    </row>
    <row r="13" ht="15" customHeight="1">
      <c r="A13" s="3" t="s">
        <v>265</v>
      </c>
      <c r="B13" s="3" t="s">
        <v>299</v>
      </c>
      <c r="C13" s="22" t="n">
        <v>7863</v>
      </c>
      <c r="D13" s="22" t="n">
        <v>3648</v>
      </c>
      <c r="E13" s="5"/>
      <c r="F13" s="5"/>
      <c r="G13" s="5"/>
      <c r="H13" s="5"/>
      <c r="I13" s="5"/>
      <c r="J13" s="5"/>
      <c r="K13" s="5"/>
      <c r="L13" s="5"/>
      <c r="M13" s="5"/>
      <c r="N13" s="5"/>
      <c r="O13" s="5"/>
      <c r="P13" s="5"/>
      <c r="Q13" s="3" t="str">
        <f aca="false">IF(COUNT(E13:P13)=0,"enter D2",INDEX($E$1:$P$1,MATCH(MAX(E13:P13),E13:P13,0)))</f>
        <v>enter D2</v>
      </c>
      <c r="R13" s="13" t="str">
        <f aca="false">IF(COUNT(E13:P13)=0,"",MAX(E13:P13))</f>
        <v/>
      </c>
      <c r="S13" s="3" t="s">
        <v>315</v>
      </c>
    </row>
    <row r="14" ht="15" customHeight="1">
      <c r="A14" s="3" t="s">
        <v>265</v>
      </c>
      <c r="B14" s="3" t="s">
        <v>307</v>
      </c>
      <c r="C14" s="22" t="n">
        <v>5407</v>
      </c>
      <c r="D14" s="22" t="n">
        <v>2740</v>
      </c>
      <c r="E14" s="5"/>
      <c r="F14" s="5"/>
      <c r="G14" s="5"/>
      <c r="H14" s="5"/>
      <c r="I14" s="5"/>
      <c r="J14" s="5"/>
      <c r="K14" s="5"/>
      <c r="L14" s="5"/>
      <c r="M14" s="5"/>
      <c r="N14" s="5"/>
      <c r="O14" s="5"/>
      <c r="P14" s="5"/>
      <c r="Q14" s="3" t="str">
        <f aca="false">IF(COUNT(E14:P14)=0,"enter D2",INDEX($E$1:$P$1,MATCH(MAX(E14:P14),E14:P14,0)))</f>
        <v>enter D2</v>
      </c>
      <c r="R14" s="13" t="str">
        <f aca="false">IF(COUNT(E14:P14)=0,"",MAX(E14:P14))</f>
        <v/>
      </c>
      <c r="S14" s="3" t="s">
        <v>316</v>
      </c>
    </row>
    <row r="15" ht="15" customHeight="1">
      <c r="A15" s="3" t="s">
        <v>265</v>
      </c>
      <c r="B15" s="3" t="s">
        <v>313</v>
      </c>
      <c r="C15" s="22" t="n">
        <v>9208</v>
      </c>
      <c r="D15" s="22" t="n">
        <v>782</v>
      </c>
      <c r="E15" s="5"/>
      <c r="F15" s="5"/>
      <c r="G15" s="5"/>
      <c r="H15" s="5"/>
      <c r="I15" s="5"/>
      <c r="J15" s="5"/>
      <c r="K15" s="5"/>
      <c r="L15" s="5"/>
      <c r="M15" s="5"/>
      <c r="N15" s="5"/>
      <c r="O15" s="5"/>
      <c r="P15" s="5"/>
      <c r="Q15" s="3" t="str">
        <f aca="false">IF(COUNT(E15:P15)=0,"enter D2",INDEX($E$1:$P$1,MATCH(MAX(E15:P15),E15:P15,0)))</f>
        <v>enter D2</v>
      </c>
      <c r="R15" s="13" t="str">
        <f aca="false">IF(COUNT(E15:P15)=0,"",MAX(E15:P15))</f>
        <v/>
      </c>
      <c r="S15" s="3" t="s">
        <v>314</v>
      </c>
    </row>
    <row r="16" ht="15" customHeight="1">
      <c r="A16" s="3" t="s">
        <v>265</v>
      </c>
      <c r="B16" s="3" t="s">
        <v>305</v>
      </c>
      <c r="C16" s="22" t="n">
        <v>1624</v>
      </c>
      <c r="D16" s="22" t="n">
        <v>9992</v>
      </c>
      <c r="E16" s="5"/>
      <c r="F16" s="5"/>
      <c r="G16" s="5"/>
      <c r="H16" s="5"/>
      <c r="I16" s="5"/>
      <c r="J16" s="5"/>
      <c r="K16" s="5"/>
      <c r="L16" s="5"/>
      <c r="M16" s="5"/>
      <c r="N16" s="5"/>
      <c r="O16" s="5"/>
      <c r="P16" s="5"/>
      <c r="Q16" s="3" t="str">
        <f aca="false">IF(COUNT(E16:P16)=0,"enter D2",INDEX($E$1:$P$1,MATCH(MAX(E16:P16),E16:P16,0)))</f>
        <v>enter D2</v>
      </c>
      <c r="R16" s="13" t="str">
        <f aca="false">IF(COUNT(E16:P16)=0,"",MAX(E16:P16))</f>
        <v/>
      </c>
      <c r="S16" s="3" t="s">
        <v>317</v>
      </c>
    </row>
    <row r="18" ht="15" customHeight="1">
      <c r="A18" s="19" t="s">
        <v>318</v>
      </c>
    </row>
  </sheetData>
  <autoFilter ref="A1:S16"/>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15.0" baseColWidth="10" outlineLevelCol="0"/>
  <cols>
    <col min="1" max="1" width="4" hidden="false" outlineLevel="0" customWidth="1"/>
    <col min="2" max="2" width="30" hidden="false" outlineLevel="0" customWidth="1"/>
    <col min="3" max="3" width="90" hidden="false" outlineLevel="0" customWidth="1"/>
    <col min="4" max="4" width="22" hidden="false" outlineLevel="0" customWidth="1"/>
    <col min="5" max="5" width="10" hidden="false" outlineLevel="0" customWidth="1"/>
  </cols>
  <sheetData>
    <row r="1" ht="30" customHeight="1">
      <c r="A1" s="11" t="s">
        <v>15</v>
      </c>
      <c r="B1" s="11" t="s">
        <v>319</v>
      </c>
      <c r="C1" s="11" t="s">
        <v>320</v>
      </c>
      <c r="D1" s="11" t="s">
        <v>321</v>
      </c>
      <c r="E1" s="11" t="s">
        <v>322</v>
      </c>
    </row>
    <row r="2" ht="46.25" customHeight="1">
      <c r="A2" s="3" t="n">
        <v>1</v>
      </c>
      <c r="B2" s="3" t="s">
        <v>323</v>
      </c>
      <c r="C2" s="3" t="s">
        <v>324</v>
      </c>
      <c r="D2" s="3" t="s">
        <v>325</v>
      </c>
      <c r="E2" s="3" t="s">
        <v>326</v>
      </c>
    </row>
    <row r="3" ht="23.85" customHeight="1">
      <c r="A3" s="3" t="n">
        <v>2</v>
      </c>
      <c r="B3" s="3" t="s">
        <v>327</v>
      </c>
      <c r="C3" s="3" t="s">
        <v>328</v>
      </c>
      <c r="D3" s="3" t="s">
        <v>329</v>
      </c>
      <c r="E3" s="3" t="s">
        <v>326</v>
      </c>
    </row>
    <row r="4" ht="23.85" customHeight="1">
      <c r="A4" s="3" t="n">
        <v>3</v>
      </c>
      <c r="B4" s="3" t="s">
        <v>330</v>
      </c>
      <c r="C4" s="3" t="s">
        <v>331</v>
      </c>
      <c r="D4" s="3" t="s">
        <v>50</v>
      </c>
      <c r="E4" s="3" t="s">
        <v>326</v>
      </c>
    </row>
    <row r="5" ht="23.85" customHeight="1">
      <c r="A5" s="3" t="n">
        <v>4</v>
      </c>
      <c r="B5" s="3" t="s">
        <v>332</v>
      </c>
      <c r="C5" s="3" t="s">
        <v>333</v>
      </c>
      <c r="D5" s="3" t="s">
        <v>334</v>
      </c>
      <c r="E5" s="3" t="s">
        <v>326</v>
      </c>
    </row>
    <row r="6" ht="23.85" customHeight="1">
      <c r="A6" s="3" t="n">
        <v>5</v>
      </c>
      <c r="B6" s="3" t="s">
        <v>335</v>
      </c>
      <c r="C6" s="3" t="s">
        <v>336</v>
      </c>
      <c r="D6" s="3" t="s">
        <v>337</v>
      </c>
      <c r="E6" s="3" t="s">
        <v>59</v>
      </c>
    </row>
    <row r="7" ht="23.85" customHeight="1">
      <c r="A7" s="3" t="n">
        <v>6</v>
      </c>
      <c r="B7" s="3" t="s">
        <v>338</v>
      </c>
      <c r="C7" s="3" t="s">
        <v>339</v>
      </c>
      <c r="D7" s="3" t="s">
        <v>50</v>
      </c>
      <c r="E7" s="3" t="s">
        <v>59</v>
      </c>
    </row>
    <row r="8" ht="15" customHeight="1">
      <c r="A8" s="3" t="n">
        <v>7</v>
      </c>
      <c r="B8" s="3" t="s">
        <v>340</v>
      </c>
      <c r="C8" s="3" t="s">
        <v>341</v>
      </c>
      <c r="D8" s="3" t="s">
        <v>50</v>
      </c>
      <c r="E8" s="3" t="s">
        <v>342</v>
      </c>
    </row>
    <row r="9" ht="57.45" customHeight="1">
      <c r="A9" s="3" t="n">
        <v>8</v>
      </c>
      <c r="B9" s="3" t="s">
        <v>343</v>
      </c>
      <c r="C9" s="3" t="s">
        <v>344</v>
      </c>
      <c r="D9" s="3" t="s">
        <v>345</v>
      </c>
      <c r="E9" s="3" t="s">
        <v>326</v>
      </c>
    </row>
  </sheetData>
  <autoFilter ref="A1:E9"/>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RowHeight="15.0" baseColWidth="10" outlineLevelCol="0"/>
  <cols>
    <col min="1" max="1" width="22" hidden="false" outlineLevel="0" customWidth="1"/>
    <col min="2" max="2" width="22" hidden="false" outlineLevel="0" customWidth="1"/>
    <col min="3" max="3" width="12" hidden="false" outlineLevel="0" customWidth="1"/>
    <col min="4" max="4" width="7" hidden="false" outlineLevel="0" customWidth="1"/>
    <col min="5" max="5" width="12" hidden="false" outlineLevel="0" customWidth="1"/>
    <col min="6" max="6" width="12" hidden="false" outlineLevel="0" customWidth="1"/>
    <col min="7" max="7" width="11" hidden="false" outlineLevel="0" customWidth="1"/>
    <col min="8" max="8" width="22" hidden="false" outlineLevel="0" customWidth="1"/>
    <col min="9" max="9" width="60" hidden="false" outlineLevel="0" customWidth="1"/>
  </cols>
  <sheetData>
    <row r="1" ht="42" customHeight="1">
      <c r="A1" s="8" t="s">
        <v>346</v>
      </c>
      <c r="B1" s="23" t="n">
        <v>0.0011</v>
      </c>
      <c r="C1" s="3" t="s">
        <v>412</v>
      </c>
      <c r="D1" s="3"/>
      <c r="E1" s="3"/>
      <c r="F1" s="3"/>
      <c r="G1" s="3"/>
      <c r="H1" s="3"/>
      <c r="I1" s="3"/>
    </row>
    <row r="2" ht="23.85" customHeight="1">
      <c r="A2" s="11" t="s">
        <v>348</v>
      </c>
      <c r="B2" s="11" t="s">
        <v>349</v>
      </c>
      <c r="C2" s="11" t="s">
        <v>260</v>
      </c>
      <c r="D2" s="11" t="s">
        <v>350</v>
      </c>
      <c r="E2" s="11" t="s">
        <v>351</v>
      </c>
      <c r="F2" s="11" t="s">
        <v>352</v>
      </c>
      <c r="G2" s="11" t="s">
        <v>353</v>
      </c>
      <c r="H2" s="11" t="s">
        <v>354</v>
      </c>
      <c r="I2" s="11" t="s">
        <v>355</v>
      </c>
    </row>
    <row r="3" ht="15" customHeight="1">
      <c r="A3" s="3" t="s">
        <v>105</v>
      </c>
      <c r="B3" s="3" t="s">
        <v>356</v>
      </c>
      <c r="C3" s="3" t="s">
        <v>46</v>
      </c>
      <c r="D3" s="3" t="n">
        <v>2024</v>
      </c>
      <c r="E3" s="13" t="n">
        <v>0.0988</v>
      </c>
      <c r="F3" s="13" t="n">
        <v>0.0986</v>
      </c>
      <c r="G3" s="20" t="n">
        <f aca="false">IF(OR(E3="",F3=""),"",E3-F3)</f>
        <v>0.000200000000000006</v>
      </c>
      <c r="H3" s="3" t="str">
        <f aca="false">IF(G3="","",IF(RIGHT(C3,1)="?","Fix basis first",IF(ABS(G3)&lt;$B$1,"Hold - within noise",IF(G3&gt;0,"Submit","Do not submit (worse)"))))</f>
        <v>Hold - within noise</v>
      </c>
      <c r="I3" s="3" t="s">
        <v>357</v>
      </c>
    </row>
    <row r="4" ht="15" customHeight="1">
      <c r="A4" s="3" t="s">
        <v>105</v>
      </c>
      <c r="B4" s="3" t="s">
        <v>87</v>
      </c>
      <c r="C4" s="3" t="s">
        <v>46</v>
      </c>
      <c r="D4" s="3" t="n">
        <v>2024</v>
      </c>
      <c r="E4" s="13" t="n">
        <v>0.0988</v>
      </c>
      <c r="F4" s="13" t="n">
        <v>0.0982</v>
      </c>
      <c r="G4" s="20" t="n">
        <f aca="false">IF(OR(E4="",F4=""),"",E4-F4)</f>
        <v>0.000600000000000003</v>
      </c>
      <c r="H4" s="3" t="str">
        <f aca="false">IF(G4="","",IF(RIGHT(C4,1)="?","Fix basis first",IF(ABS(G4)&lt;$B$1,"Hold - within noise",IF(G4&gt;0,"Submit","Do not submit (worse)"))))</f>
        <v>Hold - within noise</v>
      </c>
      <c r="I4" s="3"/>
    </row>
    <row r="5" ht="23.85" customHeight="1">
      <c r="A5" s="3" t="s">
        <v>105</v>
      </c>
      <c r="B5" s="3" t="s">
        <v>267</v>
      </c>
      <c r="C5" s="3" t="s">
        <v>46</v>
      </c>
      <c r="D5" s="3" t="n">
        <v>2024</v>
      </c>
      <c r="E5" s="13" t="n">
        <v>0.0988</v>
      </c>
      <c r="F5" s="13" t="n">
        <v>0.0988</v>
      </c>
      <c r="G5" s="20" t="n">
        <f aca="false">IF(OR(E5="",F5=""),"",E5-F5)</f>
        <v>0</v>
      </c>
      <c r="H5" s="3" t="str">
        <f aca="false">IF(G5="","",IF(RIGHT(C5,1)="?","Fix basis first",IF(ABS(G5)&lt;$B$1,"Hold - within noise",IF(G5&gt;0,"Submit","Do not submit (worse)"))))</f>
        <v>Hold - within noise</v>
      </c>
      <c r="I5" s="3" t="s">
        <v>358</v>
      </c>
    </row>
    <row r="6" ht="35.05" customHeight="1">
      <c r="A6" s="3" t="s">
        <v>267</v>
      </c>
      <c r="B6" s="3" t="s">
        <v>98</v>
      </c>
      <c r="C6" s="3" t="s">
        <v>46</v>
      </c>
      <c r="D6" s="3" t="s">
        <v>359</v>
      </c>
      <c r="E6" s="13" t="n">
        <v>0.1008</v>
      </c>
      <c r="F6" s="13" t="n">
        <v>0.10145</v>
      </c>
      <c r="G6" s="20" t="n">
        <f aca="false">IF(OR(E6="",F6=""),"",E6-F6)</f>
        <v>-0.000649999999999998</v>
      </c>
      <c r="H6" s="3" t="str">
        <f aca="false">IF(G6="","",IF(RIGHT(C6,1)="?","Fix basis first",IF(ABS(G6)&lt;$B$1,"Hold - within noise",IF(G6&gt;0,"Submit","Do not submit (worse)"))))</f>
        <v>Hold - within noise</v>
      </c>
      <c r="I6" s="3" t="s">
        <v>360</v>
      </c>
    </row>
    <row r="7" ht="23.85" customHeight="1">
      <c r="A7" s="3" t="s">
        <v>92</v>
      </c>
      <c r="B7" s="3" t="s">
        <v>79</v>
      </c>
      <c r="C7" s="3" t="s">
        <v>361</v>
      </c>
      <c r="D7" s="3" t="n">
        <v>2024</v>
      </c>
      <c r="E7" s="13" t="n">
        <v>0.1025</v>
      </c>
      <c r="F7" s="13" t="n">
        <v>0.1045</v>
      </c>
      <c r="G7" s="20" t="n">
        <f aca="false">IF(OR(E7="",F7=""),"",E7-F7)</f>
        <v>-0.002</v>
      </c>
      <c r="H7" s="3" t="str">
        <f aca="false">IF(G7="","",IF(RIGHT(C7,1)="?","Fix basis first",IF(ABS(G7)&lt;$B$1,"Hold - within noise",IF(G7&gt;0,"Submit","Do not submit (worse)"))))</f>
        <v>Do not submit (worse)</v>
      </c>
      <c r="I7" s="3" t="s">
        <v>362</v>
      </c>
    </row>
    <row r="8" ht="15" customHeight="1">
      <c r="A8" s="17" t="s">
        <v>98</v>
      </c>
      <c r="B8" s="17" t="s">
        <v>87</v>
      </c>
      <c r="C8" s="17" t="s">
        <v>46</v>
      </c>
      <c r="D8" s="17" t="n">
        <v>2024</v>
      </c>
      <c r="E8" s="5" t="n">
        <v>0.0986</v>
      </c>
      <c r="F8" s="5" t="n">
        <v>0.0982</v>
      </c>
      <c r="G8" s="20" t="n">
        <f aca="false">IF(OR(E8="",F8=""),"",E8-F8)</f>
        <v>0.000399999999999998</v>
      </c>
      <c r="H8" s="3" t="str">
        <f aca="false">IF(G8="","",IF(RIGHT(C8,1)="?","Fix basis first",IF(ABS(G8)&lt;$B$1,"Hold - within noise",IF(G8&gt;0,"Submit","Do not submit (worse)"))))</f>
        <v>Hold - within noise</v>
      </c>
      <c r="I8" s="17" t="s">
        <v>363</v>
      </c>
    </row>
    <row r="9" ht="23.85" customHeight="1">
      <c r="A9" s="17" t="s">
        <v>111</v>
      </c>
      <c r="B9" s="17" t="s">
        <v>364</v>
      </c>
      <c r="C9" s="17" t="s">
        <v>361</v>
      </c>
      <c r="D9" s="17" t="n">
        <v>2024</v>
      </c>
      <c r="E9" s="5"/>
      <c r="F9" s="5"/>
      <c r="G9" s="20" t="str">
        <f aca="false">IF(OR(E9="",F9=""),"",E9-F9)</f>
        <v/>
      </c>
      <c r="H9" s="3" t="str">
        <f aca="false">IF(G9="","",IF(RIGHT(C9,1)="?","Fix basis first",IF(ABS(G9)&lt;$B$1,"Hold - within noise",IF(G9&gt;0,"Submit","Do not submit (worse)"))))</f>
        <v/>
      </c>
      <c r="I9" s="17" t="s">
        <v>365</v>
      </c>
    </row>
    <row r="10" ht="15" customHeight="1">
      <c r="A10" s="17" t="s">
        <v>408</v>
      </c>
      <c r="B10" s="17" t="s">
        <v>413</v>
      </c>
      <c r="C10" s="17" t="s">
        <v>414</v>
      </c>
      <c r="D10" s="17" t="s">
        <v>359</v>
      </c>
      <c r="E10" s="5" t="n">
        <v>0.10228055387038</v>
      </c>
      <c r="F10" s="5" t="n">
        <v>0.101350700775181</v>
      </c>
      <c r="G10" s="20" t="n">
        <v>0.000929853095198885</v>
      </c>
      <c r="H10" s="3" t="s">
        <v>427</v>
      </c>
      <c r="I10" s="17" t="s">
        <v>416</v>
      </c>
    </row>
    <row r="11" ht="15" customHeight="1">
      <c r="A11" s="17" t="s">
        <v>417</v>
      </c>
      <c r="B11" s="17" t="s">
        <v>413</v>
      </c>
      <c r="C11" s="17" t="s">
        <v>414</v>
      </c>
      <c r="D11" s="17" t="s">
        <v>359</v>
      </c>
      <c r="E11" s="5" t="n">
        <v>0.101426852088906</v>
      </c>
      <c r="F11" s="5" t="n">
        <v>0.101350700775181</v>
      </c>
      <c r="G11" s="20" t="n">
        <v>0.0000761513137252368</v>
      </c>
      <c r="H11" s="3" t="s">
        <v>418</v>
      </c>
      <c r="I11" s="17" t="s">
        <v>419</v>
      </c>
    </row>
    <row r="12">
      <c r="A12" t="s">
        <v>420</v>
      </c>
      <c r="B12" t="s">
        <v>421</v>
      </c>
      <c r="C12" t="s">
        <v>414</v>
      </c>
      <c r="D12" t="s">
        <v>359</v>
      </c>
      <c r="E12" t="n">
        <v>0.101397005293616</v>
      </c>
      <c r="F12" t="n">
        <v>0.101359026962452</v>
      </c>
      <c r="G12" t="n">
        <v>0.0000379783311633131</v>
      </c>
      <c r="H12" t="s">
        <v>418</v>
      </c>
      <c r="I12" t="s">
        <v>422</v>
      </c>
    </row>
    <row r="13">
      <c r="A13" t="s">
        <v>423</v>
      </c>
      <c r="B13" t="s">
        <v>421</v>
      </c>
      <c r="C13" t="s">
        <v>414</v>
      </c>
      <c r="D13" t="s">
        <v>359</v>
      </c>
      <c r="E13" t="n">
        <v>0.101495646371475</v>
      </c>
      <c r="F13" t="n">
        <v>0.101359026962452</v>
      </c>
      <c r="G13" t="n">
        <v>0.000136619409022598</v>
      </c>
      <c r="H13" t="s">
        <v>418</v>
      </c>
      <c r="I13" t="s">
        <v>424</v>
      </c>
    </row>
    <row r="14">
      <c r="A14" t="s">
        <v>425</v>
      </c>
      <c r="B14" t="s">
        <v>421</v>
      </c>
      <c r="C14" t="s">
        <v>414</v>
      </c>
      <c r="D14" t="s">
        <v>359</v>
      </c>
      <c r="E14" t="n">
        <v>0.102375126428395</v>
      </c>
      <c r="F14" t="n">
        <v>0.101359026962452</v>
      </c>
      <c r="G14" t="n">
        <v>0.00101609946594289</v>
      </c>
      <c r="H14" t="s">
        <v>418</v>
      </c>
      <c r="I14" t="s">
        <v>426</v>
      </c>
    </row>
    <row r="15">
      <c r="A15" t="s">
        <v>428</v>
      </c>
      <c r="B15" t="s">
        <v>429</v>
      </c>
      <c r="C15" t="s">
        <v>414</v>
      </c>
      <c r="D15" t="s">
        <v>359</v>
      </c>
      <c r="E15" t="n">
        <v>0.103020780631151</v>
      </c>
      <c r="F15" t="n">
        <v>0.10228055387038</v>
      </c>
      <c r="G15" t="n">
        <v>0.000740226760771123</v>
      </c>
      <c r="H15" t="s">
        <v>436</v>
      </c>
      <c r="I15" t="s">
        <v>430</v>
      </c>
    </row>
    <row r="16">
      <c r="A16" t="s">
        <v>431</v>
      </c>
      <c r="B16" t="s">
        <v>429</v>
      </c>
      <c r="C16" t="s">
        <v>414</v>
      </c>
      <c r="D16" t="s">
        <v>359</v>
      </c>
      <c r="E16" t="n">
        <v>0.102552867701297</v>
      </c>
      <c r="F16" t="n">
        <v>0.10228055387038</v>
      </c>
      <c r="G16" t="n">
        <v>0.000272313830917581</v>
      </c>
      <c r="H16" t="s">
        <v>418</v>
      </c>
      <c r="I16" t="s">
        <v>432</v>
      </c>
    </row>
    <row r="17">
      <c r="A17" t="s">
        <v>520</v>
      </c>
      <c r="B17" t="s">
        <v>521</v>
      </c>
      <c r="C17" t="s">
        <v>522</v>
      </c>
      <c r="D17" t="s">
        <v>523</v>
      </c>
      <c r="E17" t="n">
        <v>0.10327</v>
      </c>
      <c r="F17" t="n">
        <v>0.1029</v>
      </c>
      <c r="G17" t="n">
        <v>0.00037</v>
      </c>
      <c r="H17" t="s">
        <v>524</v>
      </c>
      <c r="I17" t="s">
        <v>525</v>
      </c>
    </row>
  </sheetData>
  <mergeCells count="1">
    <mergeCell ref="C1:I1"/>
  </mergeCells>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15.0" baseColWidth="10" outlineLevelCol="0"/>
  <cols>
    <col min="1" max="1" width="10" hidden="false" outlineLevel="0" customWidth="1"/>
    <col min="2" max="2" width="11" hidden="false" outlineLevel="0" customWidth="1"/>
    <col min="3" max="3" width="18" hidden="false" outlineLevel="0" customWidth="1"/>
    <col min="4" max="4" width="12" hidden="false" outlineLevel="0" customWidth="1"/>
    <col min="5" max="5" width="10" hidden="false" outlineLevel="0" customWidth="1"/>
    <col min="6" max="6" width="9" hidden="false" outlineLevel="0" customWidth="1"/>
    <col min="7" max="7" width="12" hidden="false" outlineLevel="0" customWidth="1"/>
    <col min="9" max="9" width="11" hidden="false" outlineLevel="0" customWidth="1"/>
    <col min="10" max="10" width="14" hidden="false" outlineLevel="0" customWidth="1"/>
    <col min="11" max="11" width="14" hidden="false" outlineLevel="0" customWidth="1"/>
    <col min="12" max="12" width="14" hidden="false" outlineLevel="0" customWidth="1"/>
    <col min="13" max="13" width="10" hidden="false" outlineLevel="0" customWidth="1"/>
    <col min="14" max="14" width="10" hidden="false" outlineLevel="0" customWidth="1"/>
  </cols>
  <sheetData>
    <row r="1" ht="30" customHeight="1">
      <c r="A1" s="11" t="s">
        <v>258</v>
      </c>
      <c r="B1" s="11" t="s">
        <v>257</v>
      </c>
      <c r="C1" s="11" t="s">
        <v>366</v>
      </c>
      <c r="D1" s="11" t="s">
        <v>367</v>
      </c>
      <c r="E1" s="11" t="s">
        <v>368</v>
      </c>
      <c r="F1" s="11" t="s">
        <v>369</v>
      </c>
      <c r="G1" s="11" t="s">
        <v>370</v>
      </c>
      <c r="I1" s="11" t="s">
        <v>257</v>
      </c>
      <c r="J1" s="11" t="s">
        <v>366</v>
      </c>
      <c r="K1" s="11" t="s">
        <v>371</v>
      </c>
      <c r="L1" s="11" t="s">
        <v>372</v>
      </c>
      <c r="M1" s="11" t="s">
        <v>373</v>
      </c>
      <c r="N1" s="11" t="s">
        <v>374</v>
      </c>
    </row>
    <row r="2" ht="15" customHeight="1">
      <c r="A2" s="3" t="n">
        <v>2022</v>
      </c>
      <c r="B2" s="3" t="s">
        <v>262</v>
      </c>
      <c r="C2" s="3" t="s">
        <v>375</v>
      </c>
      <c r="D2" s="13" t="n">
        <v>0.0594729491348748</v>
      </c>
      <c r="E2" s="13" t="n">
        <v>0.0594448962483821</v>
      </c>
      <c r="F2" s="14" t="n">
        <v>0.417904549966425</v>
      </c>
      <c r="G2" s="14" t="n">
        <v>0.968622564658503</v>
      </c>
      <c r="I2" s="3" t="s">
        <v>262</v>
      </c>
      <c r="J2" s="3" t="s">
        <v>375</v>
      </c>
      <c r="K2" s="13" t="n">
        <f aca="false">AVERAGEIFS($E$2:$E$100,$B$2:$B$100,I2,$C$2:$C$100,J2)</f>
        <v>0.0534690944330075</v>
      </c>
      <c r="L2" s="13" t="n">
        <f aca="false">AVERAGEIFS($D$2:$D$100,$B$2:$B$100,I2,$C$2:$C$100,J2)</f>
        <v>0.049584493414067</v>
      </c>
      <c r="M2" s="13" t="n">
        <f aca="false">SUMIFS($D$2:$D$100,$B$2:$B$100,I2,$C$2:$C$100,J2,$A$2:$A$100,2024)</f>
        <v>0.0465278239144025</v>
      </c>
      <c r="N2" s="3" t="n">
        <v>1</v>
      </c>
    </row>
    <row r="3" ht="15" customHeight="1">
      <c r="A3" s="3" t="n">
        <v>2022</v>
      </c>
      <c r="B3" s="3" t="s">
        <v>262</v>
      </c>
      <c r="C3" s="3" t="s">
        <v>376</v>
      </c>
      <c r="D3" s="13" t="n">
        <v>0.0557322041288149</v>
      </c>
      <c r="E3" s="13" t="n">
        <v>0.0558802064568434</v>
      </c>
      <c r="F3" s="14" t="n">
        <v>0.409846462291396</v>
      </c>
      <c r="G3" s="14" t="n">
        <v>0.969303744416177</v>
      </c>
      <c r="I3" s="3" t="s">
        <v>262</v>
      </c>
      <c r="J3" s="3" t="s">
        <v>376</v>
      </c>
      <c r="K3" s="13" t="n">
        <f aca="false">AVERAGEIFS($E$2:$E$100,$B$2:$B$100,I3,$C$2:$C$100,J3)</f>
        <v>0.0505170992832157</v>
      </c>
      <c r="L3" s="13" t="n">
        <f aca="false">AVERAGEIFS($D$2:$D$100,$B$2:$B$100,I3,$C$2:$C$100,J3)</f>
        <v>0.047038528038228</v>
      </c>
      <c r="M3" s="13" t="n">
        <f aca="false">SUMIFS($D$2:$D$100,$B$2:$B$100,I3,$C$2:$C$100,J3,$A$2:$A$100,2024)</f>
        <v>0.0422385048666211</v>
      </c>
      <c r="N3" s="3" t="n">
        <v>0.4</v>
      </c>
    </row>
    <row r="4" ht="15" customHeight="1">
      <c r="A4" s="3" t="n">
        <v>2022</v>
      </c>
      <c r="B4" s="3" t="s">
        <v>262</v>
      </c>
      <c r="C4" s="3" t="s">
        <v>377</v>
      </c>
      <c r="D4" s="13" t="n">
        <v>0.0495773678021767</v>
      </c>
      <c r="E4" s="13" t="n">
        <v>0.0495526195762086</v>
      </c>
      <c r="F4" s="14" t="n">
        <v>0.393726377021668</v>
      </c>
      <c r="G4" s="14" t="n">
        <v>0.967969087582564</v>
      </c>
      <c r="I4" s="3" t="s">
        <v>262</v>
      </c>
      <c r="J4" s="3" t="s">
        <v>377</v>
      </c>
      <c r="K4" s="13" t="n">
        <f aca="false">AVERAGEIFS($E$2:$E$100,$B$2:$B$100,I4,$C$2:$C$100,J4)</f>
        <v>0.0421781395511057</v>
      </c>
      <c r="L4" s="13" t="n">
        <f aca="false">AVERAGEIFS($D$2:$D$100,$B$2:$B$100,I4,$C$2:$C$100,J4)</f>
        <v>0.0381078815737351</v>
      </c>
      <c r="M4" s="13" t="n">
        <f aca="false">SUMIFS($D$2:$D$100,$B$2:$B$100,I4,$C$2:$C$100,J4,$A$2:$A$100,2024)</f>
        <v>0.0418557680299354</v>
      </c>
      <c r="N4" s="3" t="n">
        <v>0</v>
      </c>
    </row>
    <row r="5" ht="15" customHeight="1">
      <c r="A5" s="3" t="n">
        <v>2022</v>
      </c>
      <c r="B5" s="3" t="s">
        <v>262</v>
      </c>
      <c r="C5" s="3" t="s">
        <v>378</v>
      </c>
      <c r="D5" s="13" t="n">
        <v>0.0604885832567661</v>
      </c>
      <c r="E5" s="13" t="n">
        <v>0.0604540163699644</v>
      </c>
      <c r="F5" s="14" t="n">
        <v>0.419603653718223</v>
      </c>
      <c r="G5" s="14" t="n">
        <v>0.967600795021991</v>
      </c>
      <c r="I5" s="3" t="s">
        <v>262</v>
      </c>
      <c r="J5" s="3" t="s">
        <v>378</v>
      </c>
      <c r="K5" s="13" t="n">
        <f aca="false">AVERAGEIFS($E$2:$E$100,$B$2:$B$100,I5,$C$2:$C$100,J5)</f>
        <v>0.051623443450873</v>
      </c>
      <c r="L5" s="13" t="n">
        <f aca="false">AVERAGEIFS($D$2:$D$100,$B$2:$B$100,I5,$C$2:$C$100,J5)</f>
        <v>0.047705023088633</v>
      </c>
      <c r="M5" s="13" t="n">
        <f aca="false">SUMIFS($D$2:$D$100,$B$2:$B$100,I5,$C$2:$C$100,J5,$A$2:$A$100,2024)</f>
        <v>0.0469403933489203</v>
      </c>
      <c r="N5" s="3" t="n">
        <v>0.4</v>
      </c>
    </row>
    <row r="6" ht="15" customHeight="1">
      <c r="A6" s="3" t="n">
        <v>2022</v>
      </c>
      <c r="B6" s="3" t="s">
        <v>262</v>
      </c>
      <c r="C6" s="3" t="s">
        <v>379</v>
      </c>
      <c r="D6" s="13" t="n">
        <v>0.0359164726095051</v>
      </c>
      <c r="E6" s="13" t="n">
        <v>0.0358935432446572</v>
      </c>
      <c r="F6" s="14" t="n">
        <v>0.358760321535449</v>
      </c>
      <c r="G6" s="14" t="n">
        <v>0.969303744416177</v>
      </c>
      <c r="I6" s="3" t="s">
        <v>262</v>
      </c>
      <c r="J6" s="3" t="s">
        <v>379</v>
      </c>
      <c r="K6" s="13" t="n">
        <f aca="false">AVERAGEIFS($E$2:$E$100,$B$2:$B$100,I6,$C$2:$C$100,J6)</f>
        <v>0.0359411959262223</v>
      </c>
      <c r="L6" s="13" t="n">
        <f aca="false">AVERAGEIFS($D$2:$D$100,$B$2:$B$100,I6,$C$2:$C$100,J6)</f>
        <v>0.0320339844420453</v>
      </c>
      <c r="M6" s="13" t="n">
        <f aca="false">SUMIFS($D$2:$D$100,$B$2:$B$100,I6,$C$2:$C$100,J6,$A$2:$A$100,2024)</f>
        <v>0.0383062234885574</v>
      </c>
      <c r="N6" s="3" t="n">
        <v>0</v>
      </c>
    </row>
    <row r="7" ht="15" customHeight="1">
      <c r="A7" s="3" t="n">
        <v>2022</v>
      </c>
      <c r="B7" s="3" t="s">
        <v>262</v>
      </c>
      <c r="C7" s="3" t="s">
        <v>380</v>
      </c>
      <c r="D7" s="13" t="n">
        <v>0.0491049329584206</v>
      </c>
      <c r="E7" s="13" t="n">
        <v>0.0491987109174765</v>
      </c>
      <c r="F7" s="14" t="n">
        <v>0.393059897518745</v>
      </c>
      <c r="G7" s="14" t="n">
        <v>0.969303744416177</v>
      </c>
      <c r="I7" s="3" t="s">
        <v>262</v>
      </c>
      <c r="J7" s="3" t="s">
        <v>380</v>
      </c>
      <c r="K7" s="13" t="n">
        <f aca="false">AVERAGEIFS($E$2:$E$100,$B$2:$B$100,I7,$C$2:$C$100,J7)</f>
        <v>0.0487188443469343</v>
      </c>
      <c r="L7" s="13" t="n">
        <f aca="false">AVERAGEIFS($D$2:$D$100,$B$2:$B$100,I7,$C$2:$C$100,J7)</f>
        <v>0.0448681111003323</v>
      </c>
      <c r="M7" s="13" t="n">
        <f aca="false">SUMIFS($D$2:$D$100,$B$2:$B$100,I7,$C$2:$C$100,J7,$A$2:$A$100,2024)</f>
        <v>0.0452121304458145</v>
      </c>
      <c r="N7" s="3" t="n">
        <v>0.2</v>
      </c>
    </row>
    <row r="8" ht="15" customHeight="1">
      <c r="A8" s="3" t="n">
        <v>2022</v>
      </c>
      <c r="B8" s="3" t="s">
        <v>262</v>
      </c>
      <c r="C8" s="3" t="s">
        <v>381</v>
      </c>
      <c r="D8" s="13" t="n">
        <v>-0.00013086890921854</v>
      </c>
      <c r="E8" s="13" t="n">
        <v>-2.22044604925031E-016</v>
      </c>
      <c r="F8" s="14" t="n">
        <v>0.185279491678031</v>
      </c>
      <c r="G8" s="14" t="n">
        <v>0.977160848848743</v>
      </c>
      <c r="I8" s="3" t="s">
        <v>262</v>
      </c>
      <c r="J8" s="3" t="s">
        <v>382</v>
      </c>
      <c r="K8" s="13" t="n">
        <f aca="false">AVERAGEIFS($E$2:$E$100,$B$2:$B$100,I8,$C$2:$C$100,J8)</f>
        <v>0.0538420886612468</v>
      </c>
      <c r="L8" s="13" t="n">
        <f aca="false">AVERAGEIFS($D$2:$D$100,$B$2:$B$100,I8,$C$2:$C$100,J8)</f>
        <v>0.0518851320097606</v>
      </c>
      <c r="M8" s="13" t="n">
        <f aca="false">SUMIFS($D$2:$D$100,$B$2:$B$100,I8,$C$2:$C$100,J8,$A$2:$A$100,2024)</f>
        <v>0.0446313511899739</v>
      </c>
      <c r="N8" s="3" t="s">
        <v>50</v>
      </c>
    </row>
    <row r="9" ht="15" customHeight="1">
      <c r="A9" s="3" t="n">
        <v>2022</v>
      </c>
      <c r="B9" s="3" t="s">
        <v>262</v>
      </c>
      <c r="C9" s="3" t="s">
        <v>383</v>
      </c>
      <c r="D9" s="13" t="n">
        <v>-0.000129333245154184</v>
      </c>
      <c r="E9" s="13" t="n">
        <v>-2.22044604925031E-016</v>
      </c>
      <c r="F9" s="14" t="n">
        <v>0.185279491678031</v>
      </c>
      <c r="G9" s="14" t="n">
        <v>0.977315291422473</v>
      </c>
      <c r="I9" s="3" t="s">
        <v>262</v>
      </c>
      <c r="J9" s="3" t="s">
        <v>384</v>
      </c>
      <c r="K9" s="13" t="n">
        <f aca="false">AVERAGEIFS($E$2:$E$100,$B$2:$B$100,I9,$C$2:$C$100,J9)</f>
        <v>0.049611533376861</v>
      </c>
      <c r="L9" s="13" t="n">
        <f aca="false">AVERAGEIFS($D$2:$D$100,$B$2:$B$100,I9,$C$2:$C$100,J9)</f>
        <v>0.0460156455131828</v>
      </c>
      <c r="M9" s="13" t="n">
        <f aca="false">SUMIFS($D$2:$D$100,$B$2:$B$100,I9,$C$2:$C$100,J9,$A$2:$A$100,2024)</f>
        <v>0.0494757297707136</v>
      </c>
      <c r="N9" s="3" t="s">
        <v>50</v>
      </c>
    </row>
    <row r="10" ht="15" customHeight="1">
      <c r="A10" s="3" t="n">
        <v>2022</v>
      </c>
      <c r="B10" s="3" t="s">
        <v>262</v>
      </c>
      <c r="C10" s="3" t="s">
        <v>382</v>
      </c>
      <c r="D10" s="13" t="n">
        <v>0.0552914796296518</v>
      </c>
      <c r="E10" s="13" t="n">
        <v>0.0556036423632964</v>
      </c>
      <c r="F10" s="14" t="n">
        <v>0.410724614946234</v>
      </c>
      <c r="G10" s="14" t="n">
        <v>0.958178930146449</v>
      </c>
      <c r="I10" s="3" t="s">
        <v>262</v>
      </c>
      <c r="J10" s="3" t="s">
        <v>383</v>
      </c>
      <c r="K10" s="13" t="n">
        <f aca="false">AVERAGEIFS($E$2:$E$100,$B$2:$B$100,I10,$C$2:$C$100,J10)</f>
        <v>-3.70074341541717E-017</v>
      </c>
      <c r="L10" s="13" t="n">
        <f aca="false">AVERAGEIFS($D$2:$D$100,$B$2:$B$100,I10,$C$2:$C$100,J10)</f>
        <v>-0.00441617493250023</v>
      </c>
      <c r="M10" s="13" t="n">
        <f aca="false">SUMIFS($D$2:$D$100,$B$2:$B$100,I10,$C$2:$C$100,J10,$A$2:$A$100,2024)</f>
        <v>-0.0131160115711577</v>
      </c>
      <c r="N10" s="3" t="s">
        <v>50</v>
      </c>
    </row>
    <row r="11" ht="15" customHeight="1">
      <c r="A11" s="3" t="n">
        <v>2022</v>
      </c>
      <c r="B11" s="3" t="s">
        <v>262</v>
      </c>
      <c r="C11" s="3" t="s">
        <v>384</v>
      </c>
      <c r="D11" s="13" t="n">
        <v>0.0468256210177852</v>
      </c>
      <c r="E11" s="13" t="n">
        <v>0.050651164380908</v>
      </c>
      <c r="F11" s="14" t="n">
        <v>0.398883135827892</v>
      </c>
      <c r="G11" s="14" t="n">
        <v>0.864395198328225</v>
      </c>
      <c r="I11" s="3" t="s">
        <v>264</v>
      </c>
      <c r="J11" s="3" t="s">
        <v>375</v>
      </c>
      <c r="K11" s="13" t="n">
        <f aca="false">AVERAGEIFS($E$2:$E$100,$B$2:$B$100,I11,$C$2:$C$100,J11)</f>
        <v>0.0709839916395627</v>
      </c>
      <c r="L11" s="13" t="n">
        <f aca="false">AVERAGEIFS($D$2:$D$100,$B$2:$B$100,I11,$C$2:$C$100,J11)</f>
        <v>0.0707952419384802</v>
      </c>
      <c r="M11" s="13" t="n">
        <f aca="false">SUMIFS($D$2:$D$100,$B$2:$B$100,I11,$C$2:$C$100,J11,$A$2:$A$100,2024)</f>
        <v>0.074796502413448</v>
      </c>
      <c r="N11" s="3" t="n">
        <v>1</v>
      </c>
    </row>
    <row r="12" ht="15" customHeight="1">
      <c r="A12" s="3" t="n">
        <v>2022</v>
      </c>
      <c r="B12" s="3" t="s">
        <v>262</v>
      </c>
      <c r="C12" s="3" t="s">
        <v>385</v>
      </c>
      <c r="D12" s="13" t="n">
        <v>0.0557322041288149</v>
      </c>
      <c r="E12" s="13" t="n">
        <v>0.0558802064568434</v>
      </c>
      <c r="F12" s="14" t="n">
        <v>0.409846462291396</v>
      </c>
      <c r="G12" s="14" t="n">
        <v>0.969303744416177</v>
      </c>
      <c r="I12" s="3" t="s">
        <v>264</v>
      </c>
      <c r="J12" s="3" t="s">
        <v>376</v>
      </c>
      <c r="K12" s="13" t="n">
        <f aca="false">AVERAGEIFS($E$2:$E$100,$B$2:$B$100,I12,$C$2:$C$100,J12)</f>
        <v>0.0671969590236953</v>
      </c>
      <c r="L12" s="13" t="n">
        <f aca="false">AVERAGEIFS($D$2:$D$100,$B$2:$B$100,I12,$C$2:$C$100,J12)</f>
        <v>0.0669720917545525</v>
      </c>
      <c r="M12" s="13" t="n">
        <f aca="false">SUMIFS($D$2:$D$100,$B$2:$B$100,I12,$C$2:$C$100,J12,$A$2:$A$100,2024)</f>
        <v>0.0697325778275704</v>
      </c>
      <c r="N12" s="3" t="n">
        <v>0.2</v>
      </c>
    </row>
    <row r="13" ht="15" customHeight="1">
      <c r="A13" s="3" t="n">
        <v>2022</v>
      </c>
      <c r="B13" s="3" t="s">
        <v>264</v>
      </c>
      <c r="C13" s="3" t="s">
        <v>375</v>
      </c>
      <c r="D13" s="13" t="n">
        <v>0.0662016209600627</v>
      </c>
      <c r="E13" s="13" t="n">
        <v>0.0663977449487331</v>
      </c>
      <c r="F13" s="14" t="n">
        <v>0.426375133430657</v>
      </c>
      <c r="G13" s="14" t="n">
        <v>0.95801013099093</v>
      </c>
      <c r="I13" s="3" t="s">
        <v>264</v>
      </c>
      <c r="J13" s="3" t="s">
        <v>377</v>
      </c>
      <c r="K13" s="13" t="n">
        <f aca="false">AVERAGEIFS($E$2:$E$100,$B$2:$B$100,I13,$C$2:$C$100,J13)</f>
        <v>0.0669415271701584</v>
      </c>
      <c r="L13" s="13" t="n">
        <f aca="false">AVERAGEIFS($D$2:$D$100,$B$2:$B$100,I13,$C$2:$C$100,J13)</f>
        <v>0.0667927781967542</v>
      </c>
      <c r="M13" s="13" t="n">
        <f aca="false">SUMIFS($D$2:$D$100,$B$2:$B$100,I13,$C$2:$C$100,J13,$A$2:$A$100,2024)</f>
        <v>0.0709564243458833</v>
      </c>
      <c r="N13" s="3" t="n">
        <v>0</v>
      </c>
    </row>
    <row r="14" ht="15" customHeight="1">
      <c r="A14" s="3" t="n">
        <v>2022</v>
      </c>
      <c r="B14" s="3" t="s">
        <v>264</v>
      </c>
      <c r="C14" s="3" t="s">
        <v>376</v>
      </c>
      <c r="D14" s="13" t="n">
        <v>0.0627136977901351</v>
      </c>
      <c r="E14" s="13" t="n">
        <v>0.0630754307723892</v>
      </c>
      <c r="F14" s="14" t="n">
        <v>0.416484266168828</v>
      </c>
      <c r="G14" s="14" t="n">
        <v>0.961616864128293</v>
      </c>
      <c r="I14" s="3" t="s">
        <v>264</v>
      </c>
      <c r="J14" s="3" t="s">
        <v>378</v>
      </c>
      <c r="K14" s="13" t="n">
        <f aca="false">AVERAGEIFS($E$2:$E$100,$B$2:$B$100,I14,$C$2:$C$100,J14)</f>
        <v>0.0704996311659209</v>
      </c>
      <c r="L14" s="13" t="n">
        <f aca="false">AVERAGEIFS($D$2:$D$100,$B$2:$B$100,I14,$C$2:$C$100,J14)</f>
        <v>0.0702967147830933</v>
      </c>
      <c r="M14" s="13" t="n">
        <f aca="false">SUMIFS($D$2:$D$100,$B$2:$B$100,I14,$C$2:$C$100,J14,$A$2:$A$100,2024)</f>
        <v>0.0748129267515318</v>
      </c>
      <c r="N14" s="3" t="n">
        <v>0.7</v>
      </c>
    </row>
    <row r="15" ht="15" customHeight="1">
      <c r="A15" s="3" t="n">
        <v>2022</v>
      </c>
      <c r="B15" s="3" t="s">
        <v>264</v>
      </c>
      <c r="C15" s="3" t="s">
        <v>377</v>
      </c>
      <c r="D15" s="13" t="n">
        <v>0.0633780916367746</v>
      </c>
      <c r="E15" s="13" t="n">
        <v>0.0635760254052834</v>
      </c>
      <c r="F15" s="14" t="n">
        <v>0.418093724573935</v>
      </c>
      <c r="G15" s="14" t="n">
        <v>0.956402745993713</v>
      </c>
      <c r="I15" s="3" t="s">
        <v>264</v>
      </c>
      <c r="J15" s="3" t="s">
        <v>379</v>
      </c>
      <c r="K15" s="13" t="n">
        <f aca="false">AVERAGEIFS($E$2:$E$100,$B$2:$B$100,I15,$C$2:$C$100,J15)</f>
        <v>0.0622831372112002</v>
      </c>
      <c r="L15" s="13" t="n">
        <f aca="false">AVERAGEIFS($D$2:$D$100,$B$2:$B$100,I15,$C$2:$C$100,J15)</f>
        <v>0.0620613899463666</v>
      </c>
      <c r="M15" s="13" t="n">
        <f aca="false">SUMIFS($D$2:$D$100,$B$2:$B$100,I15,$C$2:$C$100,J15,$A$2:$A$100,2024)</f>
        <v>0.0666333217280464</v>
      </c>
      <c r="N15" s="3" t="n">
        <v>0</v>
      </c>
    </row>
    <row r="16" ht="15" customHeight="1">
      <c r="A16" s="3" t="n">
        <v>2022</v>
      </c>
      <c r="B16" s="3" t="s">
        <v>264</v>
      </c>
      <c r="C16" s="3" t="s">
        <v>378</v>
      </c>
      <c r="D16" s="13" t="n">
        <v>0.0652534833990568</v>
      </c>
      <c r="E16" s="13" t="n">
        <v>0.0655295362182964</v>
      </c>
      <c r="F16" s="14" t="n">
        <v>0.425031801781412</v>
      </c>
      <c r="G16" s="14" t="n">
        <v>0.956464388217774</v>
      </c>
      <c r="I16" s="3" t="s">
        <v>264</v>
      </c>
      <c r="J16" s="3" t="s">
        <v>380</v>
      </c>
      <c r="K16" s="13" t="n">
        <f aca="false">AVERAGEIFS($E$2:$E$100,$B$2:$B$100,I16,$C$2:$C$100,J16)</f>
        <v>0.0665547388090748</v>
      </c>
      <c r="L16" s="13" t="n">
        <f aca="false">AVERAGEIFS($D$2:$D$100,$B$2:$B$100,I16,$C$2:$C$100,J16)</f>
        <v>0.0663847356926177</v>
      </c>
      <c r="M16" s="13" t="n">
        <f aca="false">SUMIFS($D$2:$D$100,$B$2:$B$100,I16,$C$2:$C$100,J16,$A$2:$A$100,2024)</f>
        <v>0.0726475973818825</v>
      </c>
      <c r="N16" s="3" t="n">
        <v>0.1</v>
      </c>
    </row>
    <row r="17" ht="15" customHeight="1">
      <c r="A17" s="3" t="n">
        <v>2022</v>
      </c>
      <c r="B17" s="3" t="s">
        <v>264</v>
      </c>
      <c r="C17" s="3" t="s">
        <v>379</v>
      </c>
      <c r="D17" s="13" t="n">
        <v>0.0582028795974667</v>
      </c>
      <c r="E17" s="13" t="n">
        <v>0.058343338745581</v>
      </c>
      <c r="F17" s="14" t="n">
        <v>0.399783164908738</v>
      </c>
      <c r="G17" s="14" t="n">
        <v>0.961616864128293</v>
      </c>
      <c r="I17" s="3" t="s">
        <v>264</v>
      </c>
      <c r="J17" s="3" t="s">
        <v>382</v>
      </c>
      <c r="K17" s="13" t="n">
        <f aca="false">AVERAGEIFS($E$2:$E$100,$B$2:$B$100,I17,$C$2:$C$100,J17)</f>
        <v>0.0595082346649208</v>
      </c>
      <c r="L17" s="13" t="n">
        <f aca="false">AVERAGEIFS($D$2:$D$100,$B$2:$B$100,I17,$C$2:$C$100,J17)</f>
        <v>0.0597461613872832</v>
      </c>
      <c r="M17" s="13" t="n">
        <f aca="false">SUMIFS($D$2:$D$100,$B$2:$B$100,I17,$C$2:$C$100,J17,$A$2:$A$100,2024)</f>
        <v>0.0686973549343856</v>
      </c>
      <c r="N17" s="3" t="s">
        <v>50</v>
      </c>
    </row>
    <row r="18" ht="15" customHeight="1">
      <c r="A18" s="3" t="n">
        <v>2022</v>
      </c>
      <c r="B18" s="3" t="s">
        <v>264</v>
      </c>
      <c r="C18" s="3" t="s">
        <v>380</v>
      </c>
      <c r="D18" s="13" t="n">
        <v>0.0602165123610483</v>
      </c>
      <c r="E18" s="13" t="n">
        <v>0.0603025802854518</v>
      </c>
      <c r="F18" s="14" t="n">
        <v>0.408021180666586</v>
      </c>
      <c r="G18" s="14" t="n">
        <v>0.961616864128293</v>
      </c>
      <c r="I18" s="3" t="s">
        <v>264</v>
      </c>
      <c r="J18" s="3" t="s">
        <v>384</v>
      </c>
      <c r="K18" s="13" t="n">
        <f aca="false">AVERAGEIFS($E$2:$E$100,$B$2:$B$100,I18,$C$2:$C$100,J18)</f>
        <v>0.0674635793656948</v>
      </c>
      <c r="L18" s="13" t="n">
        <f aca="false">AVERAGEIFS($D$2:$D$100,$B$2:$B$100,I18,$C$2:$C$100,J18)</f>
        <v>0.0664363192705765</v>
      </c>
      <c r="M18" s="13" t="n">
        <f aca="false">SUMIFS($D$2:$D$100,$B$2:$B$100,I18,$C$2:$C$100,J18,$A$2:$A$100,2024)</f>
        <v>0.0730218035394928</v>
      </c>
      <c r="N18" s="3" t="s">
        <v>50</v>
      </c>
    </row>
    <row r="19" ht="15" customHeight="1">
      <c r="A19" s="3" t="n">
        <v>2022</v>
      </c>
      <c r="B19" s="3" t="s">
        <v>264</v>
      </c>
      <c r="C19" s="3" t="s">
        <v>381</v>
      </c>
      <c r="D19" s="13" t="n">
        <v>-0.000403583066526991</v>
      </c>
      <c r="E19" s="13" t="n">
        <v>0</v>
      </c>
      <c r="F19" s="14" t="n">
        <v>0.156842614507394</v>
      </c>
      <c r="G19" s="14" t="n">
        <v>0.952397509197381</v>
      </c>
      <c r="I19" s="3" t="s">
        <v>264</v>
      </c>
      <c r="J19" s="3" t="s">
        <v>383</v>
      </c>
      <c r="K19" s="13" t="n">
        <f aca="false">AVERAGEIFS($E$2:$E$100,$B$2:$B$100,I19,$C$2:$C$100,J19)</f>
        <v>0</v>
      </c>
      <c r="L19" s="13" t="n">
        <f aca="false">AVERAGEIFS($D$2:$D$100,$B$2:$B$100,I19,$C$2:$C$100,J19)</f>
        <v>-0.000154601540079143</v>
      </c>
      <c r="M19" s="13" t="n">
        <f aca="false">SUMIFS($D$2:$D$100,$B$2:$B$100,I19,$C$2:$C$100,J19,$A$2:$A$100,2024)</f>
        <v>-6.41340169258431E-005</v>
      </c>
      <c r="N19" s="3" t="s">
        <v>50</v>
      </c>
    </row>
    <row r="20" ht="15" customHeight="1">
      <c r="A20" s="3" t="n">
        <v>2022</v>
      </c>
      <c r="B20" s="3" t="s">
        <v>264</v>
      </c>
      <c r="C20" s="3" t="s">
        <v>383</v>
      </c>
      <c r="D20" s="13" t="n">
        <v>-0.000403583066589164</v>
      </c>
      <c r="E20" s="13" t="n">
        <v>0</v>
      </c>
      <c r="F20" s="14" t="n">
        <v>0.156842614507394</v>
      </c>
      <c r="G20" s="14" t="n">
        <v>0.952397509193543</v>
      </c>
      <c r="I20" s="3" t="s">
        <v>265</v>
      </c>
      <c r="J20" s="3" t="s">
        <v>375</v>
      </c>
      <c r="K20" s="13" t="n">
        <f aca="false">AVERAGEIFS($E$2:$E$100,$B$2:$B$100,I20,$C$2:$C$100,J20)</f>
        <v>0.0666569253744021</v>
      </c>
      <c r="L20" s="13" t="n">
        <f aca="false">AVERAGEIFS($D$2:$D$100,$B$2:$B$100,I20,$C$2:$C$100,J20)</f>
        <v>0.0663223547803755</v>
      </c>
      <c r="M20" s="13" t="n">
        <f aca="false">SUMIFS($D$2:$D$100,$B$2:$B$100,I20,$C$2:$C$100,J20,$A$2:$A$100,2024)</f>
        <v>0.064249845842682</v>
      </c>
      <c r="N20" s="3" t="n">
        <v>1</v>
      </c>
    </row>
    <row r="21" ht="15" customHeight="1">
      <c r="A21" s="3" t="n">
        <v>2022</v>
      </c>
      <c r="B21" s="3" t="s">
        <v>264</v>
      </c>
      <c r="C21" s="3" t="s">
        <v>382</v>
      </c>
      <c r="D21" s="13" t="n">
        <v>0.0482991591293897</v>
      </c>
      <c r="E21" s="13" t="n">
        <v>0.0474223017461823</v>
      </c>
      <c r="F21" s="14" t="n">
        <v>0.392150197502111</v>
      </c>
      <c r="G21" s="14" t="n">
        <v>1.049281313168</v>
      </c>
      <c r="I21" s="3" t="s">
        <v>265</v>
      </c>
      <c r="J21" s="3" t="s">
        <v>376</v>
      </c>
      <c r="K21" s="13" t="n">
        <f aca="false">AVERAGEIFS($E$2:$E$100,$B$2:$B$100,I21,$C$2:$C$100,J21)</f>
        <v>0.0631321596670893</v>
      </c>
      <c r="L21" s="13" t="n">
        <f aca="false">AVERAGEIFS($D$2:$D$100,$B$2:$B$100,I21,$C$2:$C$100,J21)</f>
        <v>0.0627866061869136</v>
      </c>
      <c r="M21" s="13" t="n">
        <f aca="false">SUMIFS($D$2:$D$100,$B$2:$B$100,I21,$C$2:$C$100,J21,$A$2:$A$100,2024)</f>
        <v>0.0620041896607727</v>
      </c>
      <c r="N21" s="3" t="n">
        <v>0.3</v>
      </c>
    </row>
    <row r="22" ht="15" customHeight="1">
      <c r="A22" s="3" t="n">
        <v>2022</v>
      </c>
      <c r="B22" s="3" t="s">
        <v>264</v>
      </c>
      <c r="C22" s="3" t="s">
        <v>384</v>
      </c>
      <c r="D22" s="13" t="n">
        <v>0.0564354720649727</v>
      </c>
      <c r="E22" s="13" t="n">
        <v>0.05893679629557</v>
      </c>
      <c r="F22" s="14" t="n">
        <v>0.403668607703351</v>
      </c>
      <c r="G22" s="14" t="n">
        <v>0.868284395404263</v>
      </c>
      <c r="I22" s="3" t="s">
        <v>265</v>
      </c>
      <c r="J22" s="3" t="s">
        <v>377</v>
      </c>
      <c r="K22" s="13" t="n">
        <f aca="false">AVERAGEIFS($E$2:$E$100,$B$2:$B$100,I22,$C$2:$C$100,J22)</f>
        <v>0.0624611739808579</v>
      </c>
      <c r="L22" s="13" t="n">
        <f aca="false">AVERAGEIFS($D$2:$D$100,$B$2:$B$100,I22,$C$2:$C$100,J22)</f>
        <v>0.06218018255812</v>
      </c>
      <c r="M22" s="13" t="n">
        <f aca="false">SUMIFS($D$2:$D$100,$B$2:$B$100,I22,$C$2:$C$100,J22,$A$2:$A$100,2024)</f>
        <v>0.0585823346032823</v>
      </c>
      <c r="N22" s="3" t="n">
        <v>0</v>
      </c>
    </row>
    <row r="23" ht="15" customHeight="1">
      <c r="A23" s="3" t="n">
        <v>2022</v>
      </c>
      <c r="B23" s="3" t="s">
        <v>264</v>
      </c>
      <c r="C23" s="3" t="s">
        <v>385</v>
      </c>
      <c r="D23" s="13" t="n">
        <v>0.0627136977901351</v>
      </c>
      <c r="E23" s="13" t="n">
        <v>0.0630754307723892</v>
      </c>
      <c r="F23" s="14" t="n">
        <v>0.416484266168828</v>
      </c>
      <c r="G23" s="14" t="n">
        <v>0.961616864128293</v>
      </c>
      <c r="I23" s="3" t="s">
        <v>265</v>
      </c>
      <c r="J23" s="3" t="s">
        <v>378</v>
      </c>
      <c r="K23" s="13" t="n">
        <f aca="false">AVERAGEIFS($E$2:$E$100,$B$2:$B$100,I23,$C$2:$C$100,J23)</f>
        <v>0.0651196136727928</v>
      </c>
      <c r="L23" s="13" t="n">
        <f aca="false">AVERAGEIFS($D$2:$D$100,$B$2:$B$100,I23,$C$2:$C$100,J23)</f>
        <v>0.0647832639267052</v>
      </c>
      <c r="M23" s="13" t="n">
        <f aca="false">SUMIFS($D$2:$D$100,$B$2:$B$100,I23,$C$2:$C$100,J23,$A$2:$A$100,2024)</f>
        <v>0.0619156675179503</v>
      </c>
      <c r="N23" s="3" t="n">
        <v>0.4</v>
      </c>
    </row>
    <row r="24" ht="15" customHeight="1">
      <c r="A24" s="3" t="n">
        <v>2022</v>
      </c>
      <c r="B24" s="3" t="s">
        <v>265</v>
      </c>
      <c r="C24" s="3" t="s">
        <v>375</v>
      </c>
      <c r="D24" s="13" t="n">
        <v>0.0637546055231907</v>
      </c>
      <c r="E24" s="13" t="n">
        <v>0.0637781481803144</v>
      </c>
      <c r="F24" s="14" t="n">
        <v>0.442906820486693</v>
      </c>
      <c r="G24" s="14" t="n">
        <v>1.00864910506661</v>
      </c>
      <c r="I24" s="3" t="s">
        <v>265</v>
      </c>
      <c r="J24" s="3" t="s">
        <v>379</v>
      </c>
      <c r="K24" s="13" t="n">
        <f aca="false">AVERAGEIFS($E$2:$E$100,$B$2:$B$100,I24,$C$2:$C$100,J24)</f>
        <v>0.0572756576504676</v>
      </c>
      <c r="L24" s="13" t="n">
        <f aca="false">AVERAGEIFS($D$2:$D$100,$B$2:$B$100,I24,$C$2:$C$100,J24)</f>
        <v>0.0568843830851751</v>
      </c>
      <c r="M24" s="13" t="n">
        <f aca="false">SUMIFS($D$2:$D$100,$B$2:$B$100,I24,$C$2:$C$100,J24,$A$2:$A$100,2024)</f>
        <v>0.0574472818197742</v>
      </c>
      <c r="N24" s="3" t="n">
        <v>0</v>
      </c>
    </row>
    <row r="25" ht="15" customHeight="1">
      <c r="A25" s="3" t="n">
        <v>2022</v>
      </c>
      <c r="B25" s="3" t="s">
        <v>265</v>
      </c>
      <c r="C25" s="3" t="s">
        <v>376</v>
      </c>
      <c r="D25" s="13" t="n">
        <v>0.0584806421619106</v>
      </c>
      <c r="E25" s="13" t="n">
        <v>0.0584167554934382</v>
      </c>
      <c r="F25" s="14" t="n">
        <v>0.433171702645724</v>
      </c>
      <c r="G25" s="14" t="n">
        <v>1.00845294791649</v>
      </c>
      <c r="I25" s="3" t="s">
        <v>265</v>
      </c>
      <c r="J25" s="3" t="s">
        <v>380</v>
      </c>
      <c r="K25" s="13" t="n">
        <f aca="false">AVERAGEIFS($E$2:$E$100,$B$2:$B$100,I25,$C$2:$C$100,J25)</f>
        <v>0.0632507654573196</v>
      </c>
      <c r="L25" s="13" t="n">
        <f aca="false">AVERAGEIFS($D$2:$D$100,$B$2:$B$100,I25,$C$2:$C$100,J25)</f>
        <v>0.0628361449235135</v>
      </c>
      <c r="M25" s="13" t="n">
        <f aca="false">SUMIFS($D$2:$D$100,$B$2:$B$100,I25,$C$2:$C$100,J25,$A$2:$A$100,2024)</f>
        <v>0.0617753327084664</v>
      </c>
      <c r="N25" s="3" t="n">
        <v>0.3</v>
      </c>
    </row>
    <row r="26" ht="15" customHeight="1">
      <c r="A26" s="3" t="n">
        <v>2022</v>
      </c>
      <c r="B26" s="3" t="s">
        <v>265</v>
      </c>
      <c r="C26" s="3" t="s">
        <v>377</v>
      </c>
      <c r="D26" s="13" t="n">
        <v>0.0608715929363386</v>
      </c>
      <c r="E26" s="13" t="n">
        <v>0.0608642395421799</v>
      </c>
      <c r="F26" s="14" t="n">
        <v>0.436089034675163</v>
      </c>
      <c r="G26" s="14" t="n">
        <v>1.00842654831657</v>
      </c>
      <c r="I26" s="3" t="s">
        <v>265</v>
      </c>
      <c r="J26" s="3" t="s">
        <v>382</v>
      </c>
      <c r="K26" s="13" t="n">
        <f aca="false">AVERAGEIFS($E$2:$E$100,$B$2:$B$100,I26,$C$2:$C$100,J26)</f>
        <v>0.0604688346938481</v>
      </c>
      <c r="L26" s="13" t="n">
        <f aca="false">AVERAGEIFS($D$2:$D$100,$B$2:$B$100,I26,$C$2:$C$100,J26)</f>
        <v>0.0597741785218105</v>
      </c>
      <c r="M26" s="13" t="n">
        <f aca="false">SUMIFS($D$2:$D$100,$B$2:$B$100,I26,$C$2:$C$100,J26,$A$2:$A$100,2024)</f>
        <v>0.0607727416817087</v>
      </c>
      <c r="N26" s="3" t="s">
        <v>50</v>
      </c>
    </row>
    <row r="27" ht="15" customHeight="1">
      <c r="A27" s="3" t="n">
        <v>2022</v>
      </c>
      <c r="B27" s="3" t="s">
        <v>265</v>
      </c>
      <c r="C27" s="3" t="s">
        <v>378</v>
      </c>
      <c r="D27" s="13" t="n">
        <v>0.0627371779893466</v>
      </c>
      <c r="E27" s="13" t="n">
        <v>0.0627488585853887</v>
      </c>
      <c r="F27" s="14" t="n">
        <v>0.440131203238034</v>
      </c>
      <c r="G27" s="14" t="n">
        <v>1.00894334079179</v>
      </c>
      <c r="I27" s="3" t="s">
        <v>265</v>
      </c>
      <c r="J27" s="3" t="s">
        <v>384</v>
      </c>
      <c r="K27" s="13" t="n">
        <f aca="false">AVERAGEIFS($E$2:$E$100,$B$2:$B$100,I27,$C$2:$C$100,J27)</f>
        <v>0.0589961628814198</v>
      </c>
      <c r="L27" s="13" t="n">
        <f aca="false">AVERAGEIFS($D$2:$D$100,$B$2:$B$100,I27,$C$2:$C$100,J27)</f>
        <v>0.0570201603244302</v>
      </c>
      <c r="M27" s="13" t="n">
        <f aca="false">SUMIFS($D$2:$D$100,$B$2:$B$100,I27,$C$2:$C$100,J27,$A$2:$A$100,2024)</f>
        <v>0.0588612957841816</v>
      </c>
      <c r="N27" s="3" t="s">
        <v>50</v>
      </c>
    </row>
    <row r="28" ht="15" customHeight="1">
      <c r="A28" s="3" t="n">
        <v>2022</v>
      </c>
      <c r="B28" s="3" t="s">
        <v>265</v>
      </c>
      <c r="C28" s="3" t="s">
        <v>379</v>
      </c>
      <c r="D28" s="13" t="n">
        <v>0.0519197412287623</v>
      </c>
      <c r="E28" s="13" t="n">
        <v>0.0520242428134616</v>
      </c>
      <c r="F28" s="14" t="n">
        <v>0.41831720182957</v>
      </c>
      <c r="G28" s="14" t="n">
        <v>1.00845294791649</v>
      </c>
      <c r="I28" s="3" t="s">
        <v>265</v>
      </c>
      <c r="J28" s="3" t="s">
        <v>383</v>
      </c>
      <c r="K28" s="13" t="n">
        <f aca="false">AVERAGEIFS($E$2:$E$100,$B$2:$B$100,I28,$C$2:$C$100,J28)</f>
        <v>3.7007434154172E-017</v>
      </c>
      <c r="L28" s="13" t="n">
        <f aca="false">AVERAGEIFS($D$2:$D$100,$B$2:$B$100,I28,$C$2:$C$100,J28)</f>
        <v>-0.000724990928653485</v>
      </c>
      <c r="M28" s="13" t="n">
        <f aca="false">SUMIFS($D$2:$D$100,$B$2:$B$100,I28,$C$2:$C$100,J28,$A$2:$A$100,2024)</f>
        <v>-5.64472856123821E-005</v>
      </c>
      <c r="N28" s="3" t="s">
        <v>50</v>
      </c>
    </row>
    <row r="29" ht="15" customHeight="1">
      <c r="A29" s="3" t="n">
        <v>2022</v>
      </c>
      <c r="B29" s="3" t="s">
        <v>265</v>
      </c>
      <c r="C29" s="3" t="s">
        <v>380</v>
      </c>
      <c r="D29" s="13" t="n">
        <v>0.0608742324935533</v>
      </c>
      <c r="E29" s="13" t="n">
        <v>0.0609189058748304</v>
      </c>
      <c r="F29" s="14" t="n">
        <v>0.436110105221957</v>
      </c>
      <c r="G29" s="14" t="n">
        <v>1.00845294791649</v>
      </c>
    </row>
    <row r="30" ht="15" customHeight="1">
      <c r="A30" s="3" t="n">
        <v>2022</v>
      </c>
      <c r="B30" s="3" t="s">
        <v>265</v>
      </c>
      <c r="C30" s="3" t="s">
        <v>381</v>
      </c>
      <c r="D30" s="13" t="n">
        <v>3.9756225234111E-007</v>
      </c>
      <c r="E30" s="13" t="n">
        <v>0</v>
      </c>
      <c r="F30" s="14" t="n">
        <v>0.185123652926806</v>
      </c>
      <c r="G30" s="14" t="n">
        <v>0.999706350864595</v>
      </c>
      <c r="I30" s="19" t="s">
        <v>386</v>
      </c>
    </row>
    <row r="31" ht="15" customHeight="1">
      <c r="A31" s="3" t="n">
        <v>2022</v>
      </c>
      <c r="B31" s="3" t="s">
        <v>265</v>
      </c>
      <c r="C31" s="3" t="s">
        <v>383</v>
      </c>
      <c r="D31" s="13" t="n">
        <v>3.97562245235683E-007</v>
      </c>
      <c r="E31" s="13" t="n">
        <v>1.11022302462516E-016</v>
      </c>
      <c r="F31" s="14" t="n">
        <v>0.185123652926806</v>
      </c>
      <c r="G31" s="14" t="n">
        <v>0.999706350870145</v>
      </c>
    </row>
    <row r="32" ht="15" customHeight="1">
      <c r="A32" s="3" t="n">
        <v>2022</v>
      </c>
      <c r="B32" s="3" t="s">
        <v>265</v>
      </c>
      <c r="C32" s="3" t="s">
        <v>382</v>
      </c>
      <c r="D32" s="13" t="n">
        <v>0.0554658044957179</v>
      </c>
      <c r="E32" s="13" t="n">
        <v>0.055390104546533</v>
      </c>
      <c r="F32" s="14" t="n">
        <v>0.424849163747602</v>
      </c>
      <c r="G32" s="14" t="n">
        <v>1.00902797660385</v>
      </c>
    </row>
    <row r="33" ht="15" customHeight="1">
      <c r="A33" s="3" t="n">
        <v>2022</v>
      </c>
      <c r="B33" s="3" t="s">
        <v>265</v>
      </c>
      <c r="C33" s="3" t="s">
        <v>384</v>
      </c>
      <c r="D33" s="13" t="n">
        <v>0.0511274029327242</v>
      </c>
      <c r="E33" s="13" t="n">
        <v>0.0532844821120608</v>
      </c>
      <c r="F33" s="14" t="n">
        <v>0.419012047022784</v>
      </c>
      <c r="G33" s="14" t="n">
        <v>0.909588283048967</v>
      </c>
    </row>
    <row r="34" ht="15" customHeight="1">
      <c r="A34" s="3" t="n">
        <v>2022</v>
      </c>
      <c r="B34" s="3" t="s">
        <v>265</v>
      </c>
      <c r="C34" s="3" t="s">
        <v>385</v>
      </c>
      <c r="D34" s="13" t="n">
        <v>0.0584806421619106</v>
      </c>
      <c r="E34" s="13" t="n">
        <v>0.0584167554934382</v>
      </c>
      <c r="F34" s="14" t="n">
        <v>0.433171702645724</v>
      </c>
      <c r="G34" s="14" t="n">
        <v>1.00845294791649</v>
      </c>
    </row>
    <row r="35" ht="15" customHeight="1">
      <c r="A35" s="3" t="n">
        <v>2023</v>
      </c>
      <c r="B35" s="3" t="s">
        <v>262</v>
      </c>
      <c r="C35" s="3" t="s">
        <v>375</v>
      </c>
      <c r="D35" s="13" t="n">
        <v>0.0427527071929237</v>
      </c>
      <c r="E35" s="13" t="n">
        <v>0.0430550897731103</v>
      </c>
      <c r="F35" s="14" t="n">
        <v>0.383058963767533</v>
      </c>
      <c r="G35" s="14" t="n">
        <v>0.947913356048127</v>
      </c>
    </row>
    <row r="36" ht="15" customHeight="1">
      <c r="A36" s="3" t="n">
        <v>2023</v>
      </c>
      <c r="B36" s="3" t="s">
        <v>262</v>
      </c>
      <c r="C36" s="3" t="s">
        <v>376</v>
      </c>
      <c r="D36" s="13" t="n">
        <v>0.0431448751192479</v>
      </c>
      <c r="E36" s="13" t="n">
        <v>0.0434825536769814</v>
      </c>
      <c r="F36" s="14" t="n">
        <v>0.391401406519376</v>
      </c>
      <c r="G36" s="14" t="n">
        <v>0.947395471793627</v>
      </c>
    </row>
    <row r="37" ht="15" customHeight="1">
      <c r="A37" s="3" t="n">
        <v>2023</v>
      </c>
      <c r="B37" s="3" t="s">
        <v>262</v>
      </c>
      <c r="C37" s="3" t="s">
        <v>377</v>
      </c>
      <c r="D37" s="13" t="n">
        <v>0.0228905088890933</v>
      </c>
      <c r="E37" s="13" t="n">
        <v>0.0232194146589595</v>
      </c>
      <c r="F37" s="14" t="n">
        <v>0.306193064041226</v>
      </c>
      <c r="G37" s="14" t="n">
        <v>0.948251570157944</v>
      </c>
    </row>
    <row r="38" ht="15" customHeight="1">
      <c r="A38" s="3" t="n">
        <v>2023</v>
      </c>
      <c r="B38" s="3" t="s">
        <v>262</v>
      </c>
      <c r="C38" s="3" t="s">
        <v>378</v>
      </c>
      <c r="D38" s="13" t="n">
        <v>0.0356860926602127</v>
      </c>
      <c r="E38" s="13" t="n">
        <v>0.0361217893859683</v>
      </c>
      <c r="F38" s="14" t="n">
        <v>0.35863336495052</v>
      </c>
      <c r="G38" s="14" t="n">
        <v>0.948690182429876</v>
      </c>
    </row>
    <row r="39" ht="15" customHeight="1">
      <c r="A39" s="3" t="n">
        <v>2023</v>
      </c>
      <c r="B39" s="3" t="s">
        <v>262</v>
      </c>
      <c r="C39" s="3" t="s">
        <v>379</v>
      </c>
      <c r="D39" s="13" t="n">
        <v>0.0218792572280733</v>
      </c>
      <c r="E39" s="13" t="n">
        <v>0.0222984618705057</v>
      </c>
      <c r="F39" s="14" t="n">
        <v>0.311697038908693</v>
      </c>
      <c r="G39" s="14" t="n">
        <v>0.947395471793627</v>
      </c>
    </row>
    <row r="40" ht="15" customHeight="1">
      <c r="A40" s="3" t="n">
        <v>2023</v>
      </c>
      <c r="B40" s="3" t="s">
        <v>262</v>
      </c>
      <c r="C40" s="3" t="s">
        <v>380</v>
      </c>
      <c r="D40" s="13" t="n">
        <v>0.0402872698967619</v>
      </c>
      <c r="E40" s="13" t="n">
        <v>0.0406794045650676</v>
      </c>
      <c r="F40" s="14" t="n">
        <v>0.37774122159016</v>
      </c>
      <c r="G40" s="14" t="n">
        <v>0.947395471793627</v>
      </c>
    </row>
    <row r="41" ht="15" customHeight="1">
      <c r="A41" s="3" t="n">
        <v>2023</v>
      </c>
      <c r="B41" s="3" t="s">
        <v>262</v>
      </c>
      <c r="C41" s="3" t="s">
        <v>381</v>
      </c>
      <c r="D41" s="13" t="n">
        <v>-0.000205113834629511</v>
      </c>
      <c r="E41" s="13" t="n">
        <v>2.22044604925031E-016</v>
      </c>
      <c r="F41" s="14" t="n">
        <v>0.222768710714557</v>
      </c>
      <c r="G41" s="14" t="n">
        <v>0.946549736916077</v>
      </c>
    </row>
    <row r="42" ht="15" customHeight="1">
      <c r="A42" s="3" t="n">
        <v>2023</v>
      </c>
      <c r="B42" s="3" t="s">
        <v>262</v>
      </c>
      <c r="C42" s="3" t="s">
        <v>383</v>
      </c>
      <c r="D42" s="13" t="n">
        <v>-3.17998118881668E-006</v>
      </c>
      <c r="E42" s="13" t="n">
        <v>1.11022302462516E-016</v>
      </c>
      <c r="F42" s="14" t="n">
        <v>0.222768710714557</v>
      </c>
      <c r="G42" s="14" t="n">
        <v>0.986893326440588</v>
      </c>
    </row>
    <row r="43" ht="15" customHeight="1">
      <c r="A43" s="3" t="n">
        <v>2023</v>
      </c>
      <c r="B43" s="3" t="s">
        <v>262</v>
      </c>
      <c r="C43" s="3" t="s">
        <v>382</v>
      </c>
      <c r="D43" s="13" t="n">
        <v>0.0557325652096561</v>
      </c>
      <c r="E43" s="13" t="n">
        <v>0.0560364550501328</v>
      </c>
      <c r="F43" s="14" t="n">
        <v>0.426160031428569</v>
      </c>
      <c r="G43" s="14" t="n">
        <v>0.936489834898586</v>
      </c>
    </row>
    <row r="44" ht="15" customHeight="1">
      <c r="A44" s="3" t="n">
        <v>2023</v>
      </c>
      <c r="B44" s="3" t="s">
        <v>262</v>
      </c>
      <c r="C44" s="3" t="s">
        <v>384</v>
      </c>
      <c r="D44" s="13" t="n">
        <v>0.0417455857510496</v>
      </c>
      <c r="E44" s="13" t="n">
        <v>0.0457222147734238</v>
      </c>
      <c r="F44" s="14" t="n">
        <v>0.396938426353169</v>
      </c>
      <c r="G44" s="14" t="n">
        <v>0.835135659853517</v>
      </c>
    </row>
    <row r="45" ht="15" customHeight="1">
      <c r="A45" s="3" t="n">
        <v>2023</v>
      </c>
      <c r="B45" s="3" t="s">
        <v>262</v>
      </c>
      <c r="C45" s="3" t="s">
        <v>385</v>
      </c>
      <c r="D45" s="13" t="n">
        <v>0.043583642446451</v>
      </c>
      <c r="E45" s="13" t="n">
        <v>0.0439487739476533</v>
      </c>
      <c r="F45" s="14" t="n">
        <v>0.3934025021903</v>
      </c>
      <c r="G45" s="14" t="n">
        <v>0.945233362127307</v>
      </c>
    </row>
    <row r="46" ht="15" customHeight="1">
      <c r="A46" s="3" t="n">
        <v>2023</v>
      </c>
      <c r="B46" s="3" t="s">
        <v>264</v>
      </c>
      <c r="C46" s="3" t="s">
        <v>375</v>
      </c>
      <c r="D46" s="13" t="n">
        <v>0.07138760244193</v>
      </c>
      <c r="E46" s="13" t="n">
        <v>0.0713726324808911</v>
      </c>
      <c r="F46" s="14" t="n">
        <v>0.459383640776056</v>
      </c>
      <c r="G46" s="14" t="n">
        <v>0.995077279237236</v>
      </c>
    </row>
    <row r="47" ht="15" customHeight="1">
      <c r="A47" s="3" t="n">
        <v>2023</v>
      </c>
      <c r="B47" s="3" t="s">
        <v>264</v>
      </c>
      <c r="C47" s="3" t="s">
        <v>376</v>
      </c>
      <c r="D47" s="13" t="n">
        <v>0.0684699996459519</v>
      </c>
      <c r="E47" s="13" t="n">
        <v>0.0684833274573865</v>
      </c>
      <c r="F47" s="14" t="n">
        <v>0.452098152937237</v>
      </c>
      <c r="G47" s="14" t="n">
        <v>0.999244302386606</v>
      </c>
    </row>
    <row r="48" ht="15" customHeight="1">
      <c r="A48" s="3" t="n">
        <v>2023</v>
      </c>
      <c r="B48" s="3" t="s">
        <v>264</v>
      </c>
      <c r="C48" s="3" t="s">
        <v>377</v>
      </c>
      <c r="D48" s="13" t="n">
        <v>0.0660438186076046</v>
      </c>
      <c r="E48" s="13" t="n">
        <v>0.0660186577105402</v>
      </c>
      <c r="F48" s="14" t="n">
        <v>0.4447944540881</v>
      </c>
      <c r="G48" s="14" t="n">
        <v>0.992532066428897</v>
      </c>
    </row>
    <row r="49" ht="15" customHeight="1">
      <c r="A49" s="3" t="n">
        <v>2023</v>
      </c>
      <c r="B49" s="3" t="s">
        <v>264</v>
      </c>
      <c r="C49" s="3" t="s">
        <v>378</v>
      </c>
      <c r="D49" s="13" t="n">
        <v>0.0708237341986914</v>
      </c>
      <c r="E49" s="13" t="n">
        <v>0.0707979539831793</v>
      </c>
      <c r="F49" s="14" t="n">
        <v>0.456545132348795</v>
      </c>
      <c r="G49" s="14" t="n">
        <v>0.993291412173221</v>
      </c>
    </row>
    <row r="50" ht="15" customHeight="1">
      <c r="A50" s="3" t="n">
        <v>2023</v>
      </c>
      <c r="B50" s="3" t="s">
        <v>264</v>
      </c>
      <c r="C50" s="3" t="s">
        <v>379</v>
      </c>
      <c r="D50" s="13" t="n">
        <v>0.0613479685135867</v>
      </c>
      <c r="E50" s="13" t="n">
        <v>0.0613830938615149</v>
      </c>
      <c r="F50" s="14" t="n">
        <v>0.438803125036744</v>
      </c>
      <c r="G50" s="14" t="n">
        <v>0.999244302386606</v>
      </c>
    </row>
    <row r="51" ht="15" customHeight="1">
      <c r="A51" s="3" t="n">
        <v>2023</v>
      </c>
      <c r="B51" s="3" t="s">
        <v>264</v>
      </c>
      <c r="C51" s="3" t="s">
        <v>380</v>
      </c>
      <c r="D51" s="13" t="n">
        <v>0.0662900973349223</v>
      </c>
      <c r="E51" s="13" t="n">
        <v>0.0663313671819977</v>
      </c>
      <c r="F51" s="14" t="n">
        <v>0.45486664791696</v>
      </c>
      <c r="G51" s="14" t="n">
        <v>0.999244302386606</v>
      </c>
    </row>
    <row r="52" ht="15" customHeight="1">
      <c r="A52" s="3" t="n">
        <v>2023</v>
      </c>
      <c r="B52" s="3" t="s">
        <v>264</v>
      </c>
      <c r="C52" s="3" t="s">
        <v>381</v>
      </c>
      <c r="D52" s="13" t="n">
        <v>-0.000904158657442311</v>
      </c>
      <c r="E52" s="13" t="n">
        <v>0</v>
      </c>
      <c r="F52" s="14" t="n">
        <v>0.19053962579163</v>
      </c>
      <c r="G52" s="14" t="n">
        <v>0.908069296565442</v>
      </c>
    </row>
    <row r="53" ht="15" customHeight="1">
      <c r="A53" s="3" t="n">
        <v>2023</v>
      </c>
      <c r="B53" s="3" t="s">
        <v>264</v>
      </c>
      <c r="C53" s="3" t="s">
        <v>383</v>
      </c>
      <c r="D53" s="13" t="n">
        <v>3.91246327757777E-006</v>
      </c>
      <c r="E53" s="13" t="n">
        <v>0</v>
      </c>
      <c r="F53" s="14" t="n">
        <v>0.19053962579163</v>
      </c>
      <c r="G53" s="14" t="n">
        <v>0.971153787119483</v>
      </c>
    </row>
    <row r="54" ht="15" customHeight="1">
      <c r="A54" s="3" t="n">
        <v>2023</v>
      </c>
      <c r="B54" s="3" t="s">
        <v>264</v>
      </c>
      <c r="C54" s="3" t="s">
        <v>382</v>
      </c>
      <c r="D54" s="13" t="n">
        <v>0.0622419700980744</v>
      </c>
      <c r="E54" s="13" t="n">
        <v>0.062402337860569</v>
      </c>
      <c r="F54" s="14" t="n">
        <v>0.439135319057048</v>
      </c>
      <c r="G54" s="14" t="n">
        <v>0.978372170359096</v>
      </c>
    </row>
    <row r="55" ht="15" customHeight="1">
      <c r="A55" s="3" t="n">
        <v>2023</v>
      </c>
      <c r="B55" s="3" t="s">
        <v>264</v>
      </c>
      <c r="C55" s="3" t="s">
        <v>384</v>
      </c>
      <c r="D55" s="13" t="n">
        <v>0.0698516822072641</v>
      </c>
      <c r="E55" s="13" t="n">
        <v>0.0702378696741692</v>
      </c>
      <c r="F55" s="14" t="n">
        <v>0.45801961522605</v>
      </c>
      <c r="G55" s="14" t="n">
        <v>0.899328282855544</v>
      </c>
    </row>
    <row r="56" ht="15" customHeight="1">
      <c r="A56" s="3" t="n">
        <v>2023</v>
      </c>
      <c r="B56" s="3" t="s">
        <v>264</v>
      </c>
      <c r="C56" s="3" t="s">
        <v>385</v>
      </c>
      <c r="D56" s="13" t="n">
        <v>0.068488044747527</v>
      </c>
      <c r="E56" s="13" t="n">
        <v>0.068589057416912</v>
      </c>
      <c r="F56" s="14" t="n">
        <v>0.452660124645713</v>
      </c>
      <c r="G56" s="14" t="n">
        <v>0.94381316570778</v>
      </c>
    </row>
    <row r="57" ht="15" customHeight="1">
      <c r="A57" s="3" t="n">
        <v>2023</v>
      </c>
      <c r="B57" s="3" t="s">
        <v>265</v>
      </c>
      <c r="C57" s="3" t="s">
        <v>375</v>
      </c>
      <c r="D57" s="13" t="n">
        <v>0.0709626129752539</v>
      </c>
      <c r="E57" s="13" t="n">
        <v>0.071944632778581</v>
      </c>
      <c r="F57" s="14" t="n">
        <v>0.449006056704661</v>
      </c>
      <c r="G57" s="14" t="n">
        <v>0.922569687675619</v>
      </c>
    </row>
    <row r="58" ht="15" customHeight="1">
      <c r="A58" s="3" t="n">
        <v>2023</v>
      </c>
      <c r="B58" s="3" t="s">
        <v>265</v>
      </c>
      <c r="C58" s="3" t="s">
        <v>376</v>
      </c>
      <c r="D58" s="13" t="n">
        <v>0.0678749867380576</v>
      </c>
      <c r="E58" s="13" t="n">
        <v>0.0691278413306935</v>
      </c>
      <c r="F58" s="14" t="n">
        <v>0.444237311259549</v>
      </c>
      <c r="G58" s="14" t="n">
        <v>0.922898832557994</v>
      </c>
    </row>
    <row r="59" ht="15" customHeight="1">
      <c r="A59" s="3" t="n">
        <v>2023</v>
      </c>
      <c r="B59" s="3" t="s">
        <v>265</v>
      </c>
      <c r="C59" s="3" t="s">
        <v>377</v>
      </c>
      <c r="D59" s="13" t="n">
        <v>0.067086620134739</v>
      </c>
      <c r="E59" s="13" t="n">
        <v>0.0680395279305606</v>
      </c>
      <c r="F59" s="14" t="n">
        <v>0.437593893775386</v>
      </c>
      <c r="G59" s="14" t="n">
        <v>0.922590332822844</v>
      </c>
    </row>
    <row r="60" ht="15" customHeight="1">
      <c r="A60" s="3" t="n">
        <v>2023</v>
      </c>
      <c r="B60" s="3" t="s">
        <v>265</v>
      </c>
      <c r="C60" s="3" t="s">
        <v>378</v>
      </c>
      <c r="D60" s="13" t="n">
        <v>0.0696969462728188</v>
      </c>
      <c r="E60" s="13" t="n">
        <v>0.0708069816155482</v>
      </c>
      <c r="F60" s="14" t="n">
        <v>0.447043230566111</v>
      </c>
      <c r="G60" s="14" t="n">
        <v>0.922075970352056</v>
      </c>
    </row>
    <row r="61" ht="15" customHeight="1">
      <c r="A61" s="3" t="n">
        <v>2023</v>
      </c>
      <c r="B61" s="3" t="s">
        <v>265</v>
      </c>
      <c r="C61" s="3" t="s">
        <v>379</v>
      </c>
      <c r="D61" s="13" t="n">
        <v>0.0612861262069888</v>
      </c>
      <c r="E61" s="13" t="n">
        <v>0.0622694851779153</v>
      </c>
      <c r="F61" s="14" t="n">
        <v>0.428479641969395</v>
      </c>
      <c r="G61" s="14" t="n">
        <v>0.922898832557994</v>
      </c>
    </row>
    <row r="62" ht="15" customHeight="1">
      <c r="A62" s="3" t="n">
        <v>2023</v>
      </c>
      <c r="B62" s="3" t="s">
        <v>265</v>
      </c>
      <c r="C62" s="3" t="s">
        <v>380</v>
      </c>
      <c r="D62" s="13" t="n">
        <v>0.0658588695685209</v>
      </c>
      <c r="E62" s="13" t="n">
        <v>0.0670855900661324</v>
      </c>
      <c r="F62" s="14" t="n">
        <v>0.43899124876186</v>
      </c>
      <c r="G62" s="14" t="n">
        <v>0.922898832557994</v>
      </c>
    </row>
    <row r="63" ht="15" customHeight="1">
      <c r="A63" s="3" t="n">
        <v>2023</v>
      </c>
      <c r="B63" s="3" t="s">
        <v>265</v>
      </c>
      <c r="C63" s="3" t="s">
        <v>381</v>
      </c>
      <c r="D63" s="13" t="n">
        <v>-0.00222447731043185</v>
      </c>
      <c r="E63" s="13" t="n">
        <v>0</v>
      </c>
      <c r="F63" s="14" t="n">
        <v>0.169206990194138</v>
      </c>
      <c r="G63" s="14" t="n">
        <v>0.900166489764814</v>
      </c>
    </row>
    <row r="64" ht="15" customHeight="1">
      <c r="A64" s="3" t="n">
        <v>2023</v>
      </c>
      <c r="B64" s="3" t="s">
        <v>265</v>
      </c>
      <c r="C64" s="3" t="s">
        <v>383</v>
      </c>
      <c r="D64" s="13" t="n">
        <v>-0.00211892306259331</v>
      </c>
      <c r="E64" s="13" t="n">
        <v>0</v>
      </c>
      <c r="F64" s="14" t="n">
        <v>0.169206990194138</v>
      </c>
      <c r="G64" s="14" t="n">
        <v>0.902790757948543</v>
      </c>
    </row>
    <row r="65" ht="15" customHeight="1">
      <c r="A65" s="3" t="n">
        <v>2023</v>
      </c>
      <c r="B65" s="3" t="s">
        <v>265</v>
      </c>
      <c r="C65" s="3" t="s">
        <v>382</v>
      </c>
      <c r="D65" s="13" t="n">
        <v>0.063083989388005</v>
      </c>
      <c r="E65" s="13" t="n">
        <v>0.0646604545736963</v>
      </c>
      <c r="F65" s="14" t="n">
        <v>0.436268527884815</v>
      </c>
      <c r="G65" s="14" t="n">
        <v>0.917018424982244</v>
      </c>
    </row>
    <row r="66" ht="15" customHeight="1">
      <c r="A66" s="3" t="n">
        <v>2023</v>
      </c>
      <c r="B66" s="3" t="s">
        <v>265</v>
      </c>
      <c r="C66" s="3" t="s">
        <v>384</v>
      </c>
      <c r="D66" s="13" t="n">
        <v>0.0610717822563848</v>
      </c>
      <c r="E66" s="13" t="n">
        <v>0.0643319040455305</v>
      </c>
      <c r="F66" s="14" t="n">
        <v>0.437782169756842</v>
      </c>
      <c r="G66" s="14" t="n">
        <v>0.875936306292239</v>
      </c>
    </row>
    <row r="67" ht="15" customHeight="1">
      <c r="A67" s="3" t="n">
        <v>2023</v>
      </c>
      <c r="B67" s="3" t="s">
        <v>265</v>
      </c>
      <c r="C67" s="3" t="s">
        <v>385</v>
      </c>
      <c r="D67" s="13" t="n">
        <v>0.0678274224719393</v>
      </c>
      <c r="E67" s="13" t="n">
        <v>0.069258327211329</v>
      </c>
      <c r="F67" s="14" t="n">
        <v>0.444762845440081</v>
      </c>
      <c r="G67" s="14" t="n">
        <v>0.919255837227885</v>
      </c>
    </row>
    <row r="68" ht="15" customHeight="1">
      <c r="A68" s="3" t="n">
        <v>2024</v>
      </c>
      <c r="B68" s="3" t="s">
        <v>262</v>
      </c>
      <c r="C68" s="3" t="s">
        <v>375</v>
      </c>
      <c r="D68" s="13" t="n">
        <v>0.0465278239144025</v>
      </c>
      <c r="E68" s="13" t="n">
        <v>0.05790729727753</v>
      </c>
      <c r="F68" s="14" t="n">
        <v>0.399945750717454</v>
      </c>
      <c r="G68" s="14" t="n">
        <v>1.1013156928844</v>
      </c>
    </row>
    <row r="69" ht="15" customHeight="1">
      <c r="A69" s="3" t="n">
        <v>2024</v>
      </c>
      <c r="B69" s="3" t="s">
        <v>262</v>
      </c>
      <c r="C69" s="3" t="s">
        <v>376</v>
      </c>
      <c r="D69" s="13" t="n">
        <v>0.0422385048666211</v>
      </c>
      <c r="E69" s="13" t="n">
        <v>0.0521885377158224</v>
      </c>
      <c r="F69" s="14" t="n">
        <v>0.389056891295583</v>
      </c>
      <c r="G69" s="14" t="n">
        <v>1.10053894366448</v>
      </c>
    </row>
    <row r="70" ht="15" customHeight="1">
      <c r="A70" s="3" t="n">
        <v>2024</v>
      </c>
      <c r="B70" s="3" t="s">
        <v>262</v>
      </c>
      <c r="C70" s="3" t="s">
        <v>377</v>
      </c>
      <c r="D70" s="13" t="n">
        <v>0.0418557680299354</v>
      </c>
      <c r="E70" s="13" t="n">
        <v>0.053762384418149</v>
      </c>
      <c r="F70" s="14" t="n">
        <v>0.393563672031303</v>
      </c>
      <c r="G70" s="14" t="n">
        <v>1.10148705843498</v>
      </c>
    </row>
    <row r="71" ht="15" customHeight="1">
      <c r="A71" s="3" t="n">
        <v>2024</v>
      </c>
      <c r="B71" s="3" t="s">
        <v>262</v>
      </c>
      <c r="C71" s="3" t="s">
        <v>378</v>
      </c>
      <c r="D71" s="13" t="n">
        <v>0.0469403933489203</v>
      </c>
      <c r="E71" s="13" t="n">
        <v>0.0582945245966863</v>
      </c>
      <c r="F71" s="14" t="n">
        <v>0.402039104247424</v>
      </c>
      <c r="G71" s="14" t="n">
        <v>1.10248081671427</v>
      </c>
    </row>
    <row r="72" ht="15" customHeight="1">
      <c r="A72" s="3" t="n">
        <v>2024</v>
      </c>
      <c r="B72" s="3" t="s">
        <v>262</v>
      </c>
      <c r="C72" s="3" t="s">
        <v>379</v>
      </c>
      <c r="D72" s="13" t="n">
        <v>0.0383062234885574</v>
      </c>
      <c r="E72" s="13" t="n">
        <v>0.0496315826635041</v>
      </c>
      <c r="F72" s="14" t="n">
        <v>0.381289507546193</v>
      </c>
      <c r="G72" s="14" t="n">
        <v>1.10053894366448</v>
      </c>
    </row>
    <row r="73" ht="15" customHeight="1">
      <c r="A73" s="3" t="n">
        <v>2024</v>
      </c>
      <c r="B73" s="3" t="s">
        <v>262</v>
      </c>
      <c r="C73" s="3" t="s">
        <v>380</v>
      </c>
      <c r="D73" s="13" t="n">
        <v>0.0452121304458145</v>
      </c>
      <c r="E73" s="13" t="n">
        <v>0.0562784175582587</v>
      </c>
      <c r="F73" s="14" t="n">
        <v>0.393246990263119</v>
      </c>
      <c r="G73" s="14" t="n">
        <v>1.10053894366448</v>
      </c>
    </row>
    <row r="74" ht="15" customHeight="1">
      <c r="A74" s="3" t="n">
        <v>2024</v>
      </c>
      <c r="B74" s="3" t="s">
        <v>262</v>
      </c>
      <c r="C74" s="3" t="s">
        <v>381</v>
      </c>
      <c r="D74" s="13" t="n">
        <v>-0.00748368070536509</v>
      </c>
      <c r="E74" s="13" t="n">
        <v>1.11022302462516E-016</v>
      </c>
      <c r="F74" s="14" t="n">
        <v>0.151495403833542</v>
      </c>
      <c r="G74" s="14" t="n">
        <v>1.05979220633955</v>
      </c>
    </row>
    <row r="75" ht="15" customHeight="1">
      <c r="A75" s="3" t="n">
        <v>2024</v>
      </c>
      <c r="B75" s="3" t="s">
        <v>262</v>
      </c>
      <c r="C75" s="3" t="s">
        <v>383</v>
      </c>
      <c r="D75" s="13" t="n">
        <v>-0.0131160115711577</v>
      </c>
      <c r="E75" s="13" t="n">
        <v>0</v>
      </c>
      <c r="F75" s="14" t="n">
        <v>0.151495403833542</v>
      </c>
      <c r="G75" s="14" t="n">
        <v>1.13448514002047</v>
      </c>
    </row>
    <row r="76" ht="15" customHeight="1">
      <c r="A76" s="3" t="n">
        <v>2024</v>
      </c>
      <c r="B76" s="3" t="s">
        <v>262</v>
      </c>
      <c r="C76" s="3" t="s">
        <v>382</v>
      </c>
      <c r="D76" s="13" t="n">
        <v>0.0446313511899739</v>
      </c>
      <c r="E76" s="13" t="n">
        <v>0.0498861685703113</v>
      </c>
      <c r="F76" s="14" t="n">
        <v>0.381724398859509</v>
      </c>
      <c r="G76" s="14" t="n">
        <v>1.02930760048591</v>
      </c>
    </row>
    <row r="77" ht="15" customHeight="1">
      <c r="A77" s="3" t="n">
        <v>2024</v>
      </c>
      <c r="B77" s="3" t="s">
        <v>262</v>
      </c>
      <c r="C77" s="3" t="s">
        <v>384</v>
      </c>
      <c r="D77" s="13" t="n">
        <v>0.0494757297707136</v>
      </c>
      <c r="E77" s="13" t="n">
        <v>0.0524612209762511</v>
      </c>
      <c r="F77" s="14" t="n">
        <v>0.383168320090899</v>
      </c>
      <c r="G77" s="14" t="n">
        <v>0.972439164454749</v>
      </c>
    </row>
    <row r="78" ht="15" customHeight="1">
      <c r="A78" s="3" t="n">
        <v>2024</v>
      </c>
      <c r="B78" s="3" t="s">
        <v>262</v>
      </c>
      <c r="C78" s="3" t="s">
        <v>385</v>
      </c>
      <c r="D78" s="13" t="n">
        <v>0.0448043290474074</v>
      </c>
      <c r="E78" s="13" t="n">
        <v>0.0517828077109915</v>
      </c>
      <c r="F78" s="14" t="n">
        <v>0.388481681598175</v>
      </c>
      <c r="G78" s="14" t="n">
        <v>1.05972285467075</v>
      </c>
    </row>
    <row r="79" ht="15" customHeight="1">
      <c r="A79" s="3" t="n">
        <v>2024</v>
      </c>
      <c r="B79" s="3" t="s">
        <v>264</v>
      </c>
      <c r="C79" s="3" t="s">
        <v>375</v>
      </c>
      <c r="D79" s="13" t="n">
        <v>0.074796502413448</v>
      </c>
      <c r="E79" s="13" t="n">
        <v>0.0751815974890638</v>
      </c>
      <c r="F79" s="14" t="n">
        <v>0.467207287023976</v>
      </c>
      <c r="G79" s="14" t="n">
        <v>0.936832184270328</v>
      </c>
    </row>
    <row r="80" ht="15" customHeight="1">
      <c r="A80" s="3" t="n">
        <v>2024</v>
      </c>
      <c r="B80" s="3" t="s">
        <v>264</v>
      </c>
      <c r="C80" s="3" t="s">
        <v>376</v>
      </c>
      <c r="D80" s="13" t="n">
        <v>0.0697325778275704</v>
      </c>
      <c r="E80" s="13" t="n">
        <v>0.0700321188413101</v>
      </c>
      <c r="F80" s="14" t="n">
        <v>0.455039476383171</v>
      </c>
      <c r="G80" s="14" t="n">
        <v>0.938020494042472</v>
      </c>
    </row>
    <row r="81" ht="15" customHeight="1">
      <c r="A81" s="3" t="n">
        <v>2024</v>
      </c>
      <c r="B81" s="3" t="s">
        <v>264</v>
      </c>
      <c r="C81" s="3" t="s">
        <v>377</v>
      </c>
      <c r="D81" s="13" t="n">
        <v>0.0709564243458833</v>
      </c>
      <c r="E81" s="13" t="n">
        <v>0.0712298983946516</v>
      </c>
      <c r="F81" s="14" t="n">
        <v>0.45979946995807</v>
      </c>
      <c r="G81" s="14" t="n">
        <v>0.934900495471448</v>
      </c>
    </row>
    <row r="82" ht="15" customHeight="1">
      <c r="A82" s="3" t="n">
        <v>2024</v>
      </c>
      <c r="B82" s="3" t="s">
        <v>264</v>
      </c>
      <c r="C82" s="3" t="s">
        <v>378</v>
      </c>
      <c r="D82" s="13" t="n">
        <v>0.0748129267515318</v>
      </c>
      <c r="E82" s="13" t="n">
        <v>0.075171403296287</v>
      </c>
      <c r="F82" s="14" t="n">
        <v>0.466885908049536</v>
      </c>
      <c r="G82" s="14" t="n">
        <v>0.936322908653695</v>
      </c>
    </row>
    <row r="83" ht="15" customHeight="1">
      <c r="A83" s="3" t="n">
        <v>2024</v>
      </c>
      <c r="B83" s="3" t="s">
        <v>264</v>
      </c>
      <c r="C83" s="3" t="s">
        <v>379</v>
      </c>
      <c r="D83" s="13" t="n">
        <v>0.0666333217280464</v>
      </c>
      <c r="E83" s="13" t="n">
        <v>0.0671229790265047</v>
      </c>
      <c r="F83" s="14" t="n">
        <v>0.451269992962641</v>
      </c>
      <c r="G83" s="14" t="n">
        <v>0.938020494042472</v>
      </c>
    </row>
    <row r="84" ht="15" customHeight="1">
      <c r="A84" s="3" t="n">
        <v>2024</v>
      </c>
      <c r="B84" s="3" t="s">
        <v>264</v>
      </c>
      <c r="C84" s="3" t="s">
        <v>380</v>
      </c>
      <c r="D84" s="13" t="n">
        <v>0.0726475973818825</v>
      </c>
      <c r="E84" s="13" t="n">
        <v>0.0730302689597749</v>
      </c>
      <c r="F84" s="14" t="n">
        <v>0.459932405895396</v>
      </c>
      <c r="G84" s="14" t="n">
        <v>0.938020494042472</v>
      </c>
    </row>
    <row r="85" ht="15" customHeight="1">
      <c r="A85" s="3" t="n">
        <v>2024</v>
      </c>
      <c r="B85" s="3" t="s">
        <v>264</v>
      </c>
      <c r="C85" s="3" t="s">
        <v>381</v>
      </c>
      <c r="D85" s="13" t="n">
        <v>-0.00104666285021504</v>
      </c>
      <c r="E85" s="13" t="n">
        <v>-2.22044604925031E-016</v>
      </c>
      <c r="F85" s="14" t="n">
        <v>0.207444080520049</v>
      </c>
      <c r="G85" s="14" t="n">
        <v>0.825458190687789</v>
      </c>
    </row>
    <row r="86" ht="15" customHeight="1">
      <c r="A86" s="3" t="n">
        <v>2024</v>
      </c>
      <c r="B86" s="3" t="s">
        <v>264</v>
      </c>
      <c r="C86" s="3" t="s">
        <v>383</v>
      </c>
      <c r="D86" s="13" t="n">
        <v>-6.41340169258431E-005</v>
      </c>
      <c r="E86" s="13" t="n">
        <v>0</v>
      </c>
      <c r="F86" s="14" t="n">
        <v>0.207444080520049</v>
      </c>
      <c r="G86" s="14" t="n">
        <v>0.921871567342862</v>
      </c>
    </row>
    <row r="87" ht="15" customHeight="1">
      <c r="A87" s="3" t="n">
        <v>2024</v>
      </c>
      <c r="B87" s="3" t="s">
        <v>264</v>
      </c>
      <c r="C87" s="3" t="s">
        <v>382</v>
      </c>
      <c r="D87" s="13" t="n">
        <v>0.0686973549343856</v>
      </c>
      <c r="E87" s="13" t="n">
        <v>0.0687000643880112</v>
      </c>
      <c r="F87" s="14" t="n">
        <v>0.453189255135176</v>
      </c>
      <c r="G87" s="14" t="n">
        <v>0.912902496710594</v>
      </c>
    </row>
    <row r="88" ht="15" customHeight="1">
      <c r="A88" s="3" t="n">
        <v>2024</v>
      </c>
      <c r="B88" s="3" t="s">
        <v>264</v>
      </c>
      <c r="C88" s="3" t="s">
        <v>384</v>
      </c>
      <c r="D88" s="13" t="n">
        <v>0.0730218035394928</v>
      </c>
      <c r="E88" s="13" t="n">
        <v>0.0732160721273452</v>
      </c>
      <c r="F88" s="14" t="n">
        <v>0.455249308811421</v>
      </c>
      <c r="G88" s="14" t="n">
        <v>0.853109588339574</v>
      </c>
    </row>
    <row r="89" ht="15" customHeight="1">
      <c r="A89" s="3" t="n">
        <v>2024</v>
      </c>
      <c r="B89" s="3" t="s">
        <v>264</v>
      </c>
      <c r="C89" s="3" t="s">
        <v>385</v>
      </c>
      <c r="D89" s="13" t="n">
        <v>0.0698341677018473</v>
      </c>
      <c r="E89" s="13" t="n">
        <v>0.0698186437081259</v>
      </c>
      <c r="F89" s="14" t="n">
        <v>0.454335020167155</v>
      </c>
      <c r="G89" s="14" t="n">
        <v>0.877902118803128</v>
      </c>
    </row>
    <row r="90" ht="15" customHeight="1">
      <c r="A90" s="3" t="n">
        <v>2024</v>
      </c>
      <c r="B90" s="3" t="s">
        <v>265</v>
      </c>
      <c r="C90" s="3" t="s">
        <v>375</v>
      </c>
      <c r="D90" s="13" t="n">
        <v>0.064249845842682</v>
      </c>
      <c r="E90" s="13" t="n">
        <v>0.0642479951643108</v>
      </c>
      <c r="F90" s="14" t="n">
        <v>0.438209426644696</v>
      </c>
      <c r="G90" s="14" t="n">
        <v>1.01424874766908</v>
      </c>
    </row>
    <row r="91" ht="15" customHeight="1">
      <c r="A91" s="3" t="n">
        <v>2024</v>
      </c>
      <c r="B91" s="3" t="s">
        <v>265</v>
      </c>
      <c r="C91" s="3" t="s">
        <v>376</v>
      </c>
      <c r="D91" s="13" t="n">
        <v>0.0620041896607727</v>
      </c>
      <c r="E91" s="13" t="n">
        <v>0.0618518821771361</v>
      </c>
      <c r="F91" s="14" t="n">
        <v>0.436750123260057</v>
      </c>
      <c r="G91" s="14" t="n">
        <v>1.01466795975624</v>
      </c>
    </row>
    <row r="92" ht="15" customHeight="1">
      <c r="A92" s="3" t="n">
        <v>2024</v>
      </c>
      <c r="B92" s="3" t="s">
        <v>265</v>
      </c>
      <c r="C92" s="3" t="s">
        <v>377</v>
      </c>
      <c r="D92" s="13" t="n">
        <v>0.0585823346032823</v>
      </c>
      <c r="E92" s="13" t="n">
        <v>0.0584797544698331</v>
      </c>
      <c r="F92" s="14" t="n">
        <v>0.425781312459262</v>
      </c>
      <c r="G92" s="14" t="n">
        <v>1.01314554443071</v>
      </c>
    </row>
    <row r="93" ht="15" customHeight="1">
      <c r="A93" s="3" t="n">
        <v>2024</v>
      </c>
      <c r="B93" s="3" t="s">
        <v>265</v>
      </c>
      <c r="C93" s="3" t="s">
        <v>378</v>
      </c>
      <c r="D93" s="13" t="n">
        <v>0.0619156675179503</v>
      </c>
      <c r="E93" s="13" t="n">
        <v>0.0618030008174415</v>
      </c>
      <c r="F93" s="14" t="n">
        <v>0.433132911945885</v>
      </c>
      <c r="G93" s="14" t="n">
        <v>1.01361992953835</v>
      </c>
    </row>
    <row r="94" ht="15" customHeight="1">
      <c r="A94" s="3" t="n">
        <v>2024</v>
      </c>
      <c r="B94" s="3" t="s">
        <v>265</v>
      </c>
      <c r="C94" s="3" t="s">
        <v>379</v>
      </c>
      <c r="D94" s="13" t="n">
        <v>0.0574472818197742</v>
      </c>
      <c r="E94" s="13" t="n">
        <v>0.0575332449600258</v>
      </c>
      <c r="F94" s="14" t="n">
        <v>0.421084371140923</v>
      </c>
      <c r="G94" s="14" t="n">
        <v>1.01466795975624</v>
      </c>
    </row>
    <row r="95" ht="15" customHeight="1">
      <c r="A95" s="3" t="n">
        <v>2024</v>
      </c>
      <c r="B95" s="3" t="s">
        <v>265</v>
      </c>
      <c r="C95" s="3" t="s">
        <v>380</v>
      </c>
      <c r="D95" s="13" t="n">
        <v>0.0617753327084664</v>
      </c>
      <c r="E95" s="13" t="n">
        <v>0.0617478004309959</v>
      </c>
      <c r="F95" s="14" t="n">
        <v>0.429379179180125</v>
      </c>
      <c r="G95" s="14" t="n">
        <v>1.01466795975624</v>
      </c>
    </row>
    <row r="96" ht="15" customHeight="1">
      <c r="A96" s="3" t="n">
        <v>2024</v>
      </c>
      <c r="B96" s="3" t="s">
        <v>265</v>
      </c>
      <c r="C96" s="3" t="s">
        <v>381</v>
      </c>
      <c r="D96" s="13" t="n">
        <v>-0.00085529580841226</v>
      </c>
      <c r="E96" s="13" t="n">
        <v>0</v>
      </c>
      <c r="F96" s="14" t="n">
        <v>0.179604080585518</v>
      </c>
      <c r="G96" s="14" t="n">
        <v>0.91275094106617</v>
      </c>
    </row>
    <row r="97" ht="15" customHeight="1">
      <c r="A97" s="3" t="n">
        <v>2024</v>
      </c>
      <c r="B97" s="3" t="s">
        <v>265</v>
      </c>
      <c r="C97" s="3" t="s">
        <v>383</v>
      </c>
      <c r="D97" s="13" t="n">
        <v>-5.64472856123821E-005</v>
      </c>
      <c r="E97" s="13" t="n">
        <v>0</v>
      </c>
      <c r="F97" s="14" t="n">
        <v>0.179604080585518</v>
      </c>
      <c r="G97" s="14" t="n">
        <v>1.00882867420649</v>
      </c>
    </row>
    <row r="98" ht="15" customHeight="1">
      <c r="A98" s="3" t="n">
        <v>2024</v>
      </c>
      <c r="B98" s="3" t="s">
        <v>265</v>
      </c>
      <c r="C98" s="3" t="s">
        <v>382</v>
      </c>
      <c r="D98" s="13" t="n">
        <v>0.0607727416817087</v>
      </c>
      <c r="E98" s="13" t="n">
        <v>0.0613559449613149</v>
      </c>
      <c r="F98" s="14" t="n">
        <v>0.43266805629584</v>
      </c>
      <c r="G98" s="14" t="n">
        <v>0.926544885883051</v>
      </c>
    </row>
    <row r="99" ht="15" customHeight="1">
      <c r="A99" s="3" t="n">
        <v>2024</v>
      </c>
      <c r="B99" s="3" t="s">
        <v>265</v>
      </c>
      <c r="C99" s="3" t="s">
        <v>384</v>
      </c>
      <c r="D99" s="13" t="n">
        <v>0.0588612957841816</v>
      </c>
      <c r="E99" s="13" t="n">
        <v>0.059372102486668</v>
      </c>
      <c r="F99" s="14" t="n">
        <v>0.424724535220845</v>
      </c>
      <c r="G99" s="14" t="n">
        <v>0.932891183664106</v>
      </c>
    </row>
    <row r="100" ht="15" customHeight="1">
      <c r="A100" s="3" t="n">
        <v>2024</v>
      </c>
      <c r="B100" s="3" t="s">
        <v>265</v>
      </c>
      <c r="C100" s="3" t="s">
        <v>385</v>
      </c>
      <c r="D100" s="13" t="n">
        <v>0.0616337098452512</v>
      </c>
      <c r="E100" s="13" t="n">
        <v>0.0620450655373568</v>
      </c>
      <c r="F100" s="14" t="n">
        <v>0.435881504687948</v>
      </c>
      <c r="G100" s="14" t="n">
        <v>0.93917069442709</v>
      </c>
    </row>
  </sheetData>
  <autoFilter ref="A1:G100"/>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2026-10-22T10:20:31Z</dcterms:created>
  <dc:creator>openpyxl</dc:creator>
  <dc:description/>
  <dc:language>en-US</dc:language>
  <cp:lastModifiedBy/>
  <dcterms:modified xsi:type="dcterms:W3CDTF">2026-10-22T10:20:57Z</dcterms:modified>
  <cp:revision>0</cp:revision>
  <dc:subject/>
  <dc:title/>
</cp:coreProperties>
</file>