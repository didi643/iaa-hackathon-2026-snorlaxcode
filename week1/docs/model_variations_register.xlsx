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low\Desktop\Local Project Testing\Kaggle_IAA_Oct2026\docs\"/>
    </mc:Choice>
  </mc:AlternateContent>
  <xr:revisionPtr revIDLastSave="0" documentId="13_ncr:1_{6EC9CEF8-489D-4745-AED8-5494F239C2E1}" xr6:coauthVersionLast="47" xr6:coauthVersionMax="47" xr10:uidLastSave="{00000000-0000-0000-0000-000000000000}"/>
  <bookViews>
    <workbookView xWindow="864" yWindow="960" windowWidth="21600" windowHeight="11292" xr2:uid="{00000000-000D-0000-FFFF-FFFF00000000}"/>
  </bookViews>
  <sheets>
    <sheet name="README" sheetId="1" r:id="rId1"/>
    <sheet name="Variations" sheetId="2" r:id="rId2"/>
    <sheet name="Data_Cleaning" sheetId="3" r:id="rId3"/>
    <sheet name="Split_Validation" sheetId="4" r:id="rId4"/>
    <sheet name="Model_Spec_by_Peril" sheetId="5" r:id="rId5"/>
    <sheet name="Features_Motor" sheetId="6" r:id="rId6"/>
    <sheet name="Features_Buildings" sheetId="7" r:id="rId7"/>
    <sheet name="Features_Contents" sheetId="8" r:id="rId8"/>
    <sheet name="Excess_Treatment" sheetId="9" r:id="rId9"/>
    <sheet name="Code_Review" sheetId="10" r:id="rId10"/>
  </sheets>
  <definedNames>
    <definedName name="_xlnm._FilterDatabase" localSheetId="9" hidden="1">Code_Review!$A$1:$I$45</definedName>
    <definedName name="_xlnm._FilterDatabase" localSheetId="2" hidden="1">Data_Cleaning!$A$1:$F$21</definedName>
    <definedName name="_xlnm._FilterDatabase" localSheetId="8" hidden="1">Excess_Treatment!$A$1:$F$17</definedName>
    <definedName name="_xlnm._FilterDatabase" localSheetId="6" hidden="1">Features_Buildings!$A$1:$S$84</definedName>
    <definedName name="_xlnm._FilterDatabase" localSheetId="7" hidden="1">Features_Contents!$A$1:$Q$84</definedName>
    <definedName name="_xlnm._FilterDatabase" localSheetId="5" hidden="1">Features_Motor!$A$1:$R$95</definedName>
    <definedName name="_xlnm._FilterDatabase" localSheetId="4" hidden="1">Model_Spec_by_Peril!$A$1:$N$16</definedName>
    <definedName name="_xlnm._FilterDatabase" localSheetId="3" hidden="1">Split_Validation!$A$1:$H$40</definedName>
    <definedName name="_xlnm._FilterDatabase" localSheetId="1" hidden="1">Variations!$A$1:$N$36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6" i="8" l="1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</calcChain>
</file>

<file path=xl/sharedStrings.xml><?xml version="1.0" encoding="utf-8"?>
<sst xmlns="http://schemas.openxmlformats.org/spreadsheetml/2006/main" count="6053" uniqueCount="1040">
  <si>
    <t>Model iterations - variation register (all 4_models_* scripts)</t>
  </si>
  <si>
    <t>Purpose</t>
  </si>
  <si>
    <t>One place for every data, target, split, feature, model and selection choice behind each model iteration that has or will have a Kaggle submission (ITER 1 to WENDY 6 incl. SAM 3; WENDY 4 SAM02-clean and WENDY 6 were still running on 22 Oct). Built by reading the R scripts in R/4_models_*.R, R/2_clean.R, R/3_incidence.R, R/model_io.R and the submission log in docs/workflow.md (22 Oct 2026).</t>
  </si>
  <si>
    <t>Scope</t>
  </si>
  <si>
    <t>Scripts reviewed: 4_models_iter01.R, 4_models_iter02.R, 4_models_itersam01.R (identical to 4_models.R), 4_models_iterwendy03.R, 4_models_iterben01.R, 4_models_iterwendy04.R (+ docs/assumptions_wendy04.xlsx), 4_models_itersam02.R; added 22 Oct: 4_models_iterwendy05.R, 4_models_iterwendy04_vsam02clean.R, 4_models_iterwendy06.R (+ wendy_core.R, assumptions_wendy05/06.xlsx); 4_models_itersam03.R (+ sam_iteration_03_model_summary.xlsx). Model output folders (models/*) were NOT in the zip, so peril-level scores, blend weights and tuned parameters chosen at run time are marked 'runtime - see model card'.</t>
  </si>
  <si>
    <t>Companion</t>
  </si>
  <si>
    <t>iteration_summary.xlsx = scores, improvement reasons and the blend plan.</t>
  </si>
  <si>
    <t>Sheets</t>
  </si>
  <si>
    <t>Variations (side-by-side matrix) | Data_Cleaning | Split_Validation | Model_Spec_by_Peril | Features_Motor / Features_Buildings / Features_Contents | Excess_Treatment | Code_Review</t>
  </si>
  <si>
    <t>Editable cells</t>
  </si>
  <si>
    <t>Blue text on yellow fill = inputs for the next iteration (column 'NEXT (add)' in Variations, 'status' in Code_Review). Everything else is documentation of what the code does.</t>
  </si>
  <si>
    <t>Adding a new script</t>
  </si>
  <si>
    <t>Variations: overwrite the NEXT column header with the iteration label and fill every row (insert a new NEXT column to its right for the one after). Features_*: add one column per model. Split_Validation and Excess_Treatment: append rows. Code_Review: append rows CR45+.</t>
  </si>
  <si>
    <t>Feature codes</t>
  </si>
  <si>
    <t>Y = used by that model; - = not used. SAM2_GLM_freq lists the perils whose frequency GLM uses it. W4_&lt;peril&gt;: F = frequency only, S = severity only, B = both, - = not used (copied from assumptions_wendy04.xlsx, use = Y rows).</t>
  </si>
  <si>
    <t>Example</t>
  </si>
  <si>
    <t>Variations row 'Large-loss treatment': ITER 1 caps row cost at p99.9 per line and loads the excess back; WENDY 4 caps each claim at a per-peril quantile after trending; SAM 2 caps each claim at p99.5 per line x peril.</t>
  </si>
  <si>
    <t>Caveat</t>
  </si>
  <si>
    <t>Feature lists for feature_cols() iterations are derived from the code logic and the data dictionary, not from a run; verify against each model card's features_used.csv.</t>
  </si>
  <si>
    <t>section</t>
  </si>
  <si>
    <t>attribute</t>
  </si>
  <si>
    <t>ITER 1</t>
  </si>
  <si>
    <t>ITER 2</t>
  </si>
  <si>
    <t>SAM 1</t>
  </si>
  <si>
    <t>WENDY 3</t>
  </si>
  <si>
    <t>BEN 1</t>
  </si>
  <si>
    <t>WENDY 4</t>
  </si>
  <si>
    <t>SAM 2</t>
  </si>
  <si>
    <t>WENDY 5</t>
  </si>
  <si>
    <t>SAM 3</t>
  </si>
  <si>
    <t>WENDY 4 SAM02-clean</t>
  </si>
  <si>
    <t>WENDY 6</t>
  </si>
  <si>
    <t>NEXT (add)</t>
  </si>
  <si>
    <t>1. Identity</t>
  </si>
  <si>
    <t>Script</t>
  </si>
  <si>
    <t>R/4_models_iter01.R</t>
  </si>
  <si>
    <t>R/4_models_iter02.R</t>
  </si>
  <si>
    <t>R/4_models_itersam01.R (byte-identical to R/4_models.R)</t>
  </si>
  <si>
    <t>R/4_models_iterwendy03.R</t>
  </si>
  <si>
    <t>R/4_models_iterben01.R</t>
  </si>
  <si>
    <t>R/4_models_iterwendy04.R + docs/assumptions_wendy04.xlsx</t>
  </si>
  <si>
    <t>R/4_models_itersam02.R</t>
  </si>
  <si>
    <t>R/4_models_iterwendy05.R (wendy_core functions pasted inline) + docs/assumptions_wendy05.xlsx</t>
  </si>
  <si>
    <t>R/4_models_itersam03.R (copy of SAM 2 with ~10 changed lines)</t>
  </si>
  <si>
    <t>R/4_models_iterwendy04_vsam02clean.R + docs/assumptions_wendy04.xlsx</t>
  </si>
  <si>
    <t>R/4_models_iterwendy06.R + R/wendy_core.R + docs/assumptions_wendy06.xlsx</t>
  </si>
  <si>
    <t>Model card folder</t>
  </si>
  <si>
    <t>models/iteration_01</t>
  </si>
  <si>
    <t>models/iteration_02</t>
  </si>
  <si>
    <t>models/sam_iteration_01 per workflow, BUT script sets ITER_DIR = models/iteration_02 (re-run overwrites iteration 2)</t>
  </si>
  <si>
    <t>models/wendy_iteration_03</t>
  </si>
  <si>
    <t>models/ben_iteration_01</t>
  </si>
  <si>
    <t>models/wendy_iteration_04</t>
  </si>
  <si>
    <t>models/sam_iteration_02</t>
  </si>
  <si>
    <t>models/wendy_iteration_05</t>
  </si>
  <si>
    <t>models/sam_iteration_03</t>
  </si>
  <si>
    <t>models/wendy_iteration_04_vsam02clean</t>
  </si>
  <si>
    <t>models/wendy_iteration_06</t>
  </si>
  <si>
    <t>Submission # / file</t>
  </si>
  <si>
    <t>#1 submission_20261020_1400_submitted.csv</t>
  </si>
  <si>
    <t>#2 submission_20261021_0951.csv</t>
  </si>
  <si>
    <t>#3 submission_20261021_1336.csv</t>
  </si>
  <si>
    <t>#4 submission_20261021_1650.csv</t>
  </si>
  <si>
    <t>#5 submission_20261021_1658.csv</t>
  </si>
  <si>
    <t>#6 submission_20261022_0715_wendy04.csv</t>
  </si>
  <si>
    <t>#7 submission_20261021_1528.csv</t>
  </si>
  <si>
    <t>#8 submission_20261022_0912_wendy05.csv (MD5 33b99011...)</t>
  </si>
  <si>
    <t>#9 submission_20261022_1159.csv</t>
  </si>
  <si>
    <t>#10 not submitted (held by Submit_Gate)</t>
  </si>
  <si>
    <t>#11 pending - submission_&lt;run id&gt;_wendy06.csv</t>
  </si>
  <si>
    <t>Public D2 (Kaggle)</t>
  </si>
  <si>
    <t>not submitted - local reported 2024 identical to WENDY 4 (0.0988)</t>
  </si>
  <si>
    <t>running</t>
  </si>
  <si>
    <t>Builds on</t>
  </si>
  <si>
    <t>-</t>
  </si>
  <si>
    <t>ITER 1 tree features</t>
  </si>
  <si>
    <t>ITER 1 + ensemble</t>
  </si>
  <si>
    <t>ITER 2 (per peril)</t>
  </si>
  <si>
    <t>ITER 2 (variant ladder)</t>
  </si>
  <si>
    <t>WENDY 3 per-peril idea; new freq x sev engine</t>
  </si>
  <si>
    <t>Full rebuild from raw data (no 2_clean / 3_incidence)</t>
  </si>
  <si>
    <t>WENDY 4 (same targets / features)</t>
  </si>
  <si>
    <t>SAM 2 (challenger)</t>
  </si>
  <si>
    <t>WENDY 4 code, SAM 2 cleaning</t>
  </si>
  <si>
    <t>WENDY 5 basis (wendy_core), AutoML learner</t>
  </si>
  <si>
    <t>One-line approach</t>
  </si>
  <si>
    <t>Per line: best of burn cost, rescaled premium, GLM freq x sev, LightGBM Tweedie (GLM won all lines)</t>
  </si>
  <si>
    <t>XGBoost Tweedie per line, random grid search</t>
  </si>
  <si>
    <t>ITER 1 candidates + GLM/LightGBM rate blend per line (motor GLM, buildings &amp; contents blend)</t>
  </si>
  <si>
    <t>15 XGBoost Tweedie models (one per peril), line = sum of perils</t>
  </si>
  <si>
    <t>XGBoost Tweedie per line, 7-step variant ladder; v6 selected in all lines</t>
  </si>
  <si>
    <t>Per peril: Poisson GBM frequency x Gamma GBM/GLM severity vs Tweedie GBM challenger, chosen per peril</t>
  </si>
  <si>
    <t>Per peril GLM freq x sev (trended level) + LGB/XGB frequency bags + line Tweedie bags; greedy blend per line</t>
  </si>
  <si>
    <t>WENDY 4 + random-search tuning per component, severity GBM vs GLM chosen per peril, method chosen on 5-fold policy-grouped CV</t>
  </si>
  <si>
    <t>SAM 2 unchanged except: peril frequency models (GLM and LGB/XGB Poisson bags) use observed claim counts over effective exposure = exposure / IBNR factor, instead of IBNR-inflated counts over exposure</t>
  </si>
  <si>
    <t>WENDY 4 models unchanged; only the cleaned data differs (controlled cleaning test)</t>
  </si>
  <si>
    <t>H2O AutoML per peril for frequency (Poisson) and severity (Gamma) on WENDY 5's folds</t>
  </si>
  <si>
    <t>2. Data</t>
  </si>
  <si>
    <t>Cleaned data source</t>
  </si>
  <si>
    <t>data/clean (R/2_clean.R)</t>
  </si>
  <si>
    <t>data/clean</t>
  </si>
  <si>
    <t>data/clean incl. premium_index, wx_avg_*</t>
  </si>
  <si>
    <t>data/clean + claims_matched</t>
  </si>
  <si>
    <t>data/sam02 (own sam_clean() in the script)</t>
  </si>
  <si>
    <t>SAM 2 raw rebuild, cached in data/sam03 (no clash with SAM 2's data/sam02)</t>
  </si>
  <si>
    <t>data/sam02 rebuilt in-script with SAM 2's sam_clean() (no SAM 2 hist_* fields)</t>
  </si>
  <si>
    <t>Claims counted</t>
  </si>
  <si>
    <t>Non-repudiated, incl. nil-cost claims (y_n_claims)</t>
  </si>
  <si>
    <t>Non-repudiated incl. nil (cost target only)</t>
  </si>
  <si>
    <t>As ITER 1</t>
  </si>
  <si>
    <t>Non-repudiated with cost &gt; 0 only</t>
  </si>
  <si>
    <t>Non-repudiated with net &gt; 0 only</t>
  </si>
  <si>
    <t>Non-repudiated with net &gt; 0 (as SAM 2)</t>
  </si>
  <si>
    <t>Non-repudiated with net &gt; 0 (SAM 2 basis, then cost &gt; 0)</t>
  </si>
  <si>
    <t>Recoveries</t>
  </si>
  <si>
    <t>incurred - recoveries</t>
  </si>
  <si>
    <t>incurred - recoveries; OPEN claims of perils with recoveries get incurred x (1 - closed recovery ratio)</t>
  </si>
  <si>
    <t>Same as WENDY 4</t>
  </si>
  <si>
    <t>incurred - recoveries (as SAM 2)</t>
  </si>
  <si>
    <t>Same as WENDY 4 (recovery ratio on SAM 2 claim basis)</t>
  </si>
  <si>
    <t>Single extreme claim (11.9m BI)</t>
  </si>
  <si>
    <t>Kept; row cap p99.9 + loading spreads it</t>
  </si>
  <si>
    <t>Same as ITER 1</t>
  </si>
  <si>
    <t>Kept; peril row cap p99.9 + peril loading</t>
  </si>
  <si>
    <t>Kept; row cap p99.9 + loading</t>
  </si>
  <si>
    <t>Limited to 2,000,000 before caps; excess dropped (not loaded)</t>
  </si>
  <si>
    <t>Kept; claim cap p99.5 + per-peril loading</t>
  </si>
  <si>
    <t>Same as WENDY 4 (limit 2,000,000)</t>
  </si>
  <si>
    <t>Kept; claim cap p99.5 per line x peril (BI cap 187,516) + per-peril loading</t>
  </si>
  <si>
    <t>3. Target</t>
  </si>
  <si>
    <t>Modelled unit</t>
  </si>
  <si>
    <t>Row cost (line); GLM: row count + cost per claim</t>
  </si>
  <si>
    <t>Row cost per exposure-year (line)</t>
  </si>
  <si>
    <t>Row cost per peril</t>
  </si>
  <si>
    <t>Peril claim count per row + cost per claim (claim level)</t>
  </si>
  <si>
    <t>Peril claim count per row + cost per claim (GLM); line row cost (Tweedie bags)</t>
  </si>
  <si>
    <t>As SAM 2</t>
  </si>
  <si>
    <t>Large-loss treatment</t>
  </si>
  <si>
    <t>Row cost capped at p99.9 of positive rows per line; loading = cost / capped cost</t>
  </si>
  <si>
    <t>Same</t>
  </si>
  <si>
    <t>Peril row cost capped at p99.9 per peril; peril loading</t>
  </si>
  <si>
    <t>Row cap p99.9 of fit years; loading</t>
  </si>
  <si>
    <t>Each claim trended then capped at per-peril quantile (0.99-0.999, Model_Spec); loading = trended / capped</t>
  </si>
  <si>
    <t>Each claim capped at p99.5 per line x peril; per-peril loading = cost / capped</t>
  </si>
  <si>
    <t>Same as WENDY 4 (claims trended to last training year, then capped)</t>
  </si>
  <si>
    <t>As SAM 2: claim cap p99.5 per line x peril (4,821 to 369,277) + per-peril loading 1.000-1.036</t>
  </si>
  <si>
    <t>As WENDY 5</t>
  </si>
  <si>
    <t>IBNR (late reporting)</t>
  </si>
  <si>
    <t>Line count factor by policy year (3_incidence ibnr_factors.csv) multiplied into target</t>
  </si>
  <si>
    <t>Peril count factor (own report lags 2021-22) multiplied into peril target</t>
  </si>
  <si>
    <t>v3+: per-peril factors weighted by the row's own peril cost (rows without claims keep 1)</t>
  </si>
  <si>
    <t>Frequency volume = exposure x reported share (peril ECDF of 2021-22 lags at row mid-date) -&gt; models ULTIMATE frequency</t>
  </si>
  <si>
    <t>Per line x peril x policy year: mean of 1/P(reported) over reported claims (floor 0.05) applied to counts</t>
  </si>
  <si>
    <t>Same as WENDY 4 (reported-share volume)</t>
  </si>
  <si>
    <t>Peril frequency: offset via effective exposure = exposure / factor (same expected rate as SAM 2, but immature 2024 rows now carry LESS weight). Severity: observed capped claims (unchanged from SAM 2). Line Tweedie bags and XGB tuning: still IBNR-inflated cost target (unchanged)</t>
  </si>
  <si>
    <t>Open-claim development (IBNER)</t>
  </si>
  <si>
    <t>None</t>
  </si>
  <si>
    <t>None (case reserves assumed adequate); long-tail perils drop latest year from severity</t>
  </si>
  <si>
    <t>None; long-tail perils: severity on policy years &lt; 2023, frequency gets a 2024 dummy</t>
  </si>
  <si>
    <t>None; long-tail perils (motor BI, buildings subsidence; 2023 open share &gt; 15%) keep a 2024 immaturity dummy (rel 1.008 / 1.179)</t>
  </si>
  <si>
    <t>Trend to 2025</t>
  </si>
  <si>
    <t>Log-linear on capped developed burn, clamp +/-5%, targets moved to scored year (final: motor -1.3%, buildings +5.0% cap, contents +4.8%)</t>
  </si>
  <si>
    <t>Severity: log-linear per peril, clamp -2%..+10%; frequency: residual A/E trend for motor non-weather perils only, clamp -5%..+3%</t>
  </si>
  <si>
    <t>policy_year term in every peril frequency and severity GLM, clamp +/-10%; trees take the GLM level</t>
  </si>
  <si>
    <t>As WENDY 4 but year-aware: claims trended to last training year, predictions scaled to each row's policy year</t>
  </si>
  <si>
    <t>As SAM 2: policy_year term per peril GLM, clamp +/-10% (no clamp hit); e.g. motor own_damage freq -5.4% / sev +8.2%</t>
  </si>
  <si>
    <t>Excess</t>
  </si>
  <si>
    <t>Feature (see Excess_Treatment)</t>
  </si>
  <si>
    <t>Feature</t>
  </si>
  <si>
    <t>Feature (monotone -1 from v5)</t>
  </si>
  <si>
    <t>Feature per peril (workbook), monotone -1</t>
  </si>
  <si>
    <t>Feature (GLM + trees)</t>
  </si>
  <si>
    <t>Feature per peril (workbook = WENDY 4), monotone -1</t>
  </si>
  <si>
    <t>As SAM 2 (GLM + trees; no monotone on excess)</t>
  </si>
  <si>
    <t>As WENDY 4</t>
  </si>
  <si>
    <t>Feature per peril; NO monotone (automl_monotone = N)</t>
  </si>
  <si>
    <t>4. Split and validation</t>
  </si>
  <si>
    <t>Validation folds</t>
  </si>
  <si>
    <t>fit 2021-22 -&gt; 2023; fit 2021-23 -&gt; 2024</t>
  </si>
  <si>
    <t>fit 2021-23 -&gt; 2024 only</t>
  </si>
  <si>
    <t>2021-22 -&gt; 2023; 2021-23 -&gt; 2024 (v6 expanding); rolling 2022-23 -&gt; 2024 tested</t>
  </si>
  <si>
    <t>fit 2021 -&gt; 2022; 2021-22 -&gt; 2023; 2021-23 -&gt; 2024</t>
  </si>
  <si>
    <t>5 policy-grouped folds over ALL years 2021-24 (method choice) + time check fit 2021-23 -&gt; 2024</t>
  </si>
  <si>
    <t>fit 2021-22 -&gt; 2023; fit 2021-23 -&gt; 2024 (as WENDY 4)</t>
  </si>
  <si>
    <t>Time check fit 2021-23 -&gt; 2024; AutoML internal CV on WENDY 5's 5 policy folds</t>
  </si>
  <si>
    <t>Actuals the folds are scored on</t>
  </si>
  <si>
    <t>Reported y_cost (immature 2024)</t>
  </si>
  <si>
    <t>Reported</t>
  </si>
  <si>
    <t>Reported (d2); developed shown as d2_developed</t>
  </si>
  <si>
    <t>DEVELOPED: actual / reported share</t>
  </si>
  <si>
    <t>Reported (d2) and calibrated d2 (level removed)</t>
  </si>
  <si>
    <t>DEVELOPED</t>
  </si>
  <si>
    <t>Reported (d2); calibrated d2 and A/E vs developed also shown</t>
  </si>
  <si>
    <t>Early-stopping holdout</t>
  </si>
  <si>
    <t>LightGBM: 10% of policies</t>
  </si>
  <si>
    <t>10% of policies</t>
  </si>
  <si>
    <t>10% of policies (LightGBM)</t>
  </si>
  <si>
    <t>10% of policies (holdout_share)</t>
  </si>
  <si>
    <t>Bag member 1: 10% of policies; other members 1.1 x best rounds</t>
  </si>
  <si>
    <t>Bag member 1: 10% of policies (as SAM 2)</t>
  </si>
  <si>
    <t>AutoML fold column (5 policy folds)</t>
  </si>
  <si>
    <t>Hyper-parameter tuning</t>
  </si>
  <si>
    <t>None (fixed LightGBM params)</t>
  </si>
  <si>
    <t>Random grid, 600 s, 20% policy holdout of 2021-22</t>
  </si>
  <si>
    <t>Random grid per peril, 900 s total (~72 s per motor peril), 20% policy holdout of 2021-23</t>
  </si>
  <si>
    <t>Time fold fit 2021 -&gt; score 2022, 600 s, 216-config grid + ITER 2 params</t>
  </si>
  <si>
    <t>None - parameters from Model_Spec</t>
  </si>
  <si>
    <t>Random grid 900 s on 2021-22; 20% policy holdout split half early-stopping / half scoring</t>
  </si>
  <si>
    <t>Random search, 20 configs per component (freq, sev, Tweedie) on policy fold 1, scored by component deviance</t>
  </si>
  <si>
    <t>As SAM 2: random grid 900 s (code default, same as SAM 2) on 2021-22; ~37 configs for motor</t>
  </si>
  <si>
    <t>AutoML, 1,200 s per run (DRF, DeepLearning excluded)</t>
  </si>
  <si>
    <t>Selection rule</t>
  </si>
  <si>
    <t>Best candidate per line by mean D2 (2023, 2024)</t>
  </si>
  <si>
    <t>Single model</t>
  </si>
  <si>
    <t>Best of 5 candidates per line; blend weight grid 0-1</t>
  </si>
  <si>
    <t>Single model per peril</t>
  </si>
  <si>
    <t>Best variant per line by mean D2; group-drop test (none dropped)</t>
  </si>
  <si>
    <t>Per peril: freq_sev vs tweedie by mean D2 (freq_sev chosen 12/15)</t>
  </si>
  <si>
    <t>Greedy 10 x 0.1 blend of 5 candidates per line on mean calibrated D2 over 3 folds</t>
  </si>
  <si>
    <t>Per peril: freq_sev vs Tweedie by grouped-CV D2 (validation_mode = both -&gt; CV decides): freq_sev 13/15, Tweedie 2; severity GBM 11, GLM 4</t>
  </si>
  <si>
    <t>Greedy 10 x 0.1 blend on mean calibrated D2: motor GLM 0.4 / peril XGB 0.4 / XGB Tweedie 0.2; buildings 0.2 / 0.7 / 0.1; contents 0.3 / 0.4 / 0.3</t>
  </si>
  <si>
    <t>Per peril: freq_sev vs Tweedie by mean D2 2023-24 (as WENDY 4)</t>
  </si>
  <si>
    <t>Leader by CV deviance per component; freq_sev for every peril (Tweedie component off)</t>
  </si>
  <si>
    <t>Final fit</t>
  </si>
  <si>
    <t>2021-24</t>
  </si>
  <si>
    <t>2021-24 (expanding)</t>
  </si>
  <si>
    <t>5. Model</t>
  </si>
  <si>
    <t>Algorithms</t>
  </si>
  <si>
    <t>glm quasi-Poisson + Gamma; LightGBM tweedie (p 1.5)</t>
  </si>
  <si>
    <t>XGBoost reg:tweedie (p tuned 1.3-1.7)</t>
  </si>
  <si>
    <t>GLM + LightGBM blend</t>
  </si>
  <si>
    <t>XGBoost reg:tweedie per peril</t>
  </si>
  <si>
    <t>XGBoost reg:tweedie (p tuned 1.4-1.6)</t>
  </si>
  <si>
    <t>XGBoost count:poisson + reg:gamma or glm Gamma; challenger reg:tweedie (p 1.5-1.7)</t>
  </si>
  <si>
    <t>glm quasi-Poisson + Gamma per peril; LightGBM/XGBoost Poisson bags; LightGBM/XGBoost Tweedie bags</t>
  </si>
  <si>
    <t>XGBoost count:poisson, reg:gamma or glm Gamma (auto), reg:tweedie (p 1.3-1.8 searched)</t>
  </si>
  <si>
    <t>As SAM 2 (peril GLM, LGB/XGB Poisson bags, LGB/XGB Tweedie bags); peril LGB and LGB Tweedie got weight 0</t>
  </si>
  <si>
    <t>H2O AutoML (GBM, XGBoost, GLM; stacked ensemble only for severity)</t>
  </si>
  <si>
    <t>Categorical encoding</t>
  </si>
  <si>
    <t>GLM: levels (&lt;0.2% exposure -&gt; base); LightGBM native</t>
  </si>
  <si>
    <t>Integer codes ordered by training cost rate</t>
  </si>
  <si>
    <t>Ordered by peril training cost rate</t>
  </si>
  <si>
    <t>Ordered by credibility-weighted rate (k = 200)</t>
  </si>
  <si>
    <t>Ordered by training rate per model</t>
  </si>
  <si>
    <t>LightGBM native; XGBoost ordered by rate</t>
  </si>
  <si>
    <t>As SAM 2 (LGB native; XGB ordered by rate)</t>
  </si>
  <si>
    <t>H2O native factors</t>
  </si>
  <si>
    <t>Monotone constraints</t>
  </si>
  <si>
    <t>ncb -1, prior_claims +1, licence_points +1, missed_payments +1, flood_zone +1, voluntary_excess -1</t>
  </si>
  <si>
    <t>Workbook mono_freq / mono_sev (e.g. voluntary_excess -1, ncb -1)</t>
  </si>
  <si>
    <t>ncb -1, prior_claims/licence/missed payments/hist_* +1, flood_zone &amp; hist_addr_flood +1 (non-motor)</t>
  </si>
  <si>
    <t>Workbook mono_freq / mono_sev</t>
  </si>
  <si>
    <t>None (automl_monotone = N)</t>
  </si>
  <si>
    <t>Calibration</t>
  </si>
  <si>
    <t>Cap loading</t>
  </si>
  <si>
    <t>Balance factor per peril x cap loading</t>
  </si>
  <si>
    <t>bal_freq, bal_sev, freq trend factor, cap loading</t>
  </si>
  <si>
    <t>Tree rates rescaled to trended GLM total; per-peril loading</t>
  </si>
  <si>
    <t>bal_freq, bal_sev / bal_tw, trend factors, cap loading</t>
  </si>
  <si>
    <t>bal_freq, bal_sev, trend factors, cap loading</t>
  </si>
  <si>
    <t>Feature policy</t>
  </si>
  <si>
    <t>GLM: fixed lists; LightGBM: feature_cols() incl. written_premium</t>
  </si>
  <si>
    <t>feature_cols() incl. written_premium</t>
  </si>
  <si>
    <t>feature_cols(include_new) minus compulsory_excess, years_with_insurer, customer_since_year, campaign_code, written_premium; + premium_index, wx_avg_*</t>
  </si>
  <si>
    <t>Workbook per peril; written_premium, marketing, noise excluded; + prior-year claim history</t>
  </si>
  <si>
    <t>feature_cols() minus written_premium, discount, marketing/noise; + engineered + 9 claim-history fields</t>
  </si>
  <si>
    <t>Workbook = WENDY 4</t>
  </si>
  <si>
    <t>As SAM 2 (incl. noise_probe, customer_since_year, years_with_insurer, compulsory_excess in trees)</t>
  </si>
  <si>
    <t>Workbook = WENDY 4 (data from SAM 2 cleaning)</t>
  </si>
  <si>
    <t>6. Reproducibility</t>
  </si>
  <si>
    <t>Replication check</t>
  </si>
  <si>
    <t>Passed (re-run at 94755d2; submitted file pre-dates the fix)</t>
  </si>
  <si>
    <t>Passed</t>
  </si>
  <si>
    <t>Not implemented</t>
  </si>
  <si>
    <t>Passed (max abs diff ~1e-12)</t>
  </si>
  <si>
    <t>Not possible (AutoML not reproducible); leaders saved as H2O binaries</t>
  </si>
  <si>
    <t>Seeds</t>
  </si>
  <si>
    <t>fit_seed(line, model, year)</t>
  </si>
  <si>
    <t>fit_seed(line, year)</t>
  </si>
  <si>
    <t>fit_seed(line, peril, year)</t>
  </si>
  <si>
    <t>fit_seed(line, year), same for every variant</t>
  </si>
  <si>
    <t>seed_of(line, peril, year, part)</t>
  </si>
  <si>
    <t>fit_seed(line, model, year, k)</t>
  </si>
  <si>
    <t>seed_of(line, peril, k)</t>
  </si>
  <si>
    <t>fit_seed(line, model, year, k) as SAM 2</t>
  </si>
  <si>
    <t>automl_seed 2026 (time budget breaks exact reproducibility)</t>
  </si>
  <si>
    <t>#</t>
  </si>
  <si>
    <t>issue</t>
  </si>
  <si>
    <t>R/2_clean.R (ITER 1, ITER 2, SAM 1, WENDY 3, BEN 1, WENDY 4, WENDY 5, WENDY 6)</t>
  </si>
  <si>
    <t>SAM 2 cleaning (4_models_itersam02.R; reused by SAM 3 and WENDY 4 SAM02-clean)</t>
  </si>
  <si>
    <t>difference / impact</t>
  </si>
  <si>
    <t>reference</t>
  </si>
  <si>
    <t>1</t>
  </si>
  <si>
    <t>Motor customer_id lost leading zeros</t>
  </si>
  <si>
    <t>pad_id() to 8 chars (all lines)</t>
  </si>
  <si>
    <t>Same (pad_id)</t>
  </si>
  <si>
    <t>Handover trap 1</t>
  </si>
  <si>
    <t>2</t>
  </si>
  <si>
    <t>Exposure wrong on some train rows</t>
  </si>
  <si>
    <t>Recompute (end - start + 1) / 365; raw kept as exposure_raw</t>
  </si>
  <si>
    <t>Recompute; raw dropped</t>
  </si>
  <si>
    <t>Same result</t>
  </si>
  <si>
    <t>Trap 2</t>
  </si>
  <si>
    <t>3</t>
  </si>
  <si>
    <t>sum_insured 1000x on ~0.2% rows</t>
  </si>
  <si>
    <t>&gt; 5m (buildings) / 2m (contents) AND divisible by 1000 -&gt; / 1000</t>
  </si>
  <si>
    <t>Same flag, but / 1000 only if result lands inside the normal TRAIN range</t>
  </si>
  <si>
    <t>SAM 2 stricter; counts may differ slightly</t>
  </si>
  <si>
    <t>Trap 3 - assumption</t>
  </si>
  <si>
    <t>4</t>
  </si>
  <si>
    <t>construction_type casing and T/W codes</t>
  </si>
  <si>
    <t>Upper-case, T/W -&gt; timber, store lower-case</t>
  </si>
  <si>
    <t>Same + logs frequency by raw code</t>
  </si>
  <si>
    <t>Trap 4 - inference</t>
  </si>
  <si>
    <t>5</t>
  </si>
  <si>
    <t>years_licensed &gt; driver_age - 16</t>
  </si>
  <si>
    <t>Capped at driver_age - 16</t>
  </si>
  <si>
    <t>Trap 8</t>
  </si>
  <si>
    <t>6</t>
  </si>
  <si>
    <t>renewal_decision (leakage)</t>
  </si>
  <si>
    <t>Dropped</t>
  </si>
  <si>
    <t>Trap 7</t>
  </si>
  <si>
    <t>7</t>
  </si>
  <si>
    <t>customer_service_contacts (leakage)</t>
  </si>
  <si>
    <t>In NON_FEATURES (never a feature)</t>
  </si>
  <si>
    <t>NON_FEATURES via feature_cols()</t>
  </si>
  <si>
    <t>Trap 11</t>
  </si>
  <si>
    <t>8</t>
  </si>
  <si>
    <t>Duplicate 9-digit claim ids (604)</t>
  </si>
  <si>
    <t>Trap 10</t>
  </si>
  <si>
    <t>9</t>
  </si>
  <si>
    <t>Claims matching no policy row (414)</t>
  </si>
  <si>
    <t>Excluded (unmatched_claims.csv)</t>
  </si>
  <si>
    <t>Excluded</t>
  </si>
  <si>
    <t>Trap 5</t>
  </si>
  <si>
    <t>10</t>
  </si>
  <si>
    <t>Repudiated claims</t>
  </si>
  <si>
    <t>Cost 0, not counted</t>
  </si>
  <si>
    <t>Removed</t>
  </si>
  <si>
    <t>Target definition</t>
  </si>
  <si>
    <t>11</t>
  </si>
  <si>
    <t>Nil-cost non-repudiated claims</t>
  </si>
  <si>
    <t>Counted in y_n_claims (ITER 1 GLM frequency); WENDY 4 drops them in-script</t>
  </si>
  <si>
    <t>Dropped (net &lt;= 0)</t>
  </si>
  <si>
    <t>Frequency definitions differ across iterations</t>
  </si>
  <si>
    <t>Code_Review CR03</t>
  </si>
  <si>
    <t>12</t>
  </si>
  <si>
    <t>Missing categoricals</t>
  </si>
  <si>
    <t>'missing' level for character FEATURE columns</t>
  </si>
  <si>
    <t>'missing' for all character columns except ids</t>
  </si>
  <si>
    <t>Equivalent for models</t>
  </si>
  <si>
    <t>13</t>
  </si>
  <si>
    <t>Weather join</t>
  </si>
  <si>
    <t>address x calendar year of period_start</t>
  </si>
  <si>
    <t>Handover keys</t>
  </si>
  <si>
    <t>14</t>
  </si>
  <si>
    <t>Derived fields</t>
  </si>
  <si>
    <t>customer_age, start_month, years_with_insurer, premium_index (premium / exposure-weighted mean of line x year), wx_avg_* (2021-24 address average)</t>
  </si>
  <si>
    <t>customer_age, start_month, years_with_insurer; NO premium_index / wx_avg</t>
  </si>
  <si>
    <t>premium_index only used by BEN 1</t>
  </si>
  <si>
    <t>workflow Step 4</t>
  </si>
  <si>
    <t>15</t>
  </si>
  <si>
    <t>Engineered features</t>
  </si>
  <si>
    <t>young_driver, novice_driver, licence_ratio, telematics_missing, log_sum_insured, flood_score, property_age, si_per_bedroom, subsidence_score, si_per_person, hvi_per_10k_si, noise_probe</t>
  </si>
  <si>
    <t>SAM 2 only</t>
  </si>
  <si>
    <t>SAM 2 Phase 3</t>
  </si>
  <si>
    <t>16</t>
  </si>
  <si>
    <t>Claim history</t>
  </si>
  <si>
    <t>None in 2_clean. WENDY 4 adds hist_policy_claims_prev and hist_customer_claims_other_lines_prev (loss in Y-1 AND reported by 31 Dec Y-1)</t>
  </si>
  <si>
    <t>9 hist_* fields: policy claims / capped cost / exposure / credibility relativity, customer other-line claims, address flood/water/subsidence/storm claims - all claims reported before 1 Jan of the row year</t>
  </si>
  <si>
    <t>SAM 2 richer; both consistent with the 2025 information date</t>
  </si>
  <si>
    <t>SAM 2 Phase 3; WENDY 4 section 2</t>
  </si>
  <si>
    <t>17</t>
  </si>
  <si>
    <t>Open-claim recoveries</t>
  </si>
  <si>
    <t>WENDY 4 only: incurred x (1 - closed recovery ratio) for open own_damage / theft claims</t>
  </si>
  <si>
    <t>Lowers immature 2024 motor cost</t>
  </si>
  <si>
    <t>WENDY 4 Target_Assumptions #1</t>
  </si>
  <si>
    <t>19</t>
  </si>
  <si>
    <t>Cache folder for SAM 2-style data</t>
  </si>
  <si>
    <t>SAM 2 and WENDY 4 SAM02-clean both default to data/sam02; WENDY 4 SAM02-clean writes it without hist_* and with another noise_probe seed</t>
  </si>
  <si>
    <t>Re-runs can overwrite each other's data (Code_Review CR27)</t>
  </si>
  <si>
    <t>4_models_iterwendy04_vsam02clean.R line 33</t>
  </si>
  <si>
    <t>20</t>
  </si>
  <si>
    <t>Engineered / SAM 2 history fields in WENDY 4 SAM02-clean</t>
  </si>
  <si>
    <t>Engineered fields are built but the WENDY 4 workbook does not use them; SAM 2's 9 hist_* fields are NOT built (WENDY 4's 2 hist fields are)</t>
  </si>
  <si>
    <t>Only the cleaning rules differ from WENDY 4</t>
  </si>
  <si>
    <t>WENDY 4 SAM02-clean Phase 3</t>
  </si>
  <si>
    <t>18</t>
  </si>
  <si>
    <t>Outlier single claim</t>
  </si>
  <si>
    <t>WENDY 4 only: limit 2,000,000</t>
  </si>
  <si>
    <t>None (claim cap p99.5)</t>
  </si>
  <si>
    <t>WENDY 4 Target_Assumptions #8</t>
  </si>
  <si>
    <t>iteration</t>
  </si>
  <si>
    <t>purpose</t>
  </si>
  <si>
    <t>fit years</t>
  </si>
  <si>
    <t>scored on</t>
  </si>
  <si>
    <t>split type</t>
  </si>
  <si>
    <t>actual basis</t>
  </si>
  <si>
    <t>metric</t>
  </si>
  <si>
    <t>notes</t>
  </si>
  <si>
    <t>validation</t>
  </si>
  <si>
    <t>2021-2022</t>
  </si>
  <si>
    <t>2023</t>
  </si>
  <si>
    <t>full year</t>
  </si>
  <si>
    <t>reported</t>
  </si>
  <si>
    <t>line D2 (own baseline) + ALL</t>
  </si>
  <si>
    <t>LightGBM early stop: 10% policies of fit years</t>
  </si>
  <si>
    <t>2021-2023</t>
  </si>
  <si>
    <t>2024</t>
  </si>
  <si>
    <t>same</t>
  </si>
  <si>
    <t>final</t>
  </si>
  <si>
    <t>2021-2024</t>
  </si>
  <si>
    <t>2025 test</t>
  </si>
  <si>
    <t>GLM frequency on 250k-row sample</t>
  </si>
  <si>
    <t>tuning</t>
  </si>
  <si>
    <t>2021-2022 (80% policies)</t>
  </si>
  <si>
    <t>2021-2022 (20% policies)</t>
  </si>
  <si>
    <t>policy holdout</t>
  </si>
  <si>
    <t>capped x IBNR target</t>
  </si>
  <si>
    <t>D2</t>
  </si>
  <si>
    <t>600 s, ~10 configs/line</t>
  </si>
  <si>
    <t>Early stop 10% policies</t>
  </si>
  <si>
    <t>as ITER 1</t>
  </si>
  <si>
    <t>2023, 2024</t>
  </si>
  <si>
    <t>D2; blend weight chosen on the same folds</t>
  </si>
  <si>
    <t>2021-2023 (80% policies)</t>
  </si>
  <si>
    <t>2021-2023 (20% policies)</t>
  </si>
  <si>
    <t>peril target</t>
  </si>
  <si>
    <t>D2 per peril</t>
  </si>
  <si>
    <t>900 s for 15 perils</t>
  </si>
  <si>
    <t>D2 per peril and line</t>
  </si>
  <si>
    <t>Only one fold</t>
  </si>
  <si>
    <t>2021</t>
  </si>
  <si>
    <t>2022</t>
  </si>
  <si>
    <t>time fold</t>
  </si>
  <si>
    <t>600 s</t>
  </si>
  <si>
    <t>reported (+ developed)</t>
  </si>
  <si>
    <t>D2, d2_developed</t>
  </si>
  <si>
    <t>rolling and expanding identical for 2023</t>
  </si>
  <si>
    <t>2021-2023 (rolling: 2022-2023)</t>
  </si>
  <si>
    <t>v6 = expanding</t>
  </si>
  <si>
    <t>trend to 2025</t>
  </si>
  <si>
    <t>DEVELOPED (actual / reported share)</t>
  </si>
  <si>
    <t>D2 per peril, line, ALL</t>
  </si>
  <si>
    <t>early stop 10% policies; no tuning</t>
  </si>
  <si>
    <t>2021-2022 (10% scoring + 10% early stop)</t>
  </si>
  <si>
    <t>900 s</t>
  </si>
  <si>
    <t>D2, d2_flat, d2_cal, A/E developed</t>
  </si>
  <si>
    <t>blend weights chosen on these 3 folds</t>
  </si>
  <si>
    <t>level = trended per-peril GLM</t>
  </si>
  <si>
    <t>2021-2024, policy folds 2-5</t>
  </si>
  <si>
    <t>2021-2024, policy fold 1</t>
  </si>
  <si>
    <t>policy-grouped</t>
  </si>
  <si>
    <t>capped / trended targets</t>
  </si>
  <si>
    <t>Poisson / Gamma / Tweedie deviance</t>
  </si>
  <si>
    <t>20 configs per component; config 1 = Model_Spec default</t>
  </si>
  <si>
    <t>method choice</t>
  </si>
  <si>
    <t>2021-2024, 4 of 5 policy folds</t>
  </si>
  <si>
    <t>2021-2024, held-out fold (x5)</t>
  </si>
  <si>
    <t>policy-grouped CV (years mixed)</t>
  </si>
  <si>
    <t>D2 out-of-fold</t>
  </si>
  <si>
    <t>Later years train models scored on earlier years</t>
  </si>
  <si>
    <t>time check</t>
  </si>
  <si>
    <t>D2 per peril / line</t>
  </si>
  <si>
    <t>Same fold as WENDY 4's 2024 fold</t>
  </si>
  <si>
    <t>replication check</t>
  </si>
  <si>
    <t>as WENDY 4</t>
  </si>
  <si>
    <t>AutoML CV</t>
  </si>
  <si>
    <t>phase rows, 4 of 5 policy folds</t>
  </si>
  <si>
    <t>held-out fold (x5)</t>
  </si>
  <si>
    <t>deviance (leaderboard)</t>
  </si>
  <si>
    <t>same folds as WENDY 5</t>
  </si>
  <si>
    <t>comparable with WENDY 4/5 2024</t>
  </si>
  <si>
    <t>resumable per peril x phase</t>
  </si>
  <si>
    <t>900 s (same as SAM 2)</t>
  </si>
  <si>
    <t>replication check passed</t>
  </si>
  <si>
    <t>line</t>
  </si>
  <si>
    <t>peril</t>
  </si>
  <si>
    <t>claims 2021-24 (approx.)</t>
  </si>
  <si>
    <t>WENDY 4 (Model_Spec)</t>
  </si>
  <si>
    <t>motor</t>
  </si>
  <si>
    <t>own_damage</t>
  </si>
  <si>
    <t>line model (no peril split)</t>
  </si>
  <si>
    <t>line model</t>
  </si>
  <si>
    <t>XGB Tweedie on peril row cost, cap p99.9, own IBNR, own tuned params, balance factor</t>
  </si>
  <si>
    <t>line model; peril only enters via IBNR weights</t>
  </si>
  <si>
    <t>freq poisson_gbm (depth 4, eta 0.05, mcw 50); sev gamma_gbm; cap q 0.999; sev trend estimate, freq trend estimate; sev excl. recent yrs 0; Tweedie challenger p 1.5</t>
  </si>
  <si>
    <t>freq GLM on line list x Gamma sev GLM (line SEV list; first 2 factors if &lt; 1,500 claims); LGB + XGB Poisson freq bags (3 seeds) rescaled to GLM level; claim cap p99.5</t>
  </si>
  <si>
    <t>As SAM 2 with frequency IBNR as exposure offset; claim cap 13,005; trend freq -5.4% / sev +8.2%; loading 1.010</t>
  </si>
  <si>
    <t>freq Poisson GBM tuned (20 random configs, default depth 4); sev auto = tuned Gamma GBM (default depth 3) vs Gamma GLM, lower holdout deviance wins; Tweedie challenger tuned (p 1.3-1.8); cap q 0.999, trends as WENDY 4; method by grouped CV</t>
  </si>
  <si>
    <t>As WENDY 4 (Model_Spec unchanged), on SAM 2-cleaned data</t>
  </si>
  <si>
    <t>AutoML Poisson frequency + AutoML Gamma severity (&gt;= 200 claims, else mean); cap q 0.999, sev trend estimate, freq trend estimate; freq_sev only</t>
  </si>
  <si>
    <t>third_party_prop</t>
  </si>
  <si>
    <t>As SAM 2 with frequency IBNR as exposure offset; claim cap 19,750; trend freq -5.3% / sev +7.8%; loading 1.006</t>
  </si>
  <si>
    <t>bodily_injury</t>
  </si>
  <si>
    <t>freq poisson_gbm (depth 3, eta 0.05, mcw 100); sev gamma_glm; cap q 0.995; sev trend estimate, freq trend estimate; sev excl. recent yrs 1; Tweedie challenger p 1.6</t>
  </si>
  <si>
    <t>As SAM 2 with frequency IBNR as exposure offset; claim cap 187,516; trend freq -6.2% / sev +4.5%; loading 1.036; long-tail (2024 dummy)</t>
  </si>
  <si>
    <t>freq Poisson GBM tuned (20 random configs, default depth 3); sev auto = tuned Gamma GBM (default depth 2) vs Gamma GLM, lower holdout deviance wins; Tweedie challenger tuned (p 1.3-1.8); cap q 0.995, trends as WENDY 4; method by grouped CV</t>
  </si>
  <si>
    <t>AutoML Poisson frequency + AutoML Gamma severity (&gt;= 200 claims, else mean); cap q 0.995, sev trend estimate, freq trend estimate; freq_sev only</t>
  </si>
  <si>
    <t>theft</t>
  </si>
  <si>
    <t>freq poisson_gbm (depth 3, eta 0.05, mcw 50); sev gamma_gbm; cap q 0.999; sev trend estimate, freq trend none; sev excl. recent yrs 0; Tweedie challenger p 1.5</t>
  </si>
  <si>
    <t>As SAM 2 with frequency IBNR as exposure offset; claim cap 38,460; trend freq -1.5% / sev +6.4%; loading 1.007</t>
  </si>
  <si>
    <t>freq Poisson GBM tuned (20 random configs, default depth 3); sev auto = tuned Gamma GBM (default depth 3) vs Gamma GLM, lower holdout deviance wins; Tweedie challenger tuned (p 1.3-1.8); cap q 0.999, trends as WENDY 4; method by grouped CV</t>
  </si>
  <si>
    <t>AutoML Poisson frequency + AutoML Gamma severity (&gt;= 200 claims, else mean); cap q 0.999, sev trend estimate, freq trend none; freq_sev only</t>
  </si>
  <si>
    <t>glass_hail</t>
  </si>
  <si>
    <t>As SAM 2 with frequency IBNR as exposure offset; claim cap 5,873; trend freq -1.9% / sev +8.0%; loading 1.006</t>
  </si>
  <si>
    <t>buildings</t>
  </si>
  <si>
    <t>storm</t>
  </si>
  <si>
    <t>As SAM 2 with frequency IBNR as exposure offset; claim cap 19,764; trend freq +0.7% / sev +6.7%; loading 1.009</t>
  </si>
  <si>
    <t>flood</t>
  </si>
  <si>
    <t>freq poisson_gbm (depth 3, eta 0.05, mcw 30); sev gamma_glm; cap q 0.995; sev trend estimate, freq trend none; sev excl. recent yrs 0; Tweedie challenger p 1.6</t>
  </si>
  <si>
    <t>freq GLM on short peril list x Gamma sev GLM (line SEV list; first 2 factors if &lt; 1,500 claims); LGB + XGB Poisson freq bags (3 seeds) rescaled to GLM level; claim cap p99.5</t>
  </si>
  <si>
    <t>As SAM 2 with frequency IBNR as exposure offset; claim cap 208,045; trend freq -2.5% / sev +4.8%; loading 1.008</t>
  </si>
  <si>
    <t>AutoML Poisson frequency + AutoML Gamma severity (&gt;= 200 claims, else mean); cap q 0.995, sev trend estimate, freq trend none; freq_sev only</t>
  </si>
  <si>
    <t>escape_of_water</t>
  </si>
  <si>
    <t>freq poisson_gbm (depth 4, eta 0.05, mcw 50); sev gamma_gbm; cap q 0.999; sev trend estimate, freq trend none; sev excl. recent yrs 0; Tweedie challenger p 1.5</t>
  </si>
  <si>
    <t>As SAM 2 with frequency IBNR as exposure offset; claim cap 34,856; trend freq +0.1% / sev +6.9%; loading 1.007</t>
  </si>
  <si>
    <t>subsidence</t>
  </si>
  <si>
    <t>freq poisson_gbm (depth 3, eta 0.05, mcw 30); sev gamma_glm; cap q 0.995; sev trend estimate, freq trend none; sev excl. recent yrs 1; Tweedie challenger p 1.6</t>
  </si>
  <si>
    <t>As SAM 2 with frequency IBNR as exposure offset; claim cap 138,263; trend freq +0.8% / sev +4.8%; loading 1.001; long-tail (2024 dummy)</t>
  </si>
  <si>
    <t>fire</t>
  </si>
  <si>
    <t>freq poisson_gbm (depth 3, eta 0.05, mcw 30); sev gamma_glm; cap q 0.99; sev trend estimate, freq trend none; sev excl. recent yrs 0; Tweedie challenger p 1.7</t>
  </si>
  <si>
    <t>As SAM 2 with frequency IBNR as exposure offset; claim cap 369,277; trend freq +5.4% / sev -4.8%; loading 1.008</t>
  </si>
  <si>
    <t>freq Poisson GBM tuned (20 random configs, default depth 3); sev auto = tuned Gamma GBM (default depth 2) vs Gamma GLM, lower holdout deviance wins; Tweedie challenger tuned (p 1.3-1.8); cap q 0.99, trends as WENDY 4; method by grouped CV</t>
  </si>
  <si>
    <t>AutoML Poisson frequency + AutoML Gamma severity (&gt;= 200 claims, else mean); cap q 0.99, sev trend estimate, freq trend none; freq_sev only</t>
  </si>
  <si>
    <t>accidental_damage</t>
  </si>
  <si>
    <t>freq poisson_gbm (depth 3, eta 0.05, mcw 30); sev gamma_gbm; cap q 0.999; sev trend estimate, freq trend none; sev excl. recent yrs 0; Tweedie challenger p 1.5</t>
  </si>
  <si>
    <t>As SAM 2 with frequency IBNR as exposure offset; claim cap 6,561; trend freq -0.0% / sev +1.6%; loading 1.006</t>
  </si>
  <si>
    <t>contents</t>
  </si>
  <si>
    <t>As SAM 2 with frequency IBNR as exposure offset; claim cap 23,478; trend freq +1.1% / sev +3.1%; loading 1.008</t>
  </si>
  <si>
    <t>As SAM 2 with frequency IBNR as exposure offset; claim cap 16,953; trend freq -0.1% / sev +1.6%; loading 1.008</t>
  </si>
  <si>
    <t>As SAM 2 with frequency IBNR as exposure offset; claim cap 4,821; trend freq -0.9% / sev +2.5%; loading 1.004</t>
  </si>
  <si>
    <t>As SAM 2 with frequency IBNR as exposure offset; claim cap 60,320; trend freq -2.9% / sev +5.7%; loading 1.009</t>
  </si>
  <si>
    <t>column</t>
  </si>
  <si>
    <t>source</t>
  </si>
  <si>
    <t>ITER1_GLM</t>
  </si>
  <si>
    <t>ITER1_LGB</t>
  </si>
  <si>
    <t>ITER2_XGB</t>
  </si>
  <si>
    <t>SAM1 (G=GLM, L=LGB)</t>
  </si>
  <si>
    <t>W3_XGB (all perils)</t>
  </si>
  <si>
    <t>BEN1_v6</t>
  </si>
  <si>
    <t>SAM2_trees</t>
  </si>
  <si>
    <t>SAM2_GLM_freq (perils)</t>
  </si>
  <si>
    <t>SAM2_GLM_sev</t>
  </si>
  <si>
    <t>W4_own_damage</t>
  </si>
  <si>
    <t>W4_third_party_prop</t>
  </si>
  <si>
    <t>W4_bodily_injury</t>
  </si>
  <si>
    <t>W4_theft</t>
  </si>
  <si>
    <t>W4_glass_hail</t>
  </si>
  <si>
    <t>W5 / W6 / W4-SAM02clean</t>
  </si>
  <si>
    <t>note</t>
  </si>
  <si>
    <t>voluntary_excess</t>
  </si>
  <si>
    <t>policy (all lines)</t>
  </si>
  <si>
    <t>Y</t>
  </si>
  <si>
    <t>G+L</t>
  </si>
  <si>
    <t>all perils</t>
  </si>
  <si>
    <t>B</t>
  </si>
  <si>
    <t>F</t>
  </si>
  <si>
    <t>same as W4</t>
  </si>
  <si>
    <t>Excess as a feature - see Excess_Treatment</t>
  </si>
  <si>
    <t>compulsory_excess</t>
  </si>
  <si>
    <t>L</t>
  </si>
  <si>
    <t>Single value in every line - no signal</t>
  </si>
  <si>
    <t>channel</t>
  </si>
  <si>
    <t>payment_method</t>
  </si>
  <si>
    <t>missed_payments_12m</t>
  </si>
  <si>
    <t>new_business</t>
  </si>
  <si>
    <t>renewal_count</t>
  </si>
  <si>
    <t>BEN 1 caps at training max (2.8% of test above)</t>
  </si>
  <si>
    <t>days_quote_to_inception</t>
  </si>
  <si>
    <t>discount_applied</t>
  </si>
  <si>
    <t>written_premium</t>
  </si>
  <si>
    <t>Current pricing signal - guardrail (circular for a technical price review)</t>
  </si>
  <si>
    <t>driver_age</t>
  </si>
  <si>
    <t>policy (motor)</t>
  </si>
  <si>
    <t>years_licensed</t>
  </si>
  <si>
    <t>ncb_years</t>
  </si>
  <si>
    <t>vehicle_value_group</t>
  </si>
  <si>
    <t>vehicle_age</t>
  </si>
  <si>
    <t>S</t>
  </si>
  <si>
    <t>make_model</t>
  </si>
  <si>
    <t>engine_size_cc</t>
  </si>
  <si>
    <t>body_type</t>
  </si>
  <si>
    <t>transmission</t>
  </si>
  <si>
    <t>seats</t>
  </si>
  <si>
    <t>vehicle_colour</t>
  </si>
  <si>
    <t>fuel_type</t>
  </si>
  <si>
    <t>driver_assist</t>
  </si>
  <si>
    <t>cover_type</t>
  </si>
  <si>
    <t>annual_mileage</t>
  </si>
  <si>
    <t>overnight_parking</t>
  </si>
  <si>
    <t>vehicle_use</t>
  </si>
  <si>
    <t>named_young_driver</t>
  </si>
  <si>
    <t>telematics_opt_in</t>
  </si>
  <si>
    <t>telematics_score</t>
  </si>
  <si>
    <t>occupation</t>
  </si>
  <si>
    <t>customers</t>
  </si>
  <si>
    <t>marital_status</t>
  </si>
  <si>
    <t>household_size</t>
  </si>
  <si>
    <t>credit_band</t>
  </si>
  <si>
    <t>prior_claims_5y</t>
  </si>
  <si>
    <t>licence_points</t>
  </si>
  <si>
    <t>years_at_address</t>
  </si>
  <si>
    <t>customer_since_year</t>
  </si>
  <si>
    <t>2025 value unseen in training (PSI 1.44)</t>
  </si>
  <si>
    <t>email_domain</t>
  </si>
  <si>
    <t>marketing_consent</t>
  </si>
  <si>
    <t>document_preference</t>
  </si>
  <si>
    <t>previous_insurer</t>
  </si>
  <si>
    <t>campaign_code</t>
  </si>
  <si>
    <t>Tracks calendar time</t>
  </si>
  <si>
    <t>branch_id</t>
  </si>
  <si>
    <t>marketing_segment</t>
  </si>
  <si>
    <t>region</t>
  </si>
  <si>
    <t>addresses</t>
  </si>
  <si>
    <t>urban_density</t>
  </si>
  <si>
    <t>flood_zone</t>
  </si>
  <si>
    <t>distance_to_river_km</t>
  </si>
  <si>
    <t>elevation_m</t>
  </si>
  <si>
    <t>soil_type</t>
  </si>
  <si>
    <t>year_built</t>
  </si>
  <si>
    <t>property_type</t>
  </si>
  <si>
    <t>roof_type</t>
  </si>
  <si>
    <t>basement</t>
  </si>
  <si>
    <t>trees_within_5m</t>
  </si>
  <si>
    <t>listed_building</t>
  </si>
  <si>
    <t>bedrooms</t>
  </si>
  <si>
    <t>energy_rating</t>
  </si>
  <si>
    <t>solar_panels</t>
  </si>
  <si>
    <t>hail_days</t>
  </si>
  <si>
    <t>weather (row year)</t>
  </si>
  <si>
    <t>wind_exposure_index</t>
  </si>
  <si>
    <t>freezing_days</t>
  </si>
  <si>
    <t>dry_summer_index</t>
  </si>
  <si>
    <t>wildfire_index</t>
  </si>
  <si>
    <t>rainfall_mm</t>
  </si>
  <si>
    <t>mean_temperature_c</t>
  </si>
  <si>
    <t>customer_age</t>
  </si>
  <si>
    <t>derived (2_clean)</t>
  </si>
  <si>
    <t>start_month</t>
  </si>
  <si>
    <t>years_with_insurer</t>
  </si>
  <si>
    <t>Equals renewal_count on 100% of rows</t>
  </si>
  <si>
    <t>premium_index</t>
  </si>
  <si>
    <t>derived (2_clean, BEN 1 on)</t>
  </si>
  <si>
    <t>Premium / line-year mean; current-pricing signal</t>
  </si>
  <si>
    <t>wx_avg_hail_days</t>
  </si>
  <si>
    <t>wx_avg_wind_exposure_index</t>
  </si>
  <si>
    <t>wx_avg_freezing_days</t>
  </si>
  <si>
    <t>wx_avg_dry_summer_index</t>
  </si>
  <si>
    <t>wx_avg_wildfire_index</t>
  </si>
  <si>
    <t>wx_avg_rainfall_mm</t>
  </si>
  <si>
    <t>wx_avg_mean_temperature_c</t>
  </si>
  <si>
    <t>young_driver</t>
  </si>
  <si>
    <t>engineered (SAM 2)</t>
  </si>
  <si>
    <t>novice_driver</t>
  </si>
  <si>
    <t>licence_ratio</t>
  </si>
  <si>
    <t>telematics_missing</t>
  </si>
  <si>
    <t>noise_probe</t>
  </si>
  <si>
    <t>Random uniform - in SAM 2 final trees</t>
  </si>
  <si>
    <t>hist_pol_n</t>
  </si>
  <si>
    <t>claim history (SAM 2)</t>
  </si>
  <si>
    <t>hist_pol_cost</t>
  </si>
  <si>
    <t>hist_pol_exp</t>
  </si>
  <si>
    <t>hist_pol_rel</t>
  </si>
  <si>
    <t>hist_cust_other_n</t>
  </si>
  <si>
    <t>hist_addr_flood</t>
  </si>
  <si>
    <t>hist_addr_water</t>
  </si>
  <si>
    <t>hist_addr_subs</t>
  </si>
  <si>
    <t>hist_addr_storm</t>
  </si>
  <si>
    <t>hist_policy_claims_prev</t>
  </si>
  <si>
    <t>claim history (WENDY 4)</t>
  </si>
  <si>
    <t>hist_customer_claims_other_lines_prev</t>
  </si>
  <si>
    <t>Features used (count)</t>
  </si>
  <si>
    <t>Counts are all non '-' cells; a GLM drops factors with &lt; 2 usable levels at run time.</t>
  </si>
  <si>
    <t>W4_storm</t>
  </si>
  <si>
    <t>W4_flood</t>
  </si>
  <si>
    <t>W4_escape_of_water</t>
  </si>
  <si>
    <t>W4_subsidence</t>
  </si>
  <si>
    <t>W4_fire</t>
  </si>
  <si>
    <t>W4_accidental_damage</t>
  </si>
  <si>
    <t>storm, escape_of_water, accidental_damage</t>
  </si>
  <si>
    <t>policyholder_age</t>
  </si>
  <si>
    <t>policy (buildings)</t>
  </si>
  <si>
    <t>sum_insured</t>
  </si>
  <si>
    <t>construction_type</t>
  </si>
  <si>
    <t>storm, escape_of_water, fire, accidental_damage</t>
  </si>
  <si>
    <t>occupancy</t>
  </si>
  <si>
    <t>days_unoccupied</t>
  </si>
  <si>
    <t>smoke_alarms</t>
  </si>
  <si>
    <t>accidental_damage_cover</t>
  </si>
  <si>
    <t>mortgage</t>
  </si>
  <si>
    <t>storm, flood, escape_of_water, accidental_damage</t>
  </si>
  <si>
    <t>storm, escape_of_water, subsidence, accidental_damage</t>
  </si>
  <si>
    <t>log_sum_insured</t>
  </si>
  <si>
    <t>flood_score</t>
  </si>
  <si>
    <t>property_age</t>
  </si>
  <si>
    <t>si_per_bedroom</t>
  </si>
  <si>
    <t>subsidence_score</t>
  </si>
  <si>
    <t>theft, escape_of_water, accidental_damage</t>
  </si>
  <si>
    <t>policy (contents)</t>
  </si>
  <si>
    <t>tenure</t>
  </si>
  <si>
    <t>security_level</t>
  </si>
  <si>
    <t>high_value_items</t>
  </si>
  <si>
    <t>works_from_home</t>
  </si>
  <si>
    <t>lodgers</t>
  </si>
  <si>
    <t>bicycle_cover</t>
  </si>
  <si>
    <t>si_per_person</t>
  </si>
  <si>
    <t>hvi_per_10k_si</t>
  </si>
  <si>
    <t>voluntary_excess used in</t>
  </si>
  <si>
    <t>monotone</t>
  </si>
  <si>
    <t>status vs 'excess as feature in every test'</t>
  </si>
  <si>
    <t>all</t>
  </si>
  <si>
    <t>GLM frequency + severity (categorical, 4 levels); LightGBM</t>
  </si>
  <si>
    <t>LightGBM only (feature_cols)</t>
  </si>
  <si>
    <t>Used everywhere</t>
  </si>
  <si>
    <t>XGBoost line model</t>
  </si>
  <si>
    <t>Yes (constant)</t>
  </si>
  <si>
    <t>Used</t>
  </si>
  <si>
    <t>LightGBM only</t>
  </si>
  <si>
    <t>All 15 peril models</t>
  </si>
  <si>
    <t>Excluded (v2+)</t>
  </si>
  <si>
    <t>voluntary_excess -1 (v5+)</t>
  </si>
  <si>
    <t>Used; monotone</t>
  </si>
  <si>
    <t>own_damage B, third_party_prop F, theft B, glass_hail B; bodily_injury NOT used</t>
  </si>
  <si>
    <t>own_damage B, theft B, glass_hail B</t>
  </si>
  <si>
    <t>mono_freq -1</t>
  </si>
  <si>
    <t>GAP: add to bodily_injury (at least F)</t>
  </si>
  <si>
    <t>storm F, flood F, escape_of_water B, subsidence F, fire S, accidental_damage B</t>
  </si>
  <si>
    <t>S on all perils</t>
  </si>
  <si>
    <t>Used (compulsory is constant - drop)</t>
  </si>
  <si>
    <t>theft B, escape_of_water B, accidental_damage B, flood F</t>
  </si>
  <si>
    <t>Frequency GLM (all perils), severity GLM, LGB/XGB trees</t>
  </si>
  <si>
    <t>Trees only</t>
  </si>
  <si>
    <t>Used; consider monotone -1</t>
  </si>
  <si>
    <t>Frequency GLM for storm, escape_of_water, accidental_damage; NOT in fire / flood / subsidence short lists; NOT in severity GLM; trees yes</t>
  </si>
  <si>
    <t>GAP: add to short-list and severity GLMs</t>
  </si>
  <si>
    <t>Frequency GLM for theft, escape_of_water, accidental_damage; NOT in flood short list; NOT in severity GLM; trees yes</t>
  </si>
  <si>
    <t>GAP: add to flood GLM and severity GLM</t>
  </si>
  <si>
    <t>As WENDY 4 workbook (motor bodily_injury still excluded)</t>
  </si>
  <si>
    <t>As WENDY 4 (S/B, constant)</t>
  </si>
  <si>
    <t>GAP: motor bodily_injury</t>
  </si>
  <si>
    <t>As SAM 2: frequency GLM (not in fire / flood / subsidence / contents flood short lists), motor severity GLM, all trees</t>
  </si>
  <si>
    <t>Trees only (constant)</t>
  </si>
  <si>
    <t>Same GAPS as SAM 2 (CR23)</t>
  </si>
  <si>
    <t>As WENDY 4 workbook</t>
  </si>
  <si>
    <t>GAP: motor bodily_injury; excess effect not forced monotone</t>
  </si>
  <si>
    <t>NEXT (standard)</t>
  </si>
  <si>
    <t>voluntary_excess in frequency AND severity of every peril and line model</t>
  </si>
  <si>
    <t>Drop (constant)</t>
  </si>
  <si>
    <t>frequency -1; severity free</t>
  </si>
  <si>
    <t>Decision 22 Oct 2026: excess used as a model feature in all tests (no ground-up rebuild)</t>
  </si>
  <si>
    <t>id</t>
  </si>
  <si>
    <t>script</t>
  </si>
  <si>
    <t>where</t>
  </si>
  <si>
    <t>category</t>
  </si>
  <si>
    <t>severity</t>
  </si>
  <si>
    <t>finding</t>
  </si>
  <si>
    <t>impact</t>
  </si>
  <si>
    <t>recommendation</t>
  </si>
  <si>
    <t>status</t>
  </si>
  <si>
    <t>CR01</t>
  </si>
  <si>
    <t>all 4_models_*</t>
  </si>
  <si>
    <t>d2_tweedie() / metrics()</t>
  </si>
  <si>
    <t>consistency</t>
  </si>
  <si>
    <t>High</t>
  </si>
  <si>
    <t>Local D2 is not defined the same way: ITER 1, ITER 2, SAM 1, WENDY 3, BEN 1, SAM 2 score REPORTED actuals; WENDY 4 scores DEVELOPED actuals; WENDY 3 has 2024 only; SAM 2 adds 2022 and selects on calibrated D2.</t>
  </si>
  <si>
    <t>Local scores cannot be compared across iterations or used as-is to pick the best model per line or peril.</t>
  </si>
  <si>
    <t>One shared scoring harness: same folds (2023, 2024), score both reported and developed actuals, same exposure baseline; re-score every iteration from saved out-of-fold predictions.</t>
  </si>
  <si>
    <t>Partly addressed: WENDY 5/6 write comparison/*.csv on one basis</t>
  </si>
  <si>
    <t>CR02</t>
  </si>
  <si>
    <t>validation loops</t>
  </si>
  <si>
    <t>blending</t>
  </si>
  <si>
    <t>No script writes row-level out-of-fold predictions to disk (only summaries; BEN 1 and SAM 2 keep them in memory).</t>
  </si>
  <si>
    <t>The best-per-peril / best-per-line blend cannot be chosen without re-running every script.</t>
  </si>
  <si>
    <t>Each script writes output/oof/&lt;iteration&gt;_&lt;line&gt;_&lt;valid_year&gt;.parquet: row_id, exposure, actual, actual_dev, pred_&lt;peril&gt;, pred_line.</t>
  </si>
  <si>
    <t>Partly: WENDY 5/6 save test_preds_by_peril; OOF rows still not saved</t>
  </si>
  <si>
    <t>CR03</t>
  </si>
  <si>
    <t>R/2_clean.R + ITER 1-BEN 1</t>
  </si>
  <si>
    <t>y_n_claims</t>
  </si>
  <si>
    <t>target</t>
  </si>
  <si>
    <t>Medium</t>
  </si>
  <si>
    <t>Frequency counts include non-repudiated nil-cost claims; WENDY 4 and SAM 2 count only net &gt; 0.</t>
  </si>
  <si>
    <t>Frequency and severity relativities differ between iterations (total cost unaffected).</t>
  </si>
  <si>
    <t>Standardise on net &gt; 0.</t>
  </si>
  <si>
    <t>Open</t>
  </si>
  <si>
    <t>CR04</t>
  </si>
  <si>
    <t>ITER 1, ITER 2, SAM 1, WENDY 3, BEN 1</t>
  </si>
  <si>
    <t>validation actuals</t>
  </si>
  <si>
    <t>validation bias</t>
  </si>
  <si>
    <t>Targets are IBNR-developed (ultimate) but the 2024 fold is scored on reported cost.</t>
  </si>
  <si>
    <t>Penalises models that predict the right ultimate level; selection drifts to lower-level models.</t>
  </si>
  <si>
    <t>Report D2 on developed actuals as well (WENDY 4 method).</t>
  </si>
  <si>
    <t>CR05</t>
  </si>
  <si>
    <t>4_models_itersam01.R, 4_models.R</t>
  </si>
  <si>
    <t>lines 21-25</t>
  </si>
  <si>
    <t>reproducibility</t>
  </si>
  <si>
    <t>Identical files; ITERATION &lt;- 2 and ITER_DIR = models/iteration_02.</t>
  </si>
  <si>
    <t>Re-running SAM 1 overwrites iteration 2's card and fitted models.</t>
  </si>
  <si>
    <t>Point ITER_DIR to models/sam_iteration_01; delete or archive R/4_models.R.</t>
  </si>
  <si>
    <t>CR06</t>
  </si>
  <si>
    <t>ITER 1, ITER 2, SAM 1, WENDY 3</t>
  </si>
  <si>
    <t>feature_cols()</t>
  </si>
  <si>
    <t>guardrail / drift</t>
  </si>
  <si>
    <t>Trees use written_premium, discount_applied, customer_since_year, campaign_code, years_with_insurer, vehicle_colour, email_domain, marketing fields.</t>
  </si>
  <si>
    <t>Current-pricing circularity and 2025 drift; possibly some public-score signal from written_premium.</t>
  </si>
  <si>
    <t>Use the BEN 1 / WENDY 4 exclusions; keep written_premium only as a labelled challenger.</t>
  </si>
  <si>
    <t>CR07</t>
  </si>
  <si>
    <t>ITER 2, WENDY 3, BEN 1, SAM 2 (XGB)</t>
  </si>
  <si>
    <t>make_xgb_encoder / make_levels / tree_encoder</t>
  </si>
  <si>
    <t>leakage (minor)</t>
  </si>
  <si>
    <t>Low</t>
  </si>
  <si>
    <t>Category order by cost rate uses all training rows incl. the early-stopping holdout.</t>
  </si>
  <si>
    <t>Slightly optimistic early stopping.</t>
  </si>
  <si>
    <t>Compute level order on non-holdout rows.</t>
  </si>
  <si>
    <t>CR08</t>
  </si>
  <si>
    <t>tune_xgb()</t>
  </si>
  <si>
    <t>900 s over 15 perils (~72 s per motor peril, ~45 s per buildings peril); tuning data 2021-23 = fit window of the only fold.</t>
  </si>
  <si>
    <t>Few configurations; noisy parameters; motor lost 0.007 local D2 vs ITER 2.</t>
  </si>
  <si>
    <t>Fixed sensible params (as WENDY 4) or a longer time-fold search.</t>
  </si>
  <si>
    <t>CR09</t>
  </si>
  <si>
    <t>VALID_YEARS &lt;- 2024</t>
  </si>
  <si>
    <t>Single immature fold on reported actuals.</t>
  </si>
  <si>
    <t>Weak evidence for the per-peril vs per-line choice.</t>
  </si>
  <si>
    <t>Use 2023 and 2024 folds.</t>
  </si>
  <si>
    <t>CR10</t>
  </si>
  <si>
    <t>row_dev(how = 'peril')</t>
  </si>
  <si>
    <t>IBNR</t>
  </si>
  <si>
    <t>Per-peril IBNR factor weighted by the row's own peril cost: rows without claims keep factor 1.</t>
  </si>
  <si>
    <t>Right total, but unreported claims become larger claims on existing claimants instead of extra frequency on all rows.</t>
  </si>
  <si>
    <t>Apply IBNR as frequency volume (WENDY 4) or as an expected-cost multiplier.</t>
  </si>
  <si>
    <t>CR11</t>
  </si>
  <si>
    <t>trend_rate()</t>
  </si>
  <si>
    <t>trend</t>
  </si>
  <si>
    <t>Trend fitted on burn incl. 2024 developed by count factors only (open claims not developed); buildings at the +5% clamp.</t>
  </si>
  <si>
    <t>Trend may partly be an immaturity artefact.</t>
  </si>
  <si>
    <t>Sensitivity without 2024, or a 2024 dummy (SAM 2 method).</t>
  </si>
  <si>
    <t>CR12</t>
  </si>
  <si>
    <t>Phase 3 noise_probe</t>
  </si>
  <si>
    <t>features</t>
  </si>
  <si>
    <t>noise_probe (runif) stays in the final tree features; 2025 values are random.</t>
  </si>
  <si>
    <t>Adds random noise to test predictions (size depends on its gain).</t>
  </si>
  <si>
    <t>Drop noise_probe after the importance check, before the final fit.</t>
  </si>
  <si>
    <t>CR13</t>
  </si>
  <si>
    <t>tree_feats()</t>
  </si>
  <si>
    <t>drift</t>
  </si>
  <si>
    <t>Trees keep customer_since_year (2025 unseen), years_with_insurer, compulsory_excess, start_month and uncapped renewal_count.</t>
  </si>
  <si>
    <t>Extrapolation risk for 2025 new business.</t>
  </si>
  <si>
    <t>Apply BEN 1 EDA exclusions and the renewal_count cap.</t>
  </si>
  <si>
    <t>CR14</t>
  </si>
  <si>
    <t>SAM 1, SAM 2</t>
  </si>
  <si>
    <t>ensemble weights / greedy_blend()</t>
  </si>
  <si>
    <t>selection</t>
  </si>
  <si>
    <t>Blend weights chosen on the same folds whose D2 is reported.</t>
  </si>
  <si>
    <t>Local blend D2 is optimistic.</t>
  </si>
  <si>
    <t>Nested choice or a held-back fold.</t>
  </si>
  <si>
    <t>CR15</t>
  </si>
  <si>
    <t>Phase 2 ibnr</t>
  </si>
  <si>
    <t>Per-claim inverse reporting probability with floor 0.05 (weights up to 20x for late-December losses).</t>
  </si>
  <si>
    <t>High variance in 2024 counts for late-reporting perils.</t>
  </si>
  <si>
    <t>Cap weights or use the row reported share.</t>
  </si>
  <si>
    <t>CR16</t>
  </si>
  <si>
    <t>hist_pol_rel (f0)</t>
  </si>
  <si>
    <t>f0 uses all training years.</t>
  </si>
  <si>
    <t>Negligible.</t>
  </si>
  <si>
    <t>Compute per year Y.</t>
  </si>
  <si>
    <t>CR17</t>
  </si>
  <si>
    <t>sections 8-9</t>
  </si>
  <si>
    <t>No replication check; fitted models saved as raw blobs with their own predict_art(), not loadable via model_io.R.</t>
  </si>
  <si>
    <t>Cannot prove the saved models reproduce submission #6.</t>
  </si>
  <si>
    <t>Add reload + re-score check and a model_io type.</t>
  </si>
  <si>
    <t>Fixed in WENDY 5 (replication check); open for WENDY 4 SAM02-clean</t>
  </si>
  <si>
    <t>CR18</t>
  </si>
  <si>
    <t>report_share()</t>
  </si>
  <si>
    <t>Reported share at the row mid-date, not averaged over the row's days.</t>
  </si>
  <si>
    <t>Approximation (largest for long rows late in 2024).</t>
  </si>
  <si>
    <t>Average the ECDF over the row's days.</t>
  </si>
  <si>
    <t>CR19</t>
  </si>
  <si>
    <t>prep_claims()</t>
  </si>
  <si>
    <t>Severity trend = raw mean capped severity by loss year (no mix control).</t>
  </si>
  <si>
    <t>Mix change counted as inflation (clamped -2%..+10%).</t>
  </si>
  <si>
    <t>Year term inside the severity model or mix-standardised trend.</t>
  </si>
  <si>
    <t>CR20</t>
  </si>
  <si>
    <t>outlier_claim_limit</t>
  </si>
  <si>
    <t>large loss</t>
  </si>
  <si>
    <t>Cost above 2,000,000 on one claim is dropped, not loaded back.</t>
  </si>
  <si>
    <t>Slight under-statement of bodily injury (deliberate).</t>
  </si>
  <si>
    <t>Document; test loading the excess over BI.</t>
  </si>
  <si>
    <t>CR21</t>
  </si>
  <si>
    <t>Features_* workbook</t>
  </si>
  <si>
    <t>compulsory_excess used although constant; premium_index and wx_avg_* not in the workbook.</t>
  </si>
  <si>
    <t>No effect / possibly missed signal (premium_index was worth 0.003-0.007 in BEN 1's drop test).</t>
  </si>
  <si>
    <t>Drop compulsory_excess; test premium_index as a challenger.</t>
  </si>
  <si>
    <t>CR22</t>
  </si>
  <si>
    <t>Features_Motor voluntary_excess</t>
  </si>
  <si>
    <t>excess</t>
  </si>
  <si>
    <t>Not used for bodily_injury.</t>
  </si>
  <si>
    <t>Breaks 'excess as a feature in every test'.</t>
  </si>
  <si>
    <t>Set F (or B) for bodily_injury.</t>
  </si>
  <si>
    <t>CR23</t>
  </si>
  <si>
    <t>PERIL_GLM_FEATURES, SEV_FEATURES</t>
  </si>
  <si>
    <t>voluntary_excess missing from fire / flood / subsidence / contents flood frequency GLMs and from buildings / contents severity GLMs.</t>
  </si>
  <si>
    <t>Breaks 'excess as a feature in every test' for the GLM level.</t>
  </si>
  <si>
    <t>Add voluntary_excess.</t>
  </si>
  <si>
    <t>CR24</t>
  </si>
  <si>
    <t>d2_tweedie baseline</t>
  </si>
  <si>
    <t>Baseline = exposure x overall rate; Kaggle may use a flat mean (not confirmed). Only SAM 2 reports both.</t>
  </si>
  <si>
    <t>Level-sensitive conclusions may flip.</t>
  </si>
  <si>
    <t>Report d2 and d2_flat everywhere.</t>
  </si>
  <si>
    <t>CR25</t>
  </si>
  <si>
    <t>ITER 1 / SAM 1</t>
  </si>
  <si>
    <t>make_glm_encoder()</t>
  </si>
  <si>
    <t>documentation</t>
  </si>
  <si>
    <t>Card says '8 exposure quantile bins' but bins are row-count quantiles.</t>
  </si>
  <si>
    <t>Documentation only.</t>
  </si>
  <si>
    <t>Fix wording.</t>
  </si>
  <si>
    <t>CR26</t>
  </si>
  <si>
    <t>docs/</t>
  </si>
  <si>
    <t>~$assumptions_wendy04.xlsx</t>
  </si>
  <si>
    <t>housekeeping</t>
  </si>
  <si>
    <t>Excel lock file in the repo.</t>
  </si>
  <si>
    <t>Clutter.</t>
  </si>
  <si>
    <t>Delete; add ~$* to .gitignore.</t>
  </si>
  <si>
    <t>CR27</t>
  </si>
  <si>
    <t>DATA_DIR (default data/sam02)</t>
  </si>
  <si>
    <t>Writes its own cleaned files into SAM 2's cache folder data/sam02: train/test WITHOUT SAM 2's hist_* fields, a different noise_probe seed, and a claims_pos.parquet with extra columns.</t>
  </si>
  <si>
    <t>A later SAM 2 run with SAM02_REUSE_DATA=1 finds the files and fails (missing hist_*) or uses changed data.</t>
  </si>
  <si>
    <t>Run with SAM02_DATA_DIR=data/sam02_w4 (or change the default) before SAM 2 is re-run.</t>
  </si>
  <si>
    <t>CR28</t>
  </si>
  <si>
    <t>Phase 2 LONG_TAIL_OPEN_SHARE</t>
  </si>
  <si>
    <t>Long-tail threshold 0.25 (SAM 2 uses 0.15); the flag is only logged, WENDY 4 models do not use it.</t>
  </si>
  <si>
    <t>None on predictions; confusing in the log.</t>
  </si>
  <si>
    <t>Drop the long-tail step or align with SAM 2.</t>
  </si>
  <si>
    <t>CR29</t>
  </si>
  <si>
    <t>experiment design</t>
  </si>
  <si>
    <t>interpretation</t>
  </si>
  <si>
    <t>Only the cleaning differs from WENDY 4 (sum_insured /1000 rule, 'missing' fill scope, net &gt; 0 filter before the recovery adjustment).</t>
  </si>
  <si>
    <t>A clean test of cleaning alone, but the expected public change is tiny and may sit inside the noise.</t>
  </si>
  <si>
    <t>Read its public score against a noise threshold; compare per-peril D2 with WENDY 4 on the same folds (developed basis).</t>
  </si>
  <si>
    <t>Done 22 Oct: reported 2024 identical to WENDY 4 - confirm with compare script</t>
  </si>
  <si>
    <t>CR30</t>
  </si>
  <si>
    <t>grouped CV over all years</t>
  </si>
  <si>
    <t>validation design</t>
  </si>
  <si>
    <t>Method choice uses 5 policy-grouped folds that mix years: models trained with 2024 data score 2021 rows, so level and trend are not tested.</t>
  </si>
  <si>
    <t>Choice favours in-sample fit over forecasting 2025; public fell by 0.00035 vs WENDY 4.</t>
  </si>
  <si>
    <t>Keep as a tested scheme, but compare picks with validation_mode = time on the 2024 fold.</t>
  </si>
  <si>
    <t>CR31</t>
  </si>
  <si>
    <t>tune_fold = 1</t>
  </si>
  <si>
    <t>Tuning holdout is a policy fold over all years, scored by component deviance; the 2024 time check then reuses those settings.</t>
  </si>
  <si>
    <t>Time-check D2 slightly optimistic; tuning target is not the Kaggle metric.</t>
  </si>
  <si>
    <t>Optionally tune on a time fold (fit 2021-22 -&gt; 2023).</t>
  </si>
  <si>
    <t>CR32</t>
  </si>
  <si>
    <t>header</t>
  </si>
  <si>
    <t>maintenance</t>
  </si>
  <si>
    <t>wendy_core functions are pasted inline instead of source('R/wendy_core.R') (WENDY 6 sources the file).</t>
  </si>
  <si>
    <t>The two copies can drift, breaking the WENDY 5 vs 6 comparison.</t>
  </si>
  <si>
    <t>Source R/wendy_core.R.</t>
  </si>
  <si>
    <t>CR33</t>
  </si>
  <si>
    <t>sev_model = auto</t>
  </si>
  <si>
    <t>Sparse perils (fire, subsidence, flood) can switch from Gamma GLM to a depth-2 GBM on one holdout fold's deviance.</t>
  </si>
  <si>
    <t>Noisier severity for the heaviest perils.</t>
  </si>
  <si>
    <t>Check chosen sev_type in chosen_method.csv; force GLM if GBM wins by a hair.</t>
  </si>
  <si>
    <t>CR34</t>
  </si>
  <si>
    <t>AutoML time budget</t>
  </si>
  <si>
    <t>max_runtime_secs makes AutoML non-deterministic; no replication check; leaders saved as H2O binaries tied to the H2O version.</t>
  </si>
  <si>
    <t>Submission cannot be regenerated exactly.</t>
  </si>
  <si>
    <t>Keep the submission file + leaders; set automl_max_models for a reproducible re-run.</t>
  </si>
  <si>
    <t>CR35</t>
  </si>
  <si>
    <t>automl_components = freq,sev</t>
  </si>
  <si>
    <t>Tweedie component off, so every peril is freq_sev; the time check only scores, it does not choose.</t>
  </si>
  <si>
    <t>Not a like-for-like with WENDY 5's freq_sev vs Tweedie choice.</t>
  </si>
  <si>
    <t>Compare WENDY 6 with WENDY 5's freq_sev scores, not its chosen mix.</t>
  </si>
  <si>
    <t>CR36</t>
  </si>
  <si>
    <t>automl_monotone = N</t>
  </si>
  <si>
    <t>excess / guardrail</t>
  </si>
  <si>
    <t>Monotone constraints (voluntary_excess -1, ncb -1, ...) are dropped.</t>
  </si>
  <si>
    <t>Excess and NCB relativities can turn the wrong way.</t>
  </si>
  <si>
    <t>Check partial dependence of voluntary_excess and ncb_years on the leaders.</t>
  </si>
  <si>
    <t>CR37</t>
  </si>
  <si>
    <t>comp$freq value</t>
  </si>
  <si>
    <t>Frequency component deviance = leaderboard deviance x mean(volume), an approximation of WENDY 5's per-row count deviance.</t>
  </si>
  <si>
    <t>Small mismatch in the WENDY 5 vs 6 component comparison.</t>
  </si>
  <si>
    <t>Use check_value (computed from out-of-fold predictions) where present.</t>
  </si>
  <si>
    <t>CR38</t>
  </si>
  <si>
    <t>tweedie distribution list</t>
  </si>
  <si>
    <t>API</t>
  </si>
  <si>
    <t>distribution = list(type = 'tweedie', tweedie_power = p) is passed to h2o.automl (only used if 'tweedie' is switched on).</t>
  </si>
  <si>
    <t>I am not certain h2o.automl accepts this form - verify in the H2O docs before enabling.</t>
  </si>
  <si>
    <t>Test with FAST=1 and the Tweedie component on.</t>
  </si>
  <si>
    <t>CR39</t>
  </si>
  <si>
    <t>R/4_models_itersam03.R</t>
  </si>
  <si>
    <t>review</t>
  </si>
  <si>
    <t>Reviewed 22 Oct: a copy of SAM 2 with the frequency IBNR moved into the exposure; everything else is unchanged.</t>
  </si>
  <si>
    <t>SAM 3 vs SAM 2 is a clean one-change test.</t>
  </si>
  <si>
    <t>Done</t>
  </si>
  <si>
    <t>CR40</t>
  </si>
  <si>
    <t>tree_feats(), noise_probe, greedy_blend, ibnr</t>
  </si>
  <si>
    <t>features / drift</t>
  </si>
  <si>
    <t>Confirmed: inherits CR12 (noise_probe in final trees), CR13 (customer_since_year, years_with_insurer, compulsory_excess, uncapped renewal_count), CR14, CR15 (0.05 floor), CR16, CR23 (excess gaps).</t>
  </si>
  <si>
    <t>Same risks as SAM 2 on the current best submission.</t>
  </si>
  <si>
    <t>Fix in a SAM 4 / final blend.</t>
  </si>
  <si>
    <t>CR41</t>
  </si>
  <si>
    <t>fit_freq_glm / fit_bag weights</t>
  </si>
  <si>
    <t>Rate target is the same as SAM 2 (n x f / exposure) - only the weight changes (exposure / f), so immature years count less. Severity was already on observed capped claims in SAM 2.</t>
  </si>
  <si>
    <t>The +0.00022 public gain comes from down-weighting immature 2024 rows, not from a new severity basis.</t>
  </si>
  <si>
    <t>Describe the change this way in the methodology write-up.</t>
  </si>
  <si>
    <t>CR42</t>
  </si>
  <si>
    <t>prepare_fold (y_target), tune_xgb, line Tweedie bags</t>
  </si>
  <si>
    <t>Line Tweedie bags (blend weight 0.1-0.3) and the XGB tuning still use the IBNR-inflated cost target, so the blend mixes two IBNR treatments.</t>
  </si>
  <si>
    <t>Minor inconsistency in the blend.</t>
  </si>
  <si>
    <t>Weight Tweedie targets by exposure / f too, or document.</t>
  </si>
  <si>
    <t>CR43</t>
  </si>
  <si>
    <t>arts$peril_glm$effective_exposure, $ibnr</t>
  </si>
  <si>
    <t>Flags stored on the saved artifact are not read by model_io.R (version in the repo zip); scoring uses full exposure, which is right for ultimate 2025 cost.</t>
  </si>
  <si>
    <t>None today; misleading if someone expects model_io to apply them.</t>
  </si>
  <si>
    <t>Remove the flags or document in model_io.R.</t>
  </si>
  <si>
    <t>CR44</t>
  </si>
  <si>
    <t>SAM 3 / workflow.md</t>
  </si>
  <si>
    <t>XGB_TUNE_SECONDS</t>
  </si>
  <si>
    <t>Workflow says SAM 3 used 'full 900-second XGBoost tuning' but 900 s is also SAM 2's default.</t>
  </si>
  <si>
    <t>Overstates the change unless SAM 2 was run with a shorter budget.</t>
  </si>
  <si>
    <t>Check SAM 2's run log; correct the workflow note.</t>
  </si>
  <si>
    <t>WENDY 7</t>
  </si>
  <si>
    <t>R/4_models_iterwendy07.R (+ R/oof_io.R, R/4_final_wendy07.R)</t>
  </si>
  <si>
    <t>models/wendy_iteration_07/&lt;tag&gt;/ (c4 = final WENDY 7 part)</t>
  </si>
  <si>
    <t>WENDY 4 engine + SAM 3 (line blend)</t>
  </si>
  <si>
    <t>WENDY 4 per-peril freq x sev / Tweedie with chain-ladder IBNR, excess everywhere, 5 bags, BI no trend; 50/50 per line with SAM 3</t>
  </si>
  <si>
    <t>data/clean (R/2_clean.R); SAM 3 part on its own cleaning (data/wendy07_sam03)</t>
  </si>
  <si>
    <t>Chain ladder on reported counts per peril (loss quarter x dev quarter, 2021-24), subsidence = ECDF averaged over row days; one-year backtest 0.999 vs 0.971 for WENDY 4 mid-date</t>
  </si>
  <si>
    <t>Not modelled; BI trend set to none so an uncertain IBNER-driven decline is not extrapolated</t>
  </si>
  <si>
    <t>As WENDY 4 except motor BI freq / sev trend = none</t>
  </si>
  <si>
    <t>voluntary_excess in frequency and severity of every peril (B6)</t>
  </si>
  <si>
    <t>2021-22 -&gt; 2023, 2021-23 -&gt; 2024 (local protocol)</t>
  </si>
  <si>
    <t>reported_raw (primary), reported_adj, developed (A0 share)</t>
  </si>
  <si>
    <t>Mean 2023-24 reported_raw D2 + paired policy bootstrap (2 x SE); IBNR chosen on backtest</t>
  </si>
  <si>
    <t>2021-24, both methods per peril saved (FINAL_METHODS=all)</t>
  </si>
  <si>
    <t>xgboost Poisson / Gamma / Tweedie per peril (5 seed bags) + Gamma GLM severity for sparse perils; SAM 3 blend</t>
  </si>
  <si>
    <t>Passed (saved models reload, max diff 0)</t>
  </si>
  <si>
    <t>WENDY 4 seeds; bag b uses SEED + b and its own policy holdout</t>
  </si>
  <si>
    <t>0.12924 (best)</t>
  </si>
  <si>
    <t>#10 submission_20261022_2135_wendy07_final.csv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</si>
</sst>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charset val="1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vertical="top" wrapText="1"/>
      <protection locked="0"/>
    </xf>
    <xf numFmtId="0" fontId="5" fillId="4" borderId="0" xfId="0" applyFont="1" applyFill="1" applyAlignment="1" applyProtection="1">
      <alignment vertical="top" wrapText="1"/>
      <protection locked="0"/>
    </xf>
    <xf numFmtId="164" fontId="3" fillId="0" borderId="0" xfId="0" applyNumberFormat="1" applyFont="1" applyAlignment="1" applyProtection="1">
      <alignment vertical="top" wrapText="1"/>
      <protection locked="0"/>
    </xf>
    <xf numFmtId="3" fontId="3" fillId="0" borderId="0" xfId="0" applyNumberFormat="1" applyFont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/>
  </sheetViews>
  <sheetFormatPr defaultColWidth="11.44140625" defaultRowHeight="14.4" x14ac:dyDescent="0.3"/>
  <cols>
    <col min="1" max="1" width="26" customWidth="1"/>
    <col min="2" max="2" width="110" customWidth="1"/>
  </cols>
  <sheetData>
    <row r="1" spans="1:2" ht="17.399999999999999" customHeight="1" x14ac:dyDescent="0.3">
      <c r="A1" s="1" t="s">
        <v>0</v>
      </c>
    </row>
    <row r="2" spans="1:2" ht="35.1" customHeight="1" x14ac:dyDescent="0.3">
      <c r="A2" s="2" t="s">
        <v>1</v>
      </c>
      <c r="B2" s="3" t="s">
        <v>2</v>
      </c>
    </row>
    <row r="3" spans="1:2" ht="68.7" customHeight="1" x14ac:dyDescent="0.3">
      <c r="A3" s="2" t="s">
        <v>3</v>
      </c>
      <c r="B3" s="3" t="s">
        <v>4</v>
      </c>
    </row>
    <row r="4" spans="1:2" ht="15" customHeight="1" x14ac:dyDescent="0.3">
      <c r="A4" s="2" t="s">
        <v>5</v>
      </c>
      <c r="B4" s="3" t="s">
        <v>6</v>
      </c>
    </row>
    <row r="5" spans="1:2" ht="23.85" customHeight="1" x14ac:dyDescent="0.3">
      <c r="A5" s="2" t="s">
        <v>7</v>
      </c>
      <c r="B5" s="3" t="s">
        <v>8</v>
      </c>
    </row>
    <row r="6" spans="1:2" ht="23.85" customHeight="1" x14ac:dyDescent="0.3">
      <c r="A6" s="2" t="s">
        <v>9</v>
      </c>
      <c r="B6" s="3" t="s">
        <v>10</v>
      </c>
    </row>
    <row r="7" spans="1:2" ht="35.1" customHeight="1" x14ac:dyDescent="0.3">
      <c r="A7" s="2" t="s">
        <v>11</v>
      </c>
      <c r="B7" s="3" t="s">
        <v>12</v>
      </c>
    </row>
    <row r="8" spans="1:2" ht="23.85" customHeight="1" x14ac:dyDescent="0.3">
      <c r="A8" s="2" t="s">
        <v>13</v>
      </c>
      <c r="B8" s="3" t="s">
        <v>14</v>
      </c>
    </row>
    <row r="9" spans="1:2" ht="23.85" customHeight="1" x14ac:dyDescent="0.3">
      <c r="A9" s="2" t="s">
        <v>15</v>
      </c>
      <c r="B9" s="3" t="s">
        <v>16</v>
      </c>
    </row>
    <row r="10" spans="1:2" ht="23.85" customHeight="1" x14ac:dyDescent="0.3">
      <c r="A10" s="2" t="s">
        <v>17</v>
      </c>
      <c r="B10" s="3" t="s">
        <v>18</v>
      </c>
    </row>
  </sheetData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zoomScaleNormal="100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O1" sqref="O1:O1048576"/>
    </sheetView>
  </sheetViews>
  <sheetFormatPr defaultColWidth="11.44140625" defaultRowHeight="14.4" x14ac:dyDescent="0.3"/>
  <cols>
    <col min="1" max="1" width="16" customWidth="1"/>
    <col min="2" max="2" width="28" customWidth="1"/>
    <col min="3" max="13" width="34" customWidth="1"/>
    <col min="14" max="14" width="30" customWidth="1"/>
  </cols>
  <sheetData>
    <row r="1" spans="1:15" ht="30" customHeight="1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1021</v>
      </c>
      <c r="O1" t="s">
        <v>32</v>
      </c>
    </row>
    <row r="2" spans="1:15" ht="15" customHeight="1" x14ac:dyDescent="0.3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5" ht="35.1" customHeight="1" x14ac:dyDescent="0.3">
      <c r="A3" s="3"/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6" t="s">
        <v>1022</v>
      </c>
    </row>
    <row r="4" spans="1:15" ht="46.35" customHeight="1" x14ac:dyDescent="0.3">
      <c r="A4" s="3"/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6" t="s">
        <v>1023</v>
      </c>
    </row>
    <row r="5" spans="1:15" ht="35.1" customHeight="1" x14ac:dyDescent="0.3">
      <c r="A5" s="3"/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6" t="s">
        <v>1039</v>
      </c>
    </row>
    <row r="6" spans="1:15" ht="23.85" customHeight="1" x14ac:dyDescent="0.3">
      <c r="A6" s="3"/>
      <c r="B6" s="3" t="s">
        <v>70</v>
      </c>
      <c r="C6" s="7">
        <v>0.11904000000000001</v>
      </c>
      <c r="D6" s="7">
        <v>0.12149</v>
      </c>
      <c r="E6" s="7">
        <v>0.11876</v>
      </c>
      <c r="F6" s="7">
        <v>0.12132</v>
      </c>
      <c r="G6" s="7">
        <v>0.12224</v>
      </c>
      <c r="H6" s="7">
        <v>0.12670999999999999</v>
      </c>
      <c r="I6" s="7">
        <v>0.12795999999999999</v>
      </c>
      <c r="J6" s="7">
        <v>0.12636</v>
      </c>
      <c r="K6" s="7">
        <v>0.12817999999999999</v>
      </c>
      <c r="L6" s="7" t="s">
        <v>71</v>
      </c>
      <c r="M6" s="7" t="s">
        <v>72</v>
      </c>
      <c r="N6" s="6" t="s">
        <v>1038</v>
      </c>
    </row>
    <row r="7" spans="1:15" ht="23.85" customHeight="1" x14ac:dyDescent="0.3">
      <c r="A7" s="3"/>
      <c r="B7" s="3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3" t="s">
        <v>82</v>
      </c>
      <c r="L7" s="3" t="s">
        <v>83</v>
      </c>
      <c r="M7" s="3" t="s">
        <v>84</v>
      </c>
      <c r="N7" s="6" t="s">
        <v>1024</v>
      </c>
    </row>
    <row r="8" spans="1:15" ht="68.7" customHeight="1" x14ac:dyDescent="0.3">
      <c r="A8" s="3"/>
      <c r="B8" s="3" t="s">
        <v>85</v>
      </c>
      <c r="C8" s="3" t="s">
        <v>86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91</v>
      </c>
      <c r="I8" s="3" t="s">
        <v>92</v>
      </c>
      <c r="J8" s="3" t="s">
        <v>93</v>
      </c>
      <c r="K8" s="3" t="s">
        <v>94</v>
      </c>
      <c r="L8" s="3" t="s">
        <v>95</v>
      </c>
      <c r="M8" s="3" t="s">
        <v>96</v>
      </c>
      <c r="N8" s="6" t="s">
        <v>1025</v>
      </c>
    </row>
    <row r="9" spans="1:15" ht="15" customHeight="1" x14ac:dyDescent="0.3">
      <c r="A9" s="5" t="s">
        <v>97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 ht="23.85" customHeight="1" x14ac:dyDescent="0.3">
      <c r="A10" s="3"/>
      <c r="B10" s="3" t="s">
        <v>98</v>
      </c>
      <c r="C10" s="3" t="s">
        <v>99</v>
      </c>
      <c r="D10" s="3" t="s">
        <v>100</v>
      </c>
      <c r="E10" s="3" t="s">
        <v>100</v>
      </c>
      <c r="F10" s="3" t="s">
        <v>100</v>
      </c>
      <c r="G10" s="3" t="s">
        <v>101</v>
      </c>
      <c r="H10" s="3" t="s">
        <v>102</v>
      </c>
      <c r="I10" s="3" t="s">
        <v>103</v>
      </c>
      <c r="J10" s="3" t="s">
        <v>99</v>
      </c>
      <c r="K10" s="3" t="s">
        <v>104</v>
      </c>
      <c r="L10" s="3" t="s">
        <v>105</v>
      </c>
      <c r="M10" s="3" t="s">
        <v>99</v>
      </c>
      <c r="N10" s="6" t="s">
        <v>1026</v>
      </c>
    </row>
    <row r="11" spans="1:15" ht="23.85" customHeight="1" x14ac:dyDescent="0.3">
      <c r="A11" s="3"/>
      <c r="B11" s="3" t="s">
        <v>106</v>
      </c>
      <c r="C11" s="3" t="s">
        <v>107</v>
      </c>
      <c r="D11" s="3" t="s">
        <v>108</v>
      </c>
      <c r="E11" s="3" t="s">
        <v>109</v>
      </c>
      <c r="F11" s="3" t="s">
        <v>108</v>
      </c>
      <c r="G11" s="3" t="s">
        <v>108</v>
      </c>
      <c r="H11" s="3" t="s">
        <v>110</v>
      </c>
      <c r="I11" s="3" t="s">
        <v>111</v>
      </c>
      <c r="J11" s="3" t="s">
        <v>110</v>
      </c>
      <c r="K11" s="3" t="s">
        <v>112</v>
      </c>
      <c r="L11" s="3" t="s">
        <v>113</v>
      </c>
      <c r="M11" s="3" t="s">
        <v>110</v>
      </c>
      <c r="N11" s="6"/>
    </row>
    <row r="12" spans="1:15" ht="35.1" customHeight="1" x14ac:dyDescent="0.3">
      <c r="A12" s="3"/>
      <c r="B12" s="3" t="s">
        <v>114</v>
      </c>
      <c r="C12" s="3" t="s">
        <v>115</v>
      </c>
      <c r="D12" s="3" t="s">
        <v>115</v>
      </c>
      <c r="E12" s="3" t="s">
        <v>115</v>
      </c>
      <c r="F12" s="3" t="s">
        <v>115</v>
      </c>
      <c r="G12" s="3" t="s">
        <v>115</v>
      </c>
      <c r="H12" s="3" t="s">
        <v>116</v>
      </c>
      <c r="I12" s="3" t="s">
        <v>115</v>
      </c>
      <c r="J12" s="3" t="s">
        <v>117</v>
      </c>
      <c r="K12" s="3" t="s">
        <v>118</v>
      </c>
      <c r="L12" s="3" t="s">
        <v>119</v>
      </c>
      <c r="M12" s="3" t="s">
        <v>117</v>
      </c>
      <c r="N12" s="6"/>
    </row>
    <row r="13" spans="1:15" ht="23.85" customHeight="1" x14ac:dyDescent="0.3">
      <c r="A13" s="3"/>
      <c r="B13" s="3" t="s">
        <v>120</v>
      </c>
      <c r="C13" s="3" t="s">
        <v>121</v>
      </c>
      <c r="D13" s="3" t="s">
        <v>122</v>
      </c>
      <c r="E13" s="3" t="s">
        <v>122</v>
      </c>
      <c r="F13" s="3" t="s">
        <v>123</v>
      </c>
      <c r="G13" s="3" t="s">
        <v>124</v>
      </c>
      <c r="H13" s="3" t="s">
        <v>125</v>
      </c>
      <c r="I13" s="3" t="s">
        <v>126</v>
      </c>
      <c r="J13" s="3" t="s">
        <v>127</v>
      </c>
      <c r="K13" s="3" t="s">
        <v>128</v>
      </c>
      <c r="L13" s="3" t="s">
        <v>117</v>
      </c>
      <c r="M13" s="3" t="s">
        <v>117</v>
      </c>
      <c r="N13" s="6"/>
    </row>
    <row r="14" spans="1:15" ht="15" customHeight="1" x14ac:dyDescent="0.3">
      <c r="A14" s="5" t="s">
        <v>129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5" ht="23.85" customHeight="1" x14ac:dyDescent="0.3">
      <c r="A15" s="3"/>
      <c r="B15" s="3" t="s">
        <v>130</v>
      </c>
      <c r="C15" s="3" t="s">
        <v>131</v>
      </c>
      <c r="D15" s="3" t="s">
        <v>132</v>
      </c>
      <c r="E15" s="3" t="s">
        <v>109</v>
      </c>
      <c r="F15" s="3" t="s">
        <v>133</v>
      </c>
      <c r="G15" s="3" t="s">
        <v>132</v>
      </c>
      <c r="H15" s="3" t="s">
        <v>134</v>
      </c>
      <c r="I15" s="3" t="s">
        <v>135</v>
      </c>
      <c r="J15" s="3" t="s">
        <v>117</v>
      </c>
      <c r="K15" s="3" t="s">
        <v>136</v>
      </c>
      <c r="L15" s="3" t="s">
        <v>117</v>
      </c>
      <c r="M15" s="3" t="s">
        <v>117</v>
      </c>
      <c r="N15" s="6"/>
    </row>
    <row r="16" spans="1:15" ht="35.1" customHeight="1" x14ac:dyDescent="0.3">
      <c r="A16" s="3"/>
      <c r="B16" s="3" t="s">
        <v>137</v>
      </c>
      <c r="C16" s="3" t="s">
        <v>138</v>
      </c>
      <c r="D16" s="3" t="s">
        <v>139</v>
      </c>
      <c r="E16" s="3" t="s">
        <v>139</v>
      </c>
      <c r="F16" s="3" t="s">
        <v>140</v>
      </c>
      <c r="G16" s="3" t="s">
        <v>141</v>
      </c>
      <c r="H16" s="3" t="s">
        <v>142</v>
      </c>
      <c r="I16" s="3" t="s">
        <v>143</v>
      </c>
      <c r="J16" s="3" t="s">
        <v>144</v>
      </c>
      <c r="K16" s="3" t="s">
        <v>145</v>
      </c>
      <c r="L16" s="3" t="s">
        <v>117</v>
      </c>
      <c r="M16" s="3" t="s">
        <v>146</v>
      </c>
      <c r="N16" s="6"/>
    </row>
    <row r="17" spans="1:14" ht="90.9" customHeight="1" x14ac:dyDescent="0.3">
      <c r="A17" s="3"/>
      <c r="B17" s="3" t="s">
        <v>147</v>
      </c>
      <c r="C17" s="3" t="s">
        <v>148</v>
      </c>
      <c r="D17" s="3" t="s">
        <v>139</v>
      </c>
      <c r="E17" s="3" t="s">
        <v>139</v>
      </c>
      <c r="F17" s="3" t="s">
        <v>149</v>
      </c>
      <c r="G17" s="3" t="s">
        <v>150</v>
      </c>
      <c r="H17" s="3" t="s">
        <v>151</v>
      </c>
      <c r="I17" s="3" t="s">
        <v>152</v>
      </c>
      <c r="J17" s="3" t="s">
        <v>153</v>
      </c>
      <c r="K17" s="3" t="s">
        <v>154</v>
      </c>
      <c r="L17" s="3" t="s">
        <v>117</v>
      </c>
      <c r="M17" s="3" t="s">
        <v>117</v>
      </c>
      <c r="N17" s="6" t="s">
        <v>1027</v>
      </c>
    </row>
    <row r="18" spans="1:14" ht="46.35" customHeight="1" x14ac:dyDescent="0.3">
      <c r="A18" s="3"/>
      <c r="B18" s="3" t="s">
        <v>155</v>
      </c>
      <c r="C18" s="3" t="s">
        <v>156</v>
      </c>
      <c r="D18" s="3" t="s">
        <v>156</v>
      </c>
      <c r="E18" s="3" t="s">
        <v>156</v>
      </c>
      <c r="F18" s="3" t="s">
        <v>156</v>
      </c>
      <c r="G18" s="3" t="s">
        <v>156</v>
      </c>
      <c r="H18" s="3" t="s">
        <v>157</v>
      </c>
      <c r="I18" s="3" t="s">
        <v>158</v>
      </c>
      <c r="J18" s="3" t="s">
        <v>117</v>
      </c>
      <c r="K18" s="3" t="s">
        <v>159</v>
      </c>
      <c r="L18" s="3" t="s">
        <v>117</v>
      </c>
      <c r="M18" s="3" t="s">
        <v>117</v>
      </c>
      <c r="N18" s="6" t="s">
        <v>1028</v>
      </c>
    </row>
    <row r="19" spans="1:14" ht="46.35" customHeight="1" x14ac:dyDescent="0.3">
      <c r="A19" s="3"/>
      <c r="B19" s="3" t="s">
        <v>160</v>
      </c>
      <c r="C19" s="3" t="s">
        <v>156</v>
      </c>
      <c r="D19" s="3" t="s">
        <v>156</v>
      </c>
      <c r="E19" s="3" t="s">
        <v>156</v>
      </c>
      <c r="F19" s="3" t="s">
        <v>156</v>
      </c>
      <c r="G19" s="3" t="s">
        <v>161</v>
      </c>
      <c r="H19" s="3" t="s">
        <v>162</v>
      </c>
      <c r="I19" s="3" t="s">
        <v>163</v>
      </c>
      <c r="J19" s="3" t="s">
        <v>164</v>
      </c>
      <c r="K19" s="3" t="s">
        <v>165</v>
      </c>
      <c r="L19" s="3" t="s">
        <v>117</v>
      </c>
      <c r="M19" s="3" t="s">
        <v>146</v>
      </c>
      <c r="N19" s="6" t="s">
        <v>1029</v>
      </c>
    </row>
    <row r="20" spans="1:14" ht="23.85" customHeight="1" x14ac:dyDescent="0.3">
      <c r="A20" s="3"/>
      <c r="B20" s="3" t="s">
        <v>166</v>
      </c>
      <c r="C20" s="3" t="s">
        <v>167</v>
      </c>
      <c r="D20" s="3" t="s">
        <v>168</v>
      </c>
      <c r="E20" s="3" t="s">
        <v>168</v>
      </c>
      <c r="F20" s="3" t="s">
        <v>168</v>
      </c>
      <c r="G20" s="3" t="s">
        <v>169</v>
      </c>
      <c r="H20" s="3" t="s">
        <v>170</v>
      </c>
      <c r="I20" s="3" t="s">
        <v>171</v>
      </c>
      <c r="J20" s="3" t="s">
        <v>172</v>
      </c>
      <c r="K20" s="3" t="s">
        <v>173</v>
      </c>
      <c r="L20" s="3" t="s">
        <v>174</v>
      </c>
      <c r="M20" s="3" t="s">
        <v>175</v>
      </c>
      <c r="N20" s="6" t="s">
        <v>1030</v>
      </c>
    </row>
    <row r="21" spans="1:14" ht="23.85" customHeight="1" x14ac:dyDescent="0.3">
      <c r="A21" s="5" t="s">
        <v>176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35.1" customHeight="1" x14ac:dyDescent="0.3">
      <c r="A22" s="3"/>
      <c r="B22" s="3" t="s">
        <v>177</v>
      </c>
      <c r="C22" s="3" t="s">
        <v>178</v>
      </c>
      <c r="D22" s="3" t="s">
        <v>139</v>
      </c>
      <c r="E22" s="3" t="s">
        <v>139</v>
      </c>
      <c r="F22" s="3" t="s">
        <v>179</v>
      </c>
      <c r="G22" s="3" t="s">
        <v>180</v>
      </c>
      <c r="H22" s="3" t="s">
        <v>178</v>
      </c>
      <c r="I22" s="3" t="s">
        <v>181</v>
      </c>
      <c r="J22" s="3" t="s">
        <v>182</v>
      </c>
      <c r="K22" s="3" t="s">
        <v>181</v>
      </c>
      <c r="L22" s="3" t="s">
        <v>183</v>
      </c>
      <c r="M22" s="3" t="s">
        <v>184</v>
      </c>
      <c r="N22" s="6" t="s">
        <v>1031</v>
      </c>
    </row>
    <row r="23" spans="1:14" ht="23.85" customHeight="1" x14ac:dyDescent="0.3">
      <c r="A23" s="3"/>
      <c r="B23" s="3" t="s">
        <v>185</v>
      </c>
      <c r="C23" s="3" t="s">
        <v>186</v>
      </c>
      <c r="D23" s="3" t="s">
        <v>187</v>
      </c>
      <c r="E23" s="3" t="s">
        <v>187</v>
      </c>
      <c r="F23" s="3" t="s">
        <v>187</v>
      </c>
      <c r="G23" s="3" t="s">
        <v>188</v>
      </c>
      <c r="H23" s="3" t="s">
        <v>189</v>
      </c>
      <c r="I23" s="3" t="s">
        <v>190</v>
      </c>
      <c r="J23" s="3" t="s">
        <v>191</v>
      </c>
      <c r="K23" s="3" t="s">
        <v>192</v>
      </c>
      <c r="L23" s="3" t="s">
        <v>191</v>
      </c>
      <c r="M23" s="3" t="s">
        <v>191</v>
      </c>
      <c r="N23" s="6" t="s">
        <v>1032</v>
      </c>
    </row>
    <row r="24" spans="1:14" ht="23.85" customHeight="1" x14ac:dyDescent="0.3">
      <c r="A24" s="3"/>
      <c r="B24" s="3" t="s">
        <v>193</v>
      </c>
      <c r="C24" s="3" t="s">
        <v>194</v>
      </c>
      <c r="D24" s="3" t="s">
        <v>195</v>
      </c>
      <c r="E24" s="3" t="s">
        <v>196</v>
      </c>
      <c r="F24" s="3" t="s">
        <v>195</v>
      </c>
      <c r="G24" s="3" t="s">
        <v>195</v>
      </c>
      <c r="H24" s="3" t="s">
        <v>197</v>
      </c>
      <c r="I24" s="3" t="s">
        <v>198</v>
      </c>
      <c r="J24" s="3" t="s">
        <v>197</v>
      </c>
      <c r="K24" s="3" t="s">
        <v>199</v>
      </c>
      <c r="L24" s="3" t="s">
        <v>195</v>
      </c>
      <c r="M24" s="3" t="s">
        <v>200</v>
      </c>
      <c r="N24" s="6"/>
    </row>
    <row r="25" spans="1:14" ht="35.1" customHeight="1" x14ac:dyDescent="0.3">
      <c r="A25" s="3"/>
      <c r="B25" s="3" t="s">
        <v>201</v>
      </c>
      <c r="C25" s="3" t="s">
        <v>202</v>
      </c>
      <c r="D25" s="3" t="s">
        <v>203</v>
      </c>
      <c r="E25" s="3" t="s">
        <v>156</v>
      </c>
      <c r="F25" s="3" t="s">
        <v>204</v>
      </c>
      <c r="G25" s="3" t="s">
        <v>205</v>
      </c>
      <c r="H25" s="3" t="s">
        <v>206</v>
      </c>
      <c r="I25" s="3" t="s">
        <v>207</v>
      </c>
      <c r="J25" s="3" t="s">
        <v>208</v>
      </c>
      <c r="K25" s="3" t="s">
        <v>209</v>
      </c>
      <c r="L25" s="3" t="s">
        <v>206</v>
      </c>
      <c r="M25" s="3" t="s">
        <v>210</v>
      </c>
      <c r="N25" s="6"/>
    </row>
    <row r="26" spans="1:14" ht="46.35" customHeight="1" x14ac:dyDescent="0.3">
      <c r="A26" s="3"/>
      <c r="B26" s="3" t="s">
        <v>211</v>
      </c>
      <c r="C26" s="3" t="s">
        <v>212</v>
      </c>
      <c r="D26" s="3" t="s">
        <v>213</v>
      </c>
      <c r="E26" s="3" t="s">
        <v>214</v>
      </c>
      <c r="F26" s="3" t="s">
        <v>215</v>
      </c>
      <c r="G26" s="3" t="s">
        <v>216</v>
      </c>
      <c r="H26" s="3" t="s">
        <v>217</v>
      </c>
      <c r="I26" s="3" t="s">
        <v>218</v>
      </c>
      <c r="J26" s="3" t="s">
        <v>219</v>
      </c>
      <c r="K26" s="3" t="s">
        <v>220</v>
      </c>
      <c r="L26" s="3" t="s">
        <v>221</v>
      </c>
      <c r="M26" s="3" t="s">
        <v>222</v>
      </c>
      <c r="N26" s="6" t="s">
        <v>1033</v>
      </c>
    </row>
    <row r="27" spans="1:14" ht="15" customHeight="1" x14ac:dyDescent="0.3">
      <c r="A27" s="3"/>
      <c r="B27" s="3" t="s">
        <v>223</v>
      </c>
      <c r="C27" s="3" t="s">
        <v>224</v>
      </c>
      <c r="D27" s="3" t="s">
        <v>224</v>
      </c>
      <c r="E27" s="3" t="s">
        <v>224</v>
      </c>
      <c r="F27" s="3" t="s">
        <v>224</v>
      </c>
      <c r="G27" s="3" t="s">
        <v>225</v>
      </c>
      <c r="H27" s="3" t="s">
        <v>224</v>
      </c>
      <c r="I27" s="3" t="s">
        <v>224</v>
      </c>
      <c r="J27" s="3" t="s">
        <v>224</v>
      </c>
      <c r="K27" s="3" t="s">
        <v>224</v>
      </c>
      <c r="L27" s="3" t="s">
        <v>224</v>
      </c>
      <c r="M27" s="3" t="s">
        <v>224</v>
      </c>
      <c r="N27" s="6" t="s">
        <v>1034</v>
      </c>
    </row>
    <row r="28" spans="1:14" ht="15" customHeight="1" x14ac:dyDescent="0.3">
      <c r="A28" s="5" t="s">
        <v>226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35.1" customHeight="1" x14ac:dyDescent="0.3">
      <c r="A29" s="3"/>
      <c r="B29" s="3" t="s">
        <v>227</v>
      </c>
      <c r="C29" s="3" t="s">
        <v>228</v>
      </c>
      <c r="D29" s="3" t="s">
        <v>229</v>
      </c>
      <c r="E29" s="3" t="s">
        <v>230</v>
      </c>
      <c r="F29" s="3" t="s">
        <v>231</v>
      </c>
      <c r="G29" s="3" t="s">
        <v>232</v>
      </c>
      <c r="H29" s="3" t="s">
        <v>233</v>
      </c>
      <c r="I29" s="3" t="s">
        <v>234</v>
      </c>
      <c r="J29" s="3" t="s">
        <v>235</v>
      </c>
      <c r="K29" s="3" t="s">
        <v>236</v>
      </c>
      <c r="L29" s="3" t="s">
        <v>174</v>
      </c>
      <c r="M29" s="3" t="s">
        <v>237</v>
      </c>
      <c r="N29" s="6" t="s">
        <v>1035</v>
      </c>
    </row>
    <row r="30" spans="1:14" ht="23.85" customHeight="1" x14ac:dyDescent="0.3">
      <c r="A30" s="3"/>
      <c r="B30" s="3" t="s">
        <v>238</v>
      </c>
      <c r="C30" s="3" t="s">
        <v>239</v>
      </c>
      <c r="D30" s="3" t="s">
        <v>240</v>
      </c>
      <c r="E30" s="3" t="s">
        <v>109</v>
      </c>
      <c r="F30" s="3" t="s">
        <v>241</v>
      </c>
      <c r="G30" s="3" t="s">
        <v>242</v>
      </c>
      <c r="H30" s="3" t="s">
        <v>243</v>
      </c>
      <c r="I30" s="3" t="s">
        <v>244</v>
      </c>
      <c r="J30" s="3" t="s">
        <v>117</v>
      </c>
      <c r="K30" s="3" t="s">
        <v>245</v>
      </c>
      <c r="L30" s="3" t="s">
        <v>117</v>
      </c>
      <c r="M30" s="3" t="s">
        <v>246</v>
      </c>
      <c r="N30" s="6"/>
    </row>
    <row r="31" spans="1:14" ht="35.1" customHeight="1" x14ac:dyDescent="0.3">
      <c r="A31" s="3"/>
      <c r="B31" s="3" t="s">
        <v>247</v>
      </c>
      <c r="C31" s="3" t="s">
        <v>156</v>
      </c>
      <c r="D31" s="3" t="s">
        <v>156</v>
      </c>
      <c r="E31" s="3" t="s">
        <v>156</v>
      </c>
      <c r="F31" s="3" t="s">
        <v>156</v>
      </c>
      <c r="G31" s="3" t="s">
        <v>248</v>
      </c>
      <c r="H31" s="3" t="s">
        <v>249</v>
      </c>
      <c r="I31" s="3" t="s">
        <v>250</v>
      </c>
      <c r="J31" s="3" t="s">
        <v>251</v>
      </c>
      <c r="K31" s="3" t="s">
        <v>136</v>
      </c>
      <c r="L31" s="3" t="s">
        <v>251</v>
      </c>
      <c r="M31" s="3" t="s">
        <v>252</v>
      </c>
      <c r="N31" s="6"/>
    </row>
    <row r="32" spans="1:14" ht="23.85" customHeight="1" x14ac:dyDescent="0.3">
      <c r="A32" s="3"/>
      <c r="B32" s="3" t="s">
        <v>253</v>
      </c>
      <c r="C32" s="3" t="s">
        <v>254</v>
      </c>
      <c r="D32" s="3" t="s">
        <v>254</v>
      </c>
      <c r="E32" s="3" t="s">
        <v>254</v>
      </c>
      <c r="F32" s="3" t="s">
        <v>255</v>
      </c>
      <c r="G32" s="3" t="s">
        <v>254</v>
      </c>
      <c r="H32" s="3" t="s">
        <v>256</v>
      </c>
      <c r="I32" s="3" t="s">
        <v>257</v>
      </c>
      <c r="J32" s="3" t="s">
        <v>258</v>
      </c>
      <c r="K32" s="3" t="s">
        <v>257</v>
      </c>
      <c r="L32" s="3" t="s">
        <v>174</v>
      </c>
      <c r="M32" s="3" t="s">
        <v>259</v>
      </c>
      <c r="N32" s="6"/>
    </row>
    <row r="33" spans="1:14" ht="57.45" customHeight="1" x14ac:dyDescent="0.3">
      <c r="A33" s="3"/>
      <c r="B33" s="3" t="s">
        <v>260</v>
      </c>
      <c r="C33" s="3" t="s">
        <v>261</v>
      </c>
      <c r="D33" s="3" t="s">
        <v>262</v>
      </c>
      <c r="E33" s="3" t="s">
        <v>109</v>
      </c>
      <c r="F33" s="3" t="s">
        <v>262</v>
      </c>
      <c r="G33" s="3" t="s">
        <v>263</v>
      </c>
      <c r="H33" s="3" t="s">
        <v>264</v>
      </c>
      <c r="I33" s="3" t="s">
        <v>265</v>
      </c>
      <c r="J33" s="3" t="s">
        <v>266</v>
      </c>
      <c r="K33" s="3" t="s">
        <v>267</v>
      </c>
      <c r="L33" s="3" t="s">
        <v>268</v>
      </c>
      <c r="M33" s="3" t="s">
        <v>266</v>
      </c>
      <c r="N33" s="6"/>
    </row>
    <row r="34" spans="1:14" ht="15" customHeight="1" x14ac:dyDescent="0.3">
      <c r="A34" s="5" t="s">
        <v>269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23.85" customHeight="1" x14ac:dyDescent="0.3">
      <c r="A35" s="3"/>
      <c r="B35" s="3" t="s">
        <v>270</v>
      </c>
      <c r="C35" s="3" t="s">
        <v>271</v>
      </c>
      <c r="D35" s="3" t="s">
        <v>272</v>
      </c>
      <c r="E35" s="3" t="s">
        <v>272</v>
      </c>
      <c r="F35" s="3" t="s">
        <v>272</v>
      </c>
      <c r="G35" s="3" t="s">
        <v>272</v>
      </c>
      <c r="H35" s="3" t="s">
        <v>273</v>
      </c>
      <c r="I35" s="3" t="s">
        <v>272</v>
      </c>
      <c r="J35" s="3" t="s">
        <v>274</v>
      </c>
      <c r="K35" s="3" t="s">
        <v>272</v>
      </c>
      <c r="L35" s="3" t="s">
        <v>273</v>
      </c>
      <c r="M35" s="3" t="s">
        <v>275</v>
      </c>
      <c r="N35" s="6" t="s">
        <v>1036</v>
      </c>
    </row>
    <row r="36" spans="1:14" ht="23.85" customHeight="1" x14ac:dyDescent="0.3">
      <c r="A36" s="3"/>
      <c r="B36" s="3" t="s">
        <v>276</v>
      </c>
      <c r="C36" s="3" t="s">
        <v>277</v>
      </c>
      <c r="D36" s="3" t="s">
        <v>278</v>
      </c>
      <c r="E36" s="3" t="s">
        <v>277</v>
      </c>
      <c r="F36" s="3" t="s">
        <v>279</v>
      </c>
      <c r="G36" s="3" t="s">
        <v>280</v>
      </c>
      <c r="H36" s="3" t="s">
        <v>281</v>
      </c>
      <c r="I36" s="3" t="s">
        <v>282</v>
      </c>
      <c r="J36" s="3" t="s">
        <v>283</v>
      </c>
      <c r="K36" s="3" t="s">
        <v>284</v>
      </c>
      <c r="L36" s="3" t="s">
        <v>281</v>
      </c>
      <c r="M36" s="3" t="s">
        <v>285</v>
      </c>
      <c r="N36" s="6" t="s">
        <v>1037</v>
      </c>
    </row>
  </sheetData>
  <autoFilter ref="A1:N36" xr:uid="{00000000-0009-0000-0000-000001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1" width="5" customWidth="1"/>
    <col min="2" max="2" width="32" customWidth="1"/>
    <col min="3" max="4" width="60" customWidth="1"/>
    <col min="5" max="5" width="36" customWidth="1"/>
    <col min="6" max="6" width="26" customWidth="1"/>
  </cols>
  <sheetData>
    <row r="1" spans="1:6" ht="30" customHeight="1" x14ac:dyDescent="0.3">
      <c r="A1" s="4" t="s">
        <v>286</v>
      </c>
      <c r="B1" s="4" t="s">
        <v>287</v>
      </c>
      <c r="C1" s="4" t="s">
        <v>288</v>
      </c>
      <c r="D1" s="4" t="s">
        <v>289</v>
      </c>
      <c r="E1" s="4" t="s">
        <v>290</v>
      </c>
      <c r="F1" s="4" t="s">
        <v>291</v>
      </c>
    </row>
    <row r="2" spans="1:6" ht="15" customHeight="1" x14ac:dyDescent="0.3">
      <c r="A2" s="3" t="s">
        <v>292</v>
      </c>
      <c r="B2" s="3" t="s">
        <v>293</v>
      </c>
      <c r="C2" s="3" t="s">
        <v>294</v>
      </c>
      <c r="D2" s="3" t="s">
        <v>295</v>
      </c>
      <c r="E2" s="3" t="s">
        <v>139</v>
      </c>
      <c r="F2" s="3" t="s">
        <v>296</v>
      </c>
    </row>
    <row r="3" spans="1:6" ht="15" customHeight="1" x14ac:dyDescent="0.3">
      <c r="A3" s="3" t="s">
        <v>297</v>
      </c>
      <c r="B3" s="3" t="s">
        <v>298</v>
      </c>
      <c r="C3" s="3" t="s">
        <v>299</v>
      </c>
      <c r="D3" s="3" t="s">
        <v>300</v>
      </c>
      <c r="E3" s="3" t="s">
        <v>301</v>
      </c>
      <c r="F3" s="3" t="s">
        <v>302</v>
      </c>
    </row>
    <row r="4" spans="1:6" ht="15" customHeight="1" x14ac:dyDescent="0.3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</row>
    <row r="5" spans="1:6" ht="23.85" customHeight="1" x14ac:dyDescent="0.3">
      <c r="A5" s="3" t="s">
        <v>309</v>
      </c>
      <c r="B5" s="3" t="s">
        <v>310</v>
      </c>
      <c r="C5" s="3" t="s">
        <v>311</v>
      </c>
      <c r="D5" s="3" t="s">
        <v>312</v>
      </c>
      <c r="E5" s="3" t="s">
        <v>139</v>
      </c>
      <c r="F5" s="3" t="s">
        <v>313</v>
      </c>
    </row>
    <row r="6" spans="1:6" ht="15" customHeight="1" x14ac:dyDescent="0.3">
      <c r="A6" s="3" t="s">
        <v>314</v>
      </c>
      <c r="B6" s="3" t="s">
        <v>315</v>
      </c>
      <c r="C6" s="3" t="s">
        <v>316</v>
      </c>
      <c r="D6" s="3" t="s">
        <v>139</v>
      </c>
      <c r="E6" s="3" t="s">
        <v>139</v>
      </c>
      <c r="F6" s="3" t="s">
        <v>317</v>
      </c>
    </row>
    <row r="7" spans="1:6" ht="15" customHeight="1" x14ac:dyDescent="0.3">
      <c r="A7" s="3" t="s">
        <v>318</v>
      </c>
      <c r="B7" s="3" t="s">
        <v>319</v>
      </c>
      <c r="C7" s="3" t="s">
        <v>320</v>
      </c>
      <c r="D7" s="3" t="s">
        <v>320</v>
      </c>
      <c r="E7" s="3" t="s">
        <v>139</v>
      </c>
      <c r="F7" s="3" t="s">
        <v>321</v>
      </c>
    </row>
    <row r="8" spans="1:6" ht="15" customHeight="1" x14ac:dyDescent="0.3">
      <c r="A8" s="3" t="s">
        <v>322</v>
      </c>
      <c r="B8" s="3" t="s">
        <v>323</v>
      </c>
      <c r="C8" s="3" t="s">
        <v>324</v>
      </c>
      <c r="D8" s="3" t="s">
        <v>325</v>
      </c>
      <c r="E8" s="3" t="s">
        <v>139</v>
      </c>
      <c r="F8" s="3" t="s">
        <v>326</v>
      </c>
    </row>
    <row r="9" spans="1:6" ht="15" customHeight="1" x14ac:dyDescent="0.3">
      <c r="A9" s="3" t="s">
        <v>327</v>
      </c>
      <c r="B9" s="3" t="s">
        <v>328</v>
      </c>
      <c r="C9" s="3" t="s">
        <v>320</v>
      </c>
      <c r="D9" s="3" t="s">
        <v>320</v>
      </c>
      <c r="E9" s="3" t="s">
        <v>139</v>
      </c>
      <c r="F9" s="3" t="s">
        <v>329</v>
      </c>
    </row>
    <row r="10" spans="1:6" ht="15" customHeight="1" x14ac:dyDescent="0.3">
      <c r="A10" s="3" t="s">
        <v>330</v>
      </c>
      <c r="B10" s="3" t="s">
        <v>331</v>
      </c>
      <c r="C10" s="3" t="s">
        <v>332</v>
      </c>
      <c r="D10" s="3" t="s">
        <v>333</v>
      </c>
      <c r="E10" s="3" t="s">
        <v>139</v>
      </c>
      <c r="F10" s="3" t="s">
        <v>334</v>
      </c>
    </row>
    <row r="11" spans="1:6" ht="15" customHeight="1" x14ac:dyDescent="0.3">
      <c r="A11" s="3" t="s">
        <v>335</v>
      </c>
      <c r="B11" s="3" t="s">
        <v>336</v>
      </c>
      <c r="C11" s="3" t="s">
        <v>337</v>
      </c>
      <c r="D11" s="3" t="s">
        <v>338</v>
      </c>
      <c r="E11" s="3" t="s">
        <v>139</v>
      </c>
      <c r="F11" s="3" t="s">
        <v>339</v>
      </c>
    </row>
    <row r="12" spans="1:6" ht="23.85" customHeight="1" x14ac:dyDescent="0.3">
      <c r="A12" s="3" t="s">
        <v>340</v>
      </c>
      <c r="B12" s="3" t="s">
        <v>341</v>
      </c>
      <c r="C12" s="3" t="s">
        <v>342</v>
      </c>
      <c r="D12" s="3" t="s">
        <v>343</v>
      </c>
      <c r="E12" s="3" t="s">
        <v>344</v>
      </c>
      <c r="F12" s="3" t="s">
        <v>345</v>
      </c>
    </row>
    <row r="13" spans="1:6" ht="15" customHeight="1" x14ac:dyDescent="0.3">
      <c r="A13" s="3" t="s">
        <v>346</v>
      </c>
      <c r="B13" s="3" t="s">
        <v>347</v>
      </c>
      <c r="C13" s="3" t="s">
        <v>348</v>
      </c>
      <c r="D13" s="3" t="s">
        <v>349</v>
      </c>
      <c r="E13" s="3" t="s">
        <v>350</v>
      </c>
      <c r="F13" s="3" t="s">
        <v>317</v>
      </c>
    </row>
    <row r="14" spans="1:6" ht="15" customHeight="1" x14ac:dyDescent="0.3">
      <c r="A14" s="3" t="s">
        <v>351</v>
      </c>
      <c r="B14" s="3" t="s">
        <v>352</v>
      </c>
      <c r="C14" s="3" t="s">
        <v>353</v>
      </c>
      <c r="D14" s="3" t="s">
        <v>139</v>
      </c>
      <c r="E14" s="3" t="s">
        <v>139</v>
      </c>
      <c r="F14" s="3" t="s">
        <v>354</v>
      </c>
    </row>
    <row r="15" spans="1:6" ht="35.1" customHeight="1" x14ac:dyDescent="0.3">
      <c r="A15" s="3" t="s">
        <v>355</v>
      </c>
      <c r="B15" s="3" t="s">
        <v>356</v>
      </c>
      <c r="C15" s="3" t="s">
        <v>357</v>
      </c>
      <c r="D15" s="3" t="s">
        <v>358</v>
      </c>
      <c r="E15" s="3" t="s">
        <v>359</v>
      </c>
      <c r="F15" s="3" t="s">
        <v>360</v>
      </c>
    </row>
    <row r="16" spans="1:6" ht="35.1" customHeight="1" x14ac:dyDescent="0.3">
      <c r="A16" s="3" t="s">
        <v>361</v>
      </c>
      <c r="B16" s="3" t="s">
        <v>362</v>
      </c>
      <c r="C16" s="3" t="s">
        <v>156</v>
      </c>
      <c r="D16" s="3" t="s">
        <v>363</v>
      </c>
      <c r="E16" s="3" t="s">
        <v>364</v>
      </c>
      <c r="F16" s="3" t="s">
        <v>365</v>
      </c>
    </row>
    <row r="17" spans="1:6" ht="35.1" customHeight="1" x14ac:dyDescent="0.3">
      <c r="A17" s="3" t="s">
        <v>366</v>
      </c>
      <c r="B17" s="3" t="s">
        <v>367</v>
      </c>
      <c r="C17" s="3" t="s">
        <v>368</v>
      </c>
      <c r="D17" s="3" t="s">
        <v>369</v>
      </c>
      <c r="E17" s="3" t="s">
        <v>370</v>
      </c>
      <c r="F17" s="3" t="s">
        <v>371</v>
      </c>
    </row>
    <row r="18" spans="1:6" ht="23.85" customHeight="1" x14ac:dyDescent="0.3">
      <c r="A18" s="3" t="s">
        <v>372</v>
      </c>
      <c r="B18" s="3" t="s">
        <v>373</v>
      </c>
      <c r="C18" s="3" t="s">
        <v>374</v>
      </c>
      <c r="D18" s="3" t="s">
        <v>156</v>
      </c>
      <c r="E18" s="3" t="s">
        <v>375</v>
      </c>
      <c r="F18" s="3" t="s">
        <v>376</v>
      </c>
    </row>
    <row r="19" spans="1:6" ht="23.85" customHeight="1" x14ac:dyDescent="0.3">
      <c r="A19" s="3" t="s">
        <v>377</v>
      </c>
      <c r="B19" s="3" t="s">
        <v>378</v>
      </c>
      <c r="C19" s="3" t="s">
        <v>74</v>
      </c>
      <c r="D19" s="3" t="s">
        <v>379</v>
      </c>
      <c r="E19" s="3" t="s">
        <v>380</v>
      </c>
      <c r="F19" s="3" t="s">
        <v>381</v>
      </c>
    </row>
    <row r="20" spans="1:6" ht="23.85" customHeight="1" x14ac:dyDescent="0.3">
      <c r="A20" s="3" t="s">
        <v>382</v>
      </c>
      <c r="B20" s="3" t="s">
        <v>383</v>
      </c>
      <c r="C20" s="3" t="s">
        <v>74</v>
      </c>
      <c r="D20" s="3" t="s">
        <v>384</v>
      </c>
      <c r="E20" s="3" t="s">
        <v>385</v>
      </c>
      <c r="F20" s="3" t="s">
        <v>386</v>
      </c>
    </row>
    <row r="21" spans="1:6" ht="23.85" customHeight="1" x14ac:dyDescent="0.3">
      <c r="A21" s="3" t="s">
        <v>387</v>
      </c>
      <c r="B21" s="3" t="s">
        <v>388</v>
      </c>
      <c r="C21" s="3" t="s">
        <v>389</v>
      </c>
      <c r="D21" s="3" t="s">
        <v>390</v>
      </c>
      <c r="E21" s="3"/>
      <c r="F21" s="3" t="s">
        <v>391</v>
      </c>
    </row>
  </sheetData>
  <autoFilter ref="A1:F21" xr:uid="{00000000-0009-0000-0000-000002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2" width="11" customWidth="1"/>
    <col min="3" max="4" width="26" customWidth="1"/>
    <col min="5" max="5" width="14" customWidth="1"/>
    <col min="6" max="6" width="26" customWidth="1"/>
    <col min="7" max="7" width="30" customWidth="1"/>
    <col min="8" max="8" width="36" customWidth="1"/>
  </cols>
  <sheetData>
    <row r="1" spans="1:8" ht="30" customHeight="1" x14ac:dyDescent="0.3">
      <c r="A1" s="4" t="s">
        <v>392</v>
      </c>
      <c r="B1" s="4" t="s">
        <v>393</v>
      </c>
      <c r="C1" s="4" t="s">
        <v>394</v>
      </c>
      <c r="D1" s="4" t="s">
        <v>395</v>
      </c>
      <c r="E1" s="4" t="s">
        <v>396</v>
      </c>
      <c r="F1" s="4" t="s">
        <v>397</v>
      </c>
      <c r="G1" s="4" t="s">
        <v>398</v>
      </c>
      <c r="H1" s="4" t="s">
        <v>399</v>
      </c>
    </row>
    <row r="2" spans="1:8" ht="23.85" customHeight="1" x14ac:dyDescent="0.3">
      <c r="A2" s="3" t="s">
        <v>21</v>
      </c>
      <c r="B2" s="3" t="s">
        <v>400</v>
      </c>
      <c r="C2" s="3" t="s">
        <v>401</v>
      </c>
      <c r="D2" s="3" t="s">
        <v>402</v>
      </c>
      <c r="E2" s="3" t="s">
        <v>403</v>
      </c>
      <c r="F2" s="3" t="s">
        <v>404</v>
      </c>
      <c r="G2" s="3" t="s">
        <v>405</v>
      </c>
      <c r="H2" s="3" t="s">
        <v>406</v>
      </c>
    </row>
    <row r="3" spans="1:8" ht="15" customHeight="1" x14ac:dyDescent="0.3">
      <c r="A3" s="3" t="s">
        <v>21</v>
      </c>
      <c r="B3" s="3" t="s">
        <v>400</v>
      </c>
      <c r="C3" s="3" t="s">
        <v>407</v>
      </c>
      <c r="D3" s="3" t="s">
        <v>408</v>
      </c>
      <c r="E3" s="3" t="s">
        <v>403</v>
      </c>
      <c r="F3" s="3" t="s">
        <v>404</v>
      </c>
      <c r="G3" s="3" t="s">
        <v>409</v>
      </c>
      <c r="H3" s="3"/>
    </row>
    <row r="4" spans="1:8" ht="15" customHeight="1" x14ac:dyDescent="0.3">
      <c r="A4" s="3" t="s">
        <v>21</v>
      </c>
      <c r="B4" s="3" t="s">
        <v>410</v>
      </c>
      <c r="C4" s="3" t="s">
        <v>411</v>
      </c>
      <c r="D4" s="3" t="s">
        <v>412</v>
      </c>
      <c r="E4" s="3" t="s">
        <v>74</v>
      </c>
      <c r="F4" s="3" t="s">
        <v>74</v>
      </c>
      <c r="G4" s="3" t="s">
        <v>74</v>
      </c>
      <c r="H4" s="3" t="s">
        <v>413</v>
      </c>
    </row>
    <row r="5" spans="1:8" ht="15" customHeight="1" x14ac:dyDescent="0.3">
      <c r="A5" s="3" t="s">
        <v>22</v>
      </c>
      <c r="B5" s="3" t="s">
        <v>414</v>
      </c>
      <c r="C5" s="3" t="s">
        <v>415</v>
      </c>
      <c r="D5" s="3" t="s">
        <v>416</v>
      </c>
      <c r="E5" s="3" t="s">
        <v>417</v>
      </c>
      <c r="F5" s="3" t="s">
        <v>418</v>
      </c>
      <c r="G5" s="3" t="s">
        <v>419</v>
      </c>
      <c r="H5" s="3" t="s">
        <v>420</v>
      </c>
    </row>
    <row r="6" spans="1:8" ht="15" customHeight="1" x14ac:dyDescent="0.3">
      <c r="A6" s="3" t="s">
        <v>22</v>
      </c>
      <c r="B6" s="3" t="s">
        <v>400</v>
      </c>
      <c r="C6" s="3" t="s">
        <v>401</v>
      </c>
      <c r="D6" s="3" t="s">
        <v>402</v>
      </c>
      <c r="E6" s="3" t="s">
        <v>403</v>
      </c>
      <c r="F6" s="3" t="s">
        <v>404</v>
      </c>
      <c r="G6" s="3" t="s">
        <v>419</v>
      </c>
      <c r="H6" s="3" t="s">
        <v>421</v>
      </c>
    </row>
    <row r="7" spans="1:8" ht="15" customHeight="1" x14ac:dyDescent="0.3">
      <c r="A7" s="3" t="s">
        <v>22</v>
      </c>
      <c r="B7" s="3" t="s">
        <v>400</v>
      </c>
      <c r="C7" s="3" t="s">
        <v>407</v>
      </c>
      <c r="D7" s="3" t="s">
        <v>408</v>
      </c>
      <c r="E7" s="3" t="s">
        <v>403</v>
      </c>
      <c r="F7" s="3" t="s">
        <v>404</v>
      </c>
      <c r="G7" s="3" t="s">
        <v>419</v>
      </c>
      <c r="H7" s="3"/>
    </row>
    <row r="8" spans="1:8" ht="15" customHeight="1" x14ac:dyDescent="0.3">
      <c r="A8" s="3" t="s">
        <v>22</v>
      </c>
      <c r="B8" s="3" t="s">
        <v>410</v>
      </c>
      <c r="C8" s="3" t="s">
        <v>411</v>
      </c>
      <c r="D8" s="3" t="s">
        <v>412</v>
      </c>
      <c r="E8" s="3" t="s">
        <v>74</v>
      </c>
      <c r="F8" s="3" t="s">
        <v>74</v>
      </c>
      <c r="G8" s="3" t="s">
        <v>74</v>
      </c>
      <c r="H8" s="3"/>
    </row>
    <row r="9" spans="1:8" ht="23.85" customHeight="1" x14ac:dyDescent="0.3">
      <c r="A9" s="3" t="s">
        <v>23</v>
      </c>
      <c r="B9" s="3" t="s">
        <v>400</v>
      </c>
      <c r="C9" s="3" t="s">
        <v>422</v>
      </c>
      <c r="D9" s="3" t="s">
        <v>423</v>
      </c>
      <c r="E9" s="3" t="s">
        <v>403</v>
      </c>
      <c r="F9" s="3" t="s">
        <v>404</v>
      </c>
      <c r="G9" s="3" t="s">
        <v>424</v>
      </c>
      <c r="H9" s="3"/>
    </row>
    <row r="10" spans="1:8" ht="15" customHeight="1" x14ac:dyDescent="0.3">
      <c r="A10" s="3" t="s">
        <v>23</v>
      </c>
      <c r="B10" s="3" t="s">
        <v>410</v>
      </c>
      <c r="C10" s="3" t="s">
        <v>411</v>
      </c>
      <c r="D10" s="3" t="s">
        <v>412</v>
      </c>
      <c r="E10" s="3" t="s">
        <v>74</v>
      </c>
      <c r="F10" s="3" t="s">
        <v>74</v>
      </c>
      <c r="G10" s="3" t="s">
        <v>74</v>
      </c>
      <c r="H10" s="3"/>
    </row>
    <row r="11" spans="1:8" ht="15" customHeight="1" x14ac:dyDescent="0.3">
      <c r="A11" s="3" t="s">
        <v>24</v>
      </c>
      <c r="B11" s="3" t="s">
        <v>414</v>
      </c>
      <c r="C11" s="3" t="s">
        <v>425</v>
      </c>
      <c r="D11" s="3" t="s">
        <v>426</v>
      </c>
      <c r="E11" s="3" t="s">
        <v>417</v>
      </c>
      <c r="F11" s="3" t="s">
        <v>427</v>
      </c>
      <c r="G11" s="3" t="s">
        <v>428</v>
      </c>
      <c r="H11" s="3" t="s">
        <v>429</v>
      </c>
    </row>
    <row r="12" spans="1:8" ht="15" customHeight="1" x14ac:dyDescent="0.3">
      <c r="A12" s="3" t="s">
        <v>24</v>
      </c>
      <c r="B12" s="3" t="s">
        <v>400</v>
      </c>
      <c r="C12" s="3" t="s">
        <v>407</v>
      </c>
      <c r="D12" s="3" t="s">
        <v>408</v>
      </c>
      <c r="E12" s="3" t="s">
        <v>403</v>
      </c>
      <c r="F12" s="3" t="s">
        <v>404</v>
      </c>
      <c r="G12" s="3" t="s">
        <v>430</v>
      </c>
      <c r="H12" s="3" t="s">
        <v>431</v>
      </c>
    </row>
    <row r="13" spans="1:8" ht="15" customHeight="1" x14ac:dyDescent="0.3">
      <c r="A13" s="3" t="s">
        <v>24</v>
      </c>
      <c r="B13" s="3" t="s">
        <v>410</v>
      </c>
      <c r="C13" s="3" t="s">
        <v>411</v>
      </c>
      <c r="D13" s="3" t="s">
        <v>412</v>
      </c>
      <c r="E13" s="3" t="s">
        <v>74</v>
      </c>
      <c r="F13" s="3" t="s">
        <v>74</v>
      </c>
      <c r="G13" s="3" t="s">
        <v>74</v>
      </c>
      <c r="H13" s="3"/>
    </row>
    <row r="14" spans="1:8" ht="15" customHeight="1" x14ac:dyDescent="0.3">
      <c r="A14" s="3" t="s">
        <v>25</v>
      </c>
      <c r="B14" s="3" t="s">
        <v>414</v>
      </c>
      <c r="C14" s="3" t="s">
        <v>432</v>
      </c>
      <c r="D14" s="3" t="s">
        <v>433</v>
      </c>
      <c r="E14" s="3" t="s">
        <v>434</v>
      </c>
      <c r="F14" s="3" t="s">
        <v>404</v>
      </c>
      <c r="G14" s="3" t="s">
        <v>419</v>
      </c>
      <c r="H14" s="3" t="s">
        <v>435</v>
      </c>
    </row>
    <row r="15" spans="1:8" ht="15" customHeight="1" x14ac:dyDescent="0.3">
      <c r="A15" s="3" t="s">
        <v>25</v>
      </c>
      <c r="B15" s="3" t="s">
        <v>400</v>
      </c>
      <c r="C15" s="3" t="s">
        <v>401</v>
      </c>
      <c r="D15" s="3" t="s">
        <v>402</v>
      </c>
      <c r="E15" s="3" t="s">
        <v>403</v>
      </c>
      <c r="F15" s="3" t="s">
        <v>436</v>
      </c>
      <c r="G15" s="3" t="s">
        <v>437</v>
      </c>
      <c r="H15" s="3" t="s">
        <v>438</v>
      </c>
    </row>
    <row r="16" spans="1:8" ht="15" customHeight="1" x14ac:dyDescent="0.3">
      <c r="A16" s="3" t="s">
        <v>25</v>
      </c>
      <c r="B16" s="3" t="s">
        <v>400</v>
      </c>
      <c r="C16" s="3" t="s">
        <v>439</v>
      </c>
      <c r="D16" s="3" t="s">
        <v>408</v>
      </c>
      <c r="E16" s="3" t="s">
        <v>403</v>
      </c>
      <c r="F16" s="3" t="s">
        <v>436</v>
      </c>
      <c r="G16" s="3" t="s">
        <v>419</v>
      </c>
      <c r="H16" s="3" t="s">
        <v>440</v>
      </c>
    </row>
    <row r="17" spans="1:8" ht="15" customHeight="1" x14ac:dyDescent="0.3">
      <c r="A17" s="3" t="s">
        <v>25</v>
      </c>
      <c r="B17" s="3" t="s">
        <v>410</v>
      </c>
      <c r="C17" s="3" t="s">
        <v>411</v>
      </c>
      <c r="D17" s="3" t="s">
        <v>412</v>
      </c>
      <c r="E17" s="3" t="s">
        <v>74</v>
      </c>
      <c r="F17" s="3" t="s">
        <v>74</v>
      </c>
      <c r="G17" s="3" t="s">
        <v>74</v>
      </c>
      <c r="H17" s="3" t="s">
        <v>441</v>
      </c>
    </row>
    <row r="18" spans="1:8" ht="23.85" customHeight="1" x14ac:dyDescent="0.3">
      <c r="A18" s="3" t="s">
        <v>26</v>
      </c>
      <c r="B18" s="3" t="s">
        <v>400</v>
      </c>
      <c r="C18" s="3" t="s">
        <v>401</v>
      </c>
      <c r="D18" s="3" t="s">
        <v>402</v>
      </c>
      <c r="E18" s="3" t="s">
        <v>403</v>
      </c>
      <c r="F18" s="3" t="s">
        <v>442</v>
      </c>
      <c r="G18" s="3" t="s">
        <v>443</v>
      </c>
      <c r="H18" s="3" t="s">
        <v>444</v>
      </c>
    </row>
    <row r="19" spans="1:8" ht="15" customHeight="1" x14ac:dyDescent="0.3">
      <c r="A19" s="3" t="s">
        <v>26</v>
      </c>
      <c r="B19" s="3" t="s">
        <v>400</v>
      </c>
      <c r="C19" s="3" t="s">
        <v>407</v>
      </c>
      <c r="D19" s="3" t="s">
        <v>408</v>
      </c>
      <c r="E19" s="3" t="s">
        <v>403</v>
      </c>
      <c r="F19" s="3" t="s">
        <v>191</v>
      </c>
      <c r="G19" s="3" t="s">
        <v>409</v>
      </c>
      <c r="H19" s="3"/>
    </row>
    <row r="20" spans="1:8" ht="15" customHeight="1" x14ac:dyDescent="0.3">
      <c r="A20" s="3" t="s">
        <v>26</v>
      </c>
      <c r="B20" s="3" t="s">
        <v>410</v>
      </c>
      <c r="C20" s="3" t="s">
        <v>411</v>
      </c>
      <c r="D20" s="3" t="s">
        <v>412</v>
      </c>
      <c r="E20" s="3" t="s">
        <v>74</v>
      </c>
      <c r="F20" s="3" t="s">
        <v>74</v>
      </c>
      <c r="G20" s="3" t="s">
        <v>74</v>
      </c>
      <c r="H20" s="3" t="s">
        <v>441</v>
      </c>
    </row>
    <row r="21" spans="1:8" ht="23.85" customHeight="1" x14ac:dyDescent="0.3">
      <c r="A21" s="3" t="s">
        <v>27</v>
      </c>
      <c r="B21" s="3" t="s">
        <v>414</v>
      </c>
      <c r="C21" s="3" t="s">
        <v>415</v>
      </c>
      <c r="D21" s="3" t="s">
        <v>445</v>
      </c>
      <c r="E21" s="3" t="s">
        <v>417</v>
      </c>
      <c r="F21" s="3" t="s">
        <v>418</v>
      </c>
      <c r="G21" s="3" t="s">
        <v>419</v>
      </c>
      <c r="H21" s="3" t="s">
        <v>446</v>
      </c>
    </row>
    <row r="22" spans="1:8" ht="15" customHeight="1" x14ac:dyDescent="0.3">
      <c r="A22" s="3" t="s">
        <v>27</v>
      </c>
      <c r="B22" s="3" t="s">
        <v>400</v>
      </c>
      <c r="C22" s="3" t="s">
        <v>432</v>
      </c>
      <c r="D22" s="3" t="s">
        <v>433</v>
      </c>
      <c r="E22" s="3" t="s">
        <v>403</v>
      </c>
      <c r="F22" s="3" t="s">
        <v>404</v>
      </c>
      <c r="G22" s="3" t="s">
        <v>447</v>
      </c>
      <c r="H22" s="3"/>
    </row>
    <row r="23" spans="1:8" ht="15" customHeight="1" x14ac:dyDescent="0.3">
      <c r="A23" s="3" t="s">
        <v>27</v>
      </c>
      <c r="B23" s="3" t="s">
        <v>400</v>
      </c>
      <c r="C23" s="3" t="s">
        <v>401</v>
      </c>
      <c r="D23" s="3" t="s">
        <v>402</v>
      </c>
      <c r="E23" s="3" t="s">
        <v>403</v>
      </c>
      <c r="F23" s="3" t="s">
        <v>404</v>
      </c>
      <c r="G23" s="3" t="s">
        <v>409</v>
      </c>
      <c r="H23" s="3"/>
    </row>
    <row r="24" spans="1:8" ht="15" customHeight="1" x14ac:dyDescent="0.3">
      <c r="A24" s="3" t="s">
        <v>27</v>
      </c>
      <c r="B24" s="3" t="s">
        <v>400</v>
      </c>
      <c r="C24" s="3" t="s">
        <v>407</v>
      </c>
      <c r="D24" s="3" t="s">
        <v>408</v>
      </c>
      <c r="E24" s="3" t="s">
        <v>403</v>
      </c>
      <c r="F24" s="3" t="s">
        <v>404</v>
      </c>
      <c r="G24" s="3" t="s">
        <v>409</v>
      </c>
      <c r="H24" s="3" t="s">
        <v>448</v>
      </c>
    </row>
    <row r="25" spans="1:8" ht="15" customHeight="1" x14ac:dyDescent="0.3">
      <c r="A25" s="3" t="s">
        <v>27</v>
      </c>
      <c r="B25" s="3" t="s">
        <v>410</v>
      </c>
      <c r="C25" s="3" t="s">
        <v>411</v>
      </c>
      <c r="D25" s="3" t="s">
        <v>412</v>
      </c>
      <c r="E25" s="3" t="s">
        <v>74</v>
      </c>
      <c r="F25" s="3" t="s">
        <v>74</v>
      </c>
      <c r="G25" s="3" t="s">
        <v>74</v>
      </c>
      <c r="H25" s="3" t="s">
        <v>449</v>
      </c>
    </row>
    <row r="26" spans="1:8" ht="23.85" customHeight="1" x14ac:dyDescent="0.3">
      <c r="A26" s="3" t="s">
        <v>28</v>
      </c>
      <c r="B26" s="3" t="s">
        <v>414</v>
      </c>
      <c r="C26" s="3" t="s">
        <v>450</v>
      </c>
      <c r="D26" s="3" t="s">
        <v>451</v>
      </c>
      <c r="E26" s="3" t="s">
        <v>452</v>
      </c>
      <c r="F26" s="3" t="s">
        <v>453</v>
      </c>
      <c r="G26" s="3" t="s">
        <v>454</v>
      </c>
      <c r="H26" s="3" t="s">
        <v>455</v>
      </c>
    </row>
    <row r="27" spans="1:8" ht="35.1" customHeight="1" x14ac:dyDescent="0.3">
      <c r="A27" s="3" t="s">
        <v>28</v>
      </c>
      <c r="B27" s="3" t="s">
        <v>456</v>
      </c>
      <c r="C27" s="3" t="s">
        <v>457</v>
      </c>
      <c r="D27" s="3" t="s">
        <v>458</v>
      </c>
      <c r="E27" s="3" t="s">
        <v>459</v>
      </c>
      <c r="F27" s="3" t="s">
        <v>191</v>
      </c>
      <c r="G27" s="3" t="s">
        <v>460</v>
      </c>
      <c r="H27" s="3" t="s">
        <v>461</v>
      </c>
    </row>
    <row r="28" spans="1:8" ht="15" customHeight="1" x14ac:dyDescent="0.3">
      <c r="A28" s="3" t="s">
        <v>28</v>
      </c>
      <c r="B28" s="3" t="s">
        <v>462</v>
      </c>
      <c r="C28" s="3" t="s">
        <v>407</v>
      </c>
      <c r="D28" s="3" t="s">
        <v>408</v>
      </c>
      <c r="E28" s="3" t="s">
        <v>403</v>
      </c>
      <c r="F28" s="3" t="s">
        <v>191</v>
      </c>
      <c r="G28" s="3" t="s">
        <v>463</v>
      </c>
      <c r="H28" s="3" t="s">
        <v>464</v>
      </c>
    </row>
    <row r="29" spans="1:8" ht="15" customHeight="1" x14ac:dyDescent="0.3">
      <c r="A29" s="3" t="s">
        <v>28</v>
      </c>
      <c r="B29" s="3" t="s">
        <v>410</v>
      </c>
      <c r="C29" s="3" t="s">
        <v>411</v>
      </c>
      <c r="D29" s="3" t="s">
        <v>412</v>
      </c>
      <c r="E29" s="3" t="s">
        <v>74</v>
      </c>
      <c r="F29" s="3" t="s">
        <v>74</v>
      </c>
      <c r="G29" s="3" t="s">
        <v>74</v>
      </c>
      <c r="H29" s="3" t="s">
        <v>465</v>
      </c>
    </row>
    <row r="30" spans="1:8" ht="35.1" customHeight="1" x14ac:dyDescent="0.3">
      <c r="A30" s="3" t="s">
        <v>30</v>
      </c>
      <c r="B30" s="3" t="s">
        <v>400</v>
      </c>
      <c r="C30" s="3" t="s">
        <v>401</v>
      </c>
      <c r="D30" s="3" t="s">
        <v>402</v>
      </c>
      <c r="E30" s="3" t="s">
        <v>403</v>
      </c>
      <c r="F30" s="3" t="s">
        <v>191</v>
      </c>
      <c r="G30" s="3" t="s">
        <v>419</v>
      </c>
      <c r="H30" s="3" t="s">
        <v>466</v>
      </c>
    </row>
    <row r="31" spans="1:8" ht="35.1" customHeight="1" x14ac:dyDescent="0.3">
      <c r="A31" s="3" t="s">
        <v>30</v>
      </c>
      <c r="B31" s="3" t="s">
        <v>400</v>
      </c>
      <c r="C31" s="3" t="s">
        <v>407</v>
      </c>
      <c r="D31" s="3" t="s">
        <v>408</v>
      </c>
      <c r="E31" s="3" t="s">
        <v>403</v>
      </c>
      <c r="F31" s="3" t="s">
        <v>191</v>
      </c>
      <c r="G31" s="3" t="s">
        <v>419</v>
      </c>
      <c r="H31" s="3" t="s">
        <v>466</v>
      </c>
    </row>
    <row r="32" spans="1:8" ht="35.1" customHeight="1" x14ac:dyDescent="0.3">
      <c r="A32" s="3" t="s">
        <v>30</v>
      </c>
      <c r="B32" s="3" t="s">
        <v>410</v>
      </c>
      <c r="C32" s="3" t="s">
        <v>411</v>
      </c>
      <c r="D32" s="3" t="s">
        <v>412</v>
      </c>
      <c r="E32" s="3" t="s">
        <v>74</v>
      </c>
      <c r="F32" s="3" t="s">
        <v>74</v>
      </c>
      <c r="G32" s="3" t="s">
        <v>74</v>
      </c>
      <c r="H32" s="3"/>
    </row>
    <row r="33" spans="1:8" ht="15" customHeight="1" x14ac:dyDescent="0.3">
      <c r="A33" s="3" t="s">
        <v>31</v>
      </c>
      <c r="B33" s="3" t="s">
        <v>467</v>
      </c>
      <c r="C33" s="3" t="s">
        <v>468</v>
      </c>
      <c r="D33" s="3" t="s">
        <v>469</v>
      </c>
      <c r="E33" s="3" t="s">
        <v>452</v>
      </c>
      <c r="F33" s="3" t="s">
        <v>453</v>
      </c>
      <c r="G33" s="3" t="s">
        <v>470</v>
      </c>
      <c r="H33" s="3" t="s">
        <v>471</v>
      </c>
    </row>
    <row r="34" spans="1:8" ht="15" customHeight="1" x14ac:dyDescent="0.3">
      <c r="A34" s="3" t="s">
        <v>31</v>
      </c>
      <c r="B34" s="3" t="s">
        <v>462</v>
      </c>
      <c r="C34" s="3" t="s">
        <v>407</v>
      </c>
      <c r="D34" s="3" t="s">
        <v>408</v>
      </c>
      <c r="E34" s="3" t="s">
        <v>403</v>
      </c>
      <c r="F34" s="3" t="s">
        <v>191</v>
      </c>
      <c r="G34" s="3" t="s">
        <v>463</v>
      </c>
      <c r="H34" s="3" t="s">
        <v>472</v>
      </c>
    </row>
    <row r="35" spans="1:8" ht="15" customHeight="1" x14ac:dyDescent="0.3">
      <c r="A35" s="3" t="s">
        <v>31</v>
      </c>
      <c r="B35" s="3" t="s">
        <v>410</v>
      </c>
      <c r="C35" s="3" t="s">
        <v>411</v>
      </c>
      <c r="D35" s="3" t="s">
        <v>412</v>
      </c>
      <c r="E35" s="3" t="s">
        <v>74</v>
      </c>
      <c r="F35" s="3" t="s">
        <v>74</v>
      </c>
      <c r="G35" s="3" t="s">
        <v>74</v>
      </c>
      <c r="H35" s="3" t="s">
        <v>473</v>
      </c>
    </row>
    <row r="36" spans="1:8" ht="23.85" customHeight="1" x14ac:dyDescent="0.3">
      <c r="A36" s="3" t="s">
        <v>29</v>
      </c>
      <c r="B36" s="3" t="s">
        <v>414</v>
      </c>
      <c r="C36" s="3" t="s">
        <v>415</v>
      </c>
      <c r="D36" s="3" t="s">
        <v>445</v>
      </c>
      <c r="E36" s="3" t="s">
        <v>417</v>
      </c>
      <c r="F36" s="3" t="s">
        <v>418</v>
      </c>
      <c r="G36" s="3" t="s">
        <v>419</v>
      </c>
      <c r="H36" s="3" t="s">
        <v>474</v>
      </c>
    </row>
    <row r="37" spans="1:8" ht="15" customHeight="1" x14ac:dyDescent="0.3">
      <c r="A37" s="3" t="s">
        <v>29</v>
      </c>
      <c r="B37" s="3" t="s">
        <v>400</v>
      </c>
      <c r="C37" s="3" t="s">
        <v>432</v>
      </c>
      <c r="D37" s="3" t="s">
        <v>433</v>
      </c>
      <c r="E37" s="3" t="s">
        <v>403</v>
      </c>
      <c r="F37" s="3" t="s">
        <v>404</v>
      </c>
      <c r="G37" s="3" t="s">
        <v>447</v>
      </c>
      <c r="H37" s="3"/>
    </row>
    <row r="38" spans="1:8" ht="15" customHeight="1" x14ac:dyDescent="0.3">
      <c r="A38" s="3" t="s">
        <v>29</v>
      </c>
      <c r="B38" s="3" t="s">
        <v>400</v>
      </c>
      <c r="C38" s="3" t="s">
        <v>401</v>
      </c>
      <c r="D38" s="3" t="s">
        <v>402</v>
      </c>
      <c r="E38" s="3" t="s">
        <v>403</v>
      </c>
      <c r="F38" s="3" t="s">
        <v>404</v>
      </c>
      <c r="G38" s="3" t="s">
        <v>409</v>
      </c>
      <c r="H38" s="3"/>
    </row>
    <row r="39" spans="1:8" ht="15" customHeight="1" x14ac:dyDescent="0.3">
      <c r="A39" s="3" t="s">
        <v>29</v>
      </c>
      <c r="B39" s="3" t="s">
        <v>400</v>
      </c>
      <c r="C39" s="3" t="s">
        <v>407</v>
      </c>
      <c r="D39" s="3" t="s">
        <v>408</v>
      </c>
      <c r="E39" s="3" t="s">
        <v>403</v>
      </c>
      <c r="F39" s="3" t="s">
        <v>404</v>
      </c>
      <c r="G39" s="3" t="s">
        <v>409</v>
      </c>
      <c r="H39" s="3" t="s">
        <v>448</v>
      </c>
    </row>
    <row r="40" spans="1:8" ht="15" customHeight="1" x14ac:dyDescent="0.3">
      <c r="A40" s="3" t="s">
        <v>29</v>
      </c>
      <c r="B40" s="3" t="s">
        <v>410</v>
      </c>
      <c r="C40" s="3" t="s">
        <v>411</v>
      </c>
      <c r="D40" s="3" t="s">
        <v>412</v>
      </c>
      <c r="E40" s="3" t="s">
        <v>74</v>
      </c>
      <c r="F40" s="3" t="s">
        <v>74</v>
      </c>
      <c r="G40" s="3" t="s">
        <v>74</v>
      </c>
      <c r="H40" s="3" t="s">
        <v>475</v>
      </c>
    </row>
  </sheetData>
  <autoFilter ref="A1:H40" xr:uid="{00000000-0009-0000-0000-000003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1.44140625" defaultRowHeight="14.4" x14ac:dyDescent="0.3"/>
  <cols>
    <col min="1" max="1" width="11" customWidth="1"/>
    <col min="2" max="2" width="18" customWidth="1"/>
    <col min="3" max="3" width="12" customWidth="1"/>
    <col min="4" max="4" width="18" customWidth="1"/>
    <col min="5" max="6" width="12" customWidth="1"/>
    <col min="7" max="7" width="34" customWidth="1"/>
    <col min="8" max="8" width="22" customWidth="1"/>
    <col min="9" max="10" width="60" customWidth="1"/>
    <col min="11" max="11" width="50" customWidth="1"/>
    <col min="12" max="12" width="60" customWidth="1"/>
    <col min="13" max="13" width="26" customWidth="1"/>
    <col min="14" max="14" width="50" customWidth="1"/>
  </cols>
  <sheetData>
    <row r="1" spans="1:14" ht="30" customHeight="1" x14ac:dyDescent="0.3">
      <c r="A1" s="4" t="s">
        <v>476</v>
      </c>
      <c r="B1" s="4" t="s">
        <v>477</v>
      </c>
      <c r="C1" s="4" t="s">
        <v>478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479</v>
      </c>
      <c r="J1" s="4" t="s">
        <v>27</v>
      </c>
      <c r="K1" s="4" t="s">
        <v>29</v>
      </c>
      <c r="L1" s="4" t="s">
        <v>28</v>
      </c>
      <c r="M1" s="4" t="s">
        <v>30</v>
      </c>
      <c r="N1" s="4" t="s">
        <v>31</v>
      </c>
    </row>
    <row r="2" spans="1:14" ht="46.35" customHeight="1" x14ac:dyDescent="0.3">
      <c r="A2" s="3" t="s">
        <v>480</v>
      </c>
      <c r="B2" s="3" t="s">
        <v>481</v>
      </c>
      <c r="C2" s="8">
        <v>48964</v>
      </c>
      <c r="D2" s="3" t="s">
        <v>482</v>
      </c>
      <c r="E2" s="3" t="s">
        <v>483</v>
      </c>
      <c r="F2" s="3" t="s">
        <v>483</v>
      </c>
      <c r="G2" s="3" t="s">
        <v>484</v>
      </c>
      <c r="H2" s="3" t="s">
        <v>485</v>
      </c>
      <c r="I2" s="3" t="s">
        <v>486</v>
      </c>
      <c r="J2" s="3" t="s">
        <v>487</v>
      </c>
      <c r="K2" s="3" t="s">
        <v>488</v>
      </c>
      <c r="L2" s="3" t="s">
        <v>489</v>
      </c>
      <c r="M2" s="3" t="s">
        <v>490</v>
      </c>
      <c r="N2" s="3" t="s">
        <v>491</v>
      </c>
    </row>
    <row r="3" spans="1:14" ht="46.35" customHeight="1" x14ac:dyDescent="0.3">
      <c r="A3" s="3" t="s">
        <v>480</v>
      </c>
      <c r="B3" s="3" t="s">
        <v>492</v>
      </c>
      <c r="C3" s="8">
        <v>33826</v>
      </c>
      <c r="D3" s="3" t="s">
        <v>482</v>
      </c>
      <c r="E3" s="3" t="s">
        <v>483</v>
      </c>
      <c r="F3" s="3" t="s">
        <v>483</v>
      </c>
      <c r="G3" s="3" t="s">
        <v>484</v>
      </c>
      <c r="H3" s="3" t="s">
        <v>485</v>
      </c>
      <c r="I3" s="3" t="s">
        <v>486</v>
      </c>
      <c r="J3" s="3" t="s">
        <v>487</v>
      </c>
      <c r="K3" s="3" t="s">
        <v>493</v>
      </c>
      <c r="L3" s="3" t="s">
        <v>489</v>
      </c>
      <c r="M3" s="3" t="s">
        <v>490</v>
      </c>
      <c r="N3" s="3" t="s">
        <v>491</v>
      </c>
    </row>
    <row r="4" spans="1:14" ht="46.35" customHeight="1" x14ac:dyDescent="0.3">
      <c r="A4" s="3" t="s">
        <v>480</v>
      </c>
      <c r="B4" s="3" t="s">
        <v>494</v>
      </c>
      <c r="C4" s="8">
        <v>7583</v>
      </c>
      <c r="D4" s="3" t="s">
        <v>482</v>
      </c>
      <c r="E4" s="3" t="s">
        <v>483</v>
      </c>
      <c r="F4" s="3" t="s">
        <v>483</v>
      </c>
      <c r="G4" s="3" t="s">
        <v>484</v>
      </c>
      <c r="H4" s="3" t="s">
        <v>485</v>
      </c>
      <c r="I4" s="3" t="s">
        <v>495</v>
      </c>
      <c r="J4" s="3" t="s">
        <v>487</v>
      </c>
      <c r="K4" s="3" t="s">
        <v>496</v>
      </c>
      <c r="L4" s="3" t="s">
        <v>497</v>
      </c>
      <c r="M4" s="3" t="s">
        <v>490</v>
      </c>
      <c r="N4" s="3" t="s">
        <v>498</v>
      </c>
    </row>
    <row r="5" spans="1:14" ht="46.35" customHeight="1" x14ac:dyDescent="0.3">
      <c r="A5" s="3" t="s">
        <v>480</v>
      </c>
      <c r="B5" s="3" t="s">
        <v>499</v>
      </c>
      <c r="C5" s="8">
        <v>6501</v>
      </c>
      <c r="D5" s="3" t="s">
        <v>482</v>
      </c>
      <c r="E5" s="3" t="s">
        <v>483</v>
      </c>
      <c r="F5" s="3" t="s">
        <v>483</v>
      </c>
      <c r="G5" s="3" t="s">
        <v>484</v>
      </c>
      <c r="H5" s="3" t="s">
        <v>485</v>
      </c>
      <c r="I5" s="3" t="s">
        <v>500</v>
      </c>
      <c r="J5" s="3" t="s">
        <v>487</v>
      </c>
      <c r="K5" s="3" t="s">
        <v>501</v>
      </c>
      <c r="L5" s="3" t="s">
        <v>502</v>
      </c>
      <c r="M5" s="3" t="s">
        <v>490</v>
      </c>
      <c r="N5" s="3" t="s">
        <v>503</v>
      </c>
    </row>
    <row r="6" spans="1:14" ht="46.35" customHeight="1" x14ac:dyDescent="0.3">
      <c r="A6" s="3" t="s">
        <v>480</v>
      </c>
      <c r="B6" s="3" t="s">
        <v>504</v>
      </c>
      <c r="C6" s="8">
        <v>15732</v>
      </c>
      <c r="D6" s="3" t="s">
        <v>482</v>
      </c>
      <c r="E6" s="3" t="s">
        <v>483</v>
      </c>
      <c r="F6" s="3" t="s">
        <v>483</v>
      </c>
      <c r="G6" s="3" t="s">
        <v>484</v>
      </c>
      <c r="H6" s="3" t="s">
        <v>485</v>
      </c>
      <c r="I6" s="3" t="s">
        <v>500</v>
      </c>
      <c r="J6" s="3" t="s">
        <v>487</v>
      </c>
      <c r="K6" s="3" t="s">
        <v>505</v>
      </c>
      <c r="L6" s="3" t="s">
        <v>502</v>
      </c>
      <c r="M6" s="3" t="s">
        <v>490</v>
      </c>
      <c r="N6" s="3" t="s">
        <v>503</v>
      </c>
    </row>
    <row r="7" spans="1:14" ht="46.35" customHeight="1" x14ac:dyDescent="0.3">
      <c r="A7" s="3" t="s">
        <v>506</v>
      </c>
      <c r="B7" s="3" t="s">
        <v>507</v>
      </c>
      <c r="C7" s="8">
        <v>7816</v>
      </c>
      <c r="D7" s="3" t="s">
        <v>482</v>
      </c>
      <c r="E7" s="3" t="s">
        <v>483</v>
      </c>
      <c r="F7" s="3" t="s">
        <v>483</v>
      </c>
      <c r="G7" s="3" t="s">
        <v>484</v>
      </c>
      <c r="H7" s="3" t="s">
        <v>485</v>
      </c>
      <c r="I7" s="3" t="s">
        <v>500</v>
      </c>
      <c r="J7" s="3" t="s">
        <v>487</v>
      </c>
      <c r="K7" s="3" t="s">
        <v>508</v>
      </c>
      <c r="L7" s="3" t="s">
        <v>502</v>
      </c>
      <c r="M7" s="3" t="s">
        <v>490</v>
      </c>
      <c r="N7" s="3" t="s">
        <v>503</v>
      </c>
    </row>
    <row r="8" spans="1:14" ht="46.35" customHeight="1" x14ac:dyDescent="0.3">
      <c r="A8" s="3" t="s">
        <v>506</v>
      </c>
      <c r="B8" s="3" t="s">
        <v>509</v>
      </c>
      <c r="C8" s="8">
        <v>2232</v>
      </c>
      <c r="D8" s="3" t="s">
        <v>482</v>
      </c>
      <c r="E8" s="3" t="s">
        <v>483</v>
      </c>
      <c r="F8" s="3" t="s">
        <v>483</v>
      </c>
      <c r="G8" s="3" t="s">
        <v>484</v>
      </c>
      <c r="H8" s="3" t="s">
        <v>485</v>
      </c>
      <c r="I8" s="3" t="s">
        <v>510</v>
      </c>
      <c r="J8" s="3" t="s">
        <v>511</v>
      </c>
      <c r="K8" s="3" t="s">
        <v>512</v>
      </c>
      <c r="L8" s="3" t="s">
        <v>497</v>
      </c>
      <c r="M8" s="3" t="s">
        <v>490</v>
      </c>
      <c r="N8" s="3" t="s">
        <v>513</v>
      </c>
    </row>
    <row r="9" spans="1:14" ht="46.35" customHeight="1" x14ac:dyDescent="0.3">
      <c r="A9" s="3" t="s">
        <v>506</v>
      </c>
      <c r="B9" s="3" t="s">
        <v>514</v>
      </c>
      <c r="C9" s="8">
        <v>10137</v>
      </c>
      <c r="D9" s="3" t="s">
        <v>482</v>
      </c>
      <c r="E9" s="3" t="s">
        <v>483</v>
      </c>
      <c r="F9" s="3" t="s">
        <v>483</v>
      </c>
      <c r="G9" s="3" t="s">
        <v>484</v>
      </c>
      <c r="H9" s="3" t="s">
        <v>485</v>
      </c>
      <c r="I9" s="3" t="s">
        <v>515</v>
      </c>
      <c r="J9" s="3" t="s">
        <v>487</v>
      </c>
      <c r="K9" s="3" t="s">
        <v>516</v>
      </c>
      <c r="L9" s="3" t="s">
        <v>489</v>
      </c>
      <c r="M9" s="3" t="s">
        <v>490</v>
      </c>
      <c r="N9" s="3" t="s">
        <v>503</v>
      </c>
    </row>
    <row r="10" spans="1:14" ht="46.35" customHeight="1" x14ac:dyDescent="0.3">
      <c r="A10" s="3" t="s">
        <v>506</v>
      </c>
      <c r="B10" s="3" t="s">
        <v>517</v>
      </c>
      <c r="C10" s="8">
        <v>1294</v>
      </c>
      <c r="D10" s="3" t="s">
        <v>482</v>
      </c>
      <c r="E10" s="3" t="s">
        <v>483</v>
      </c>
      <c r="F10" s="3" t="s">
        <v>483</v>
      </c>
      <c r="G10" s="3" t="s">
        <v>484</v>
      </c>
      <c r="H10" s="3" t="s">
        <v>485</v>
      </c>
      <c r="I10" s="3" t="s">
        <v>518</v>
      </c>
      <c r="J10" s="3" t="s">
        <v>511</v>
      </c>
      <c r="K10" s="3" t="s">
        <v>519</v>
      </c>
      <c r="L10" s="3" t="s">
        <v>497</v>
      </c>
      <c r="M10" s="3" t="s">
        <v>490</v>
      </c>
      <c r="N10" s="3" t="s">
        <v>513</v>
      </c>
    </row>
    <row r="11" spans="1:14" ht="46.35" customHeight="1" x14ac:dyDescent="0.3">
      <c r="A11" s="3" t="s">
        <v>506</v>
      </c>
      <c r="B11" s="3" t="s">
        <v>520</v>
      </c>
      <c r="C11" s="8">
        <v>1115</v>
      </c>
      <c r="D11" s="3" t="s">
        <v>482</v>
      </c>
      <c r="E11" s="3" t="s">
        <v>483</v>
      </c>
      <c r="F11" s="3" t="s">
        <v>483</v>
      </c>
      <c r="G11" s="3" t="s">
        <v>484</v>
      </c>
      <c r="H11" s="3" t="s">
        <v>485</v>
      </c>
      <c r="I11" s="3" t="s">
        <v>521</v>
      </c>
      <c r="J11" s="3" t="s">
        <v>511</v>
      </c>
      <c r="K11" s="3" t="s">
        <v>522</v>
      </c>
      <c r="L11" s="3" t="s">
        <v>523</v>
      </c>
      <c r="M11" s="3" t="s">
        <v>490</v>
      </c>
      <c r="N11" s="3" t="s">
        <v>524</v>
      </c>
    </row>
    <row r="12" spans="1:14" ht="46.35" customHeight="1" x14ac:dyDescent="0.3">
      <c r="A12" s="3" t="s">
        <v>506</v>
      </c>
      <c r="B12" s="3" t="s">
        <v>525</v>
      </c>
      <c r="C12" s="8">
        <v>3848</v>
      </c>
      <c r="D12" s="3" t="s">
        <v>482</v>
      </c>
      <c r="E12" s="3" t="s">
        <v>483</v>
      </c>
      <c r="F12" s="3" t="s">
        <v>483</v>
      </c>
      <c r="G12" s="3" t="s">
        <v>484</v>
      </c>
      <c r="H12" s="3" t="s">
        <v>485</v>
      </c>
      <c r="I12" s="3" t="s">
        <v>526</v>
      </c>
      <c r="J12" s="3" t="s">
        <v>487</v>
      </c>
      <c r="K12" s="3" t="s">
        <v>527</v>
      </c>
      <c r="L12" s="3" t="s">
        <v>502</v>
      </c>
      <c r="M12" s="3" t="s">
        <v>490</v>
      </c>
      <c r="N12" s="3" t="s">
        <v>503</v>
      </c>
    </row>
    <row r="13" spans="1:14" ht="46.35" customHeight="1" x14ac:dyDescent="0.3">
      <c r="A13" s="3" t="s">
        <v>528</v>
      </c>
      <c r="B13" s="3" t="s">
        <v>499</v>
      </c>
      <c r="C13" s="8">
        <v>7863</v>
      </c>
      <c r="D13" s="3" t="s">
        <v>482</v>
      </c>
      <c r="E13" s="3" t="s">
        <v>483</v>
      </c>
      <c r="F13" s="3" t="s">
        <v>483</v>
      </c>
      <c r="G13" s="3" t="s">
        <v>484</v>
      </c>
      <c r="H13" s="3" t="s">
        <v>485</v>
      </c>
      <c r="I13" s="3" t="s">
        <v>515</v>
      </c>
      <c r="J13" s="3" t="s">
        <v>487</v>
      </c>
      <c r="K13" s="3" t="s">
        <v>529</v>
      </c>
      <c r="L13" s="3" t="s">
        <v>489</v>
      </c>
      <c r="M13" s="3" t="s">
        <v>490</v>
      </c>
      <c r="N13" s="3" t="s">
        <v>503</v>
      </c>
    </row>
    <row r="14" spans="1:14" ht="46.35" customHeight="1" x14ac:dyDescent="0.3">
      <c r="A14" s="3" t="s">
        <v>528</v>
      </c>
      <c r="B14" s="3" t="s">
        <v>514</v>
      </c>
      <c r="C14" s="8">
        <v>5407</v>
      </c>
      <c r="D14" s="3" t="s">
        <v>482</v>
      </c>
      <c r="E14" s="3" t="s">
        <v>483</v>
      </c>
      <c r="F14" s="3" t="s">
        <v>483</v>
      </c>
      <c r="G14" s="3" t="s">
        <v>484</v>
      </c>
      <c r="H14" s="3" t="s">
        <v>485</v>
      </c>
      <c r="I14" s="3" t="s">
        <v>500</v>
      </c>
      <c r="J14" s="3" t="s">
        <v>487</v>
      </c>
      <c r="K14" s="3" t="s">
        <v>530</v>
      </c>
      <c r="L14" s="3" t="s">
        <v>502</v>
      </c>
      <c r="M14" s="3" t="s">
        <v>490</v>
      </c>
      <c r="N14" s="3" t="s">
        <v>503</v>
      </c>
    </row>
    <row r="15" spans="1:14" ht="46.35" customHeight="1" x14ac:dyDescent="0.3">
      <c r="A15" s="3" t="s">
        <v>528</v>
      </c>
      <c r="B15" s="3" t="s">
        <v>525</v>
      </c>
      <c r="C15" s="8">
        <v>9208</v>
      </c>
      <c r="D15" s="3" t="s">
        <v>482</v>
      </c>
      <c r="E15" s="3" t="s">
        <v>483</v>
      </c>
      <c r="F15" s="3" t="s">
        <v>483</v>
      </c>
      <c r="G15" s="3" t="s">
        <v>484</v>
      </c>
      <c r="H15" s="3" t="s">
        <v>485</v>
      </c>
      <c r="I15" s="3" t="s">
        <v>500</v>
      </c>
      <c r="J15" s="3" t="s">
        <v>487</v>
      </c>
      <c r="K15" s="3" t="s">
        <v>531</v>
      </c>
      <c r="L15" s="3" t="s">
        <v>502</v>
      </c>
      <c r="M15" s="3" t="s">
        <v>490</v>
      </c>
      <c r="N15" s="3" t="s">
        <v>503</v>
      </c>
    </row>
    <row r="16" spans="1:14" ht="46.35" customHeight="1" x14ac:dyDescent="0.3">
      <c r="A16" s="3" t="s">
        <v>528</v>
      </c>
      <c r="B16" s="3" t="s">
        <v>509</v>
      </c>
      <c r="C16" s="8">
        <v>1624</v>
      </c>
      <c r="D16" s="3" t="s">
        <v>482</v>
      </c>
      <c r="E16" s="3" t="s">
        <v>483</v>
      </c>
      <c r="F16" s="3" t="s">
        <v>483</v>
      </c>
      <c r="G16" s="3" t="s">
        <v>484</v>
      </c>
      <c r="H16" s="3" t="s">
        <v>485</v>
      </c>
      <c r="I16" s="3" t="s">
        <v>510</v>
      </c>
      <c r="J16" s="3" t="s">
        <v>511</v>
      </c>
      <c r="K16" s="3" t="s">
        <v>532</v>
      </c>
      <c r="L16" s="3" t="s">
        <v>497</v>
      </c>
      <c r="M16" s="3" t="s">
        <v>490</v>
      </c>
      <c r="N16" s="3" t="s">
        <v>513</v>
      </c>
    </row>
  </sheetData>
  <autoFilter ref="A1:N16" xr:uid="{00000000-0009-0000-0000-000004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1" width="30" customWidth="1"/>
    <col min="2" max="2" width="22" customWidth="1"/>
    <col min="3" max="5" width="9" customWidth="1"/>
    <col min="6" max="6" width="12" customWidth="1"/>
    <col min="7" max="7" width="11" customWidth="1"/>
    <col min="8" max="8" width="9" customWidth="1"/>
    <col min="9" max="9" width="10" customWidth="1"/>
    <col min="10" max="10" width="26" customWidth="1"/>
    <col min="11" max="11" width="10" customWidth="1"/>
    <col min="12" max="16" width="11" customWidth="1"/>
    <col min="17" max="17" width="14" customWidth="1"/>
    <col min="18" max="18" width="44" customWidth="1"/>
  </cols>
  <sheetData>
    <row r="1" spans="1:18" ht="30" customHeight="1" x14ac:dyDescent="0.3">
      <c r="A1" s="4" t="s">
        <v>533</v>
      </c>
      <c r="B1" s="4" t="s">
        <v>534</v>
      </c>
      <c r="C1" s="4" t="s">
        <v>535</v>
      </c>
      <c r="D1" s="4" t="s">
        <v>536</v>
      </c>
      <c r="E1" s="4" t="s">
        <v>537</v>
      </c>
      <c r="F1" s="4" t="s">
        <v>538</v>
      </c>
      <c r="G1" s="4" t="s">
        <v>539</v>
      </c>
      <c r="H1" s="4" t="s">
        <v>540</v>
      </c>
      <c r="I1" s="4" t="s">
        <v>541</v>
      </c>
      <c r="J1" s="4" t="s">
        <v>542</v>
      </c>
      <c r="K1" s="4" t="s">
        <v>543</v>
      </c>
      <c r="L1" s="4" t="s">
        <v>544</v>
      </c>
      <c r="M1" s="4" t="s">
        <v>545</v>
      </c>
      <c r="N1" s="4" t="s">
        <v>546</v>
      </c>
      <c r="O1" s="4" t="s">
        <v>547</v>
      </c>
      <c r="P1" s="4" t="s">
        <v>548</v>
      </c>
      <c r="Q1" s="4" t="s">
        <v>549</v>
      </c>
      <c r="R1" s="4" t="s">
        <v>550</v>
      </c>
    </row>
    <row r="2" spans="1:18" ht="15" customHeight="1" x14ac:dyDescent="0.3">
      <c r="A2" s="3" t="s">
        <v>551</v>
      </c>
      <c r="B2" s="3" t="s">
        <v>552</v>
      </c>
      <c r="C2" s="3" t="s">
        <v>553</v>
      </c>
      <c r="D2" s="3" t="s">
        <v>553</v>
      </c>
      <c r="E2" s="3" t="s">
        <v>553</v>
      </c>
      <c r="F2" s="3" t="s">
        <v>554</v>
      </c>
      <c r="G2" s="3" t="s">
        <v>553</v>
      </c>
      <c r="H2" s="3" t="s">
        <v>553</v>
      </c>
      <c r="I2" s="3" t="s">
        <v>553</v>
      </c>
      <c r="J2" s="3" t="s">
        <v>555</v>
      </c>
      <c r="K2" s="3" t="s">
        <v>553</v>
      </c>
      <c r="L2" s="3" t="s">
        <v>556</v>
      </c>
      <c r="M2" s="3" t="s">
        <v>557</v>
      </c>
      <c r="N2" s="3" t="s">
        <v>74</v>
      </c>
      <c r="O2" s="3" t="s">
        <v>556</v>
      </c>
      <c r="P2" s="3" t="s">
        <v>556</v>
      </c>
      <c r="Q2" s="3" t="s">
        <v>558</v>
      </c>
      <c r="R2" s="3" t="s">
        <v>559</v>
      </c>
    </row>
    <row r="3" spans="1:18" ht="15" customHeight="1" x14ac:dyDescent="0.3">
      <c r="A3" s="3" t="s">
        <v>560</v>
      </c>
      <c r="B3" s="3" t="s">
        <v>552</v>
      </c>
      <c r="C3" s="3" t="s">
        <v>74</v>
      </c>
      <c r="D3" s="3" t="s">
        <v>553</v>
      </c>
      <c r="E3" s="3" t="s">
        <v>553</v>
      </c>
      <c r="F3" s="3" t="s">
        <v>561</v>
      </c>
      <c r="G3" s="3" t="s">
        <v>553</v>
      </c>
      <c r="H3" s="3" t="s">
        <v>74</v>
      </c>
      <c r="I3" s="3" t="s">
        <v>553</v>
      </c>
      <c r="J3" s="3" t="s">
        <v>74</v>
      </c>
      <c r="K3" s="3" t="s">
        <v>74</v>
      </c>
      <c r="L3" s="3" t="s">
        <v>556</v>
      </c>
      <c r="M3" s="3" t="s">
        <v>74</v>
      </c>
      <c r="N3" s="3" t="s">
        <v>74</v>
      </c>
      <c r="O3" s="3" t="s">
        <v>556</v>
      </c>
      <c r="P3" s="3" t="s">
        <v>556</v>
      </c>
      <c r="Q3" s="3" t="s">
        <v>558</v>
      </c>
      <c r="R3" s="3" t="s">
        <v>562</v>
      </c>
    </row>
    <row r="4" spans="1:18" ht="15" customHeight="1" x14ac:dyDescent="0.3">
      <c r="A4" s="3" t="s">
        <v>563</v>
      </c>
      <c r="B4" s="3" t="s">
        <v>552</v>
      </c>
      <c r="C4" s="3" t="s">
        <v>74</v>
      </c>
      <c r="D4" s="3" t="s">
        <v>553</v>
      </c>
      <c r="E4" s="3" t="s">
        <v>553</v>
      </c>
      <c r="F4" s="3" t="s">
        <v>561</v>
      </c>
      <c r="G4" s="3" t="s">
        <v>553</v>
      </c>
      <c r="H4" s="3" t="s">
        <v>553</v>
      </c>
      <c r="I4" s="3" t="s">
        <v>553</v>
      </c>
      <c r="J4" s="3" t="s">
        <v>74</v>
      </c>
      <c r="K4" s="3" t="s">
        <v>74</v>
      </c>
      <c r="L4" s="3" t="s">
        <v>557</v>
      </c>
      <c r="M4" s="3" t="s">
        <v>557</v>
      </c>
      <c r="N4" s="3" t="s">
        <v>74</v>
      </c>
      <c r="O4" s="3" t="s">
        <v>74</v>
      </c>
      <c r="P4" s="3" t="s">
        <v>74</v>
      </c>
      <c r="Q4" s="3" t="s">
        <v>558</v>
      </c>
      <c r="R4" s="3"/>
    </row>
    <row r="5" spans="1:18" ht="15" customHeight="1" x14ac:dyDescent="0.3">
      <c r="A5" s="3" t="s">
        <v>564</v>
      </c>
      <c r="B5" s="3" t="s">
        <v>552</v>
      </c>
      <c r="C5" s="3" t="s">
        <v>553</v>
      </c>
      <c r="D5" s="3" t="s">
        <v>553</v>
      </c>
      <c r="E5" s="3" t="s">
        <v>553</v>
      </c>
      <c r="F5" s="3" t="s">
        <v>554</v>
      </c>
      <c r="G5" s="3" t="s">
        <v>553</v>
      </c>
      <c r="H5" s="3" t="s">
        <v>553</v>
      </c>
      <c r="I5" s="3" t="s">
        <v>553</v>
      </c>
      <c r="J5" s="3" t="s">
        <v>555</v>
      </c>
      <c r="K5" s="3" t="s">
        <v>74</v>
      </c>
      <c r="L5" s="3" t="s">
        <v>557</v>
      </c>
      <c r="M5" s="3" t="s">
        <v>557</v>
      </c>
      <c r="N5" s="3" t="s">
        <v>74</v>
      </c>
      <c r="O5" s="3" t="s">
        <v>557</v>
      </c>
      <c r="P5" s="3" t="s">
        <v>74</v>
      </c>
      <c r="Q5" s="3" t="s">
        <v>558</v>
      </c>
      <c r="R5" s="3"/>
    </row>
    <row r="6" spans="1:18" ht="15" customHeight="1" x14ac:dyDescent="0.3">
      <c r="A6" s="3" t="s">
        <v>565</v>
      </c>
      <c r="B6" s="3" t="s">
        <v>552</v>
      </c>
      <c r="C6" s="3" t="s">
        <v>553</v>
      </c>
      <c r="D6" s="3" t="s">
        <v>553</v>
      </c>
      <c r="E6" s="3" t="s">
        <v>553</v>
      </c>
      <c r="F6" s="3" t="s">
        <v>554</v>
      </c>
      <c r="G6" s="3" t="s">
        <v>553</v>
      </c>
      <c r="H6" s="3" t="s">
        <v>553</v>
      </c>
      <c r="I6" s="3" t="s">
        <v>553</v>
      </c>
      <c r="J6" s="3" t="s">
        <v>555</v>
      </c>
      <c r="K6" s="3" t="s">
        <v>74</v>
      </c>
      <c r="L6" s="3" t="s">
        <v>557</v>
      </c>
      <c r="M6" s="3" t="s">
        <v>557</v>
      </c>
      <c r="N6" s="3" t="s">
        <v>74</v>
      </c>
      <c r="O6" s="3" t="s">
        <v>557</v>
      </c>
      <c r="P6" s="3" t="s">
        <v>74</v>
      </c>
      <c r="Q6" s="3" t="s">
        <v>558</v>
      </c>
      <c r="R6" s="3"/>
    </row>
    <row r="7" spans="1:18" ht="15" customHeight="1" x14ac:dyDescent="0.3">
      <c r="A7" s="3" t="s">
        <v>566</v>
      </c>
      <c r="B7" s="3" t="s">
        <v>552</v>
      </c>
      <c r="C7" s="3" t="s">
        <v>553</v>
      </c>
      <c r="D7" s="3" t="s">
        <v>553</v>
      </c>
      <c r="E7" s="3" t="s">
        <v>553</v>
      </c>
      <c r="F7" s="3" t="s">
        <v>554</v>
      </c>
      <c r="G7" s="3" t="s">
        <v>553</v>
      </c>
      <c r="H7" s="3" t="s">
        <v>553</v>
      </c>
      <c r="I7" s="3" t="s">
        <v>553</v>
      </c>
      <c r="J7" s="3" t="s">
        <v>555</v>
      </c>
      <c r="K7" s="3" t="s">
        <v>74</v>
      </c>
      <c r="L7" s="3" t="s">
        <v>557</v>
      </c>
      <c r="M7" s="3" t="s">
        <v>557</v>
      </c>
      <c r="N7" s="3" t="s">
        <v>74</v>
      </c>
      <c r="O7" s="3" t="s">
        <v>74</v>
      </c>
      <c r="P7" s="3" t="s">
        <v>74</v>
      </c>
      <c r="Q7" s="3" t="s">
        <v>558</v>
      </c>
      <c r="R7" s="3"/>
    </row>
    <row r="8" spans="1:18" ht="15" customHeight="1" x14ac:dyDescent="0.3">
      <c r="A8" s="3" t="s">
        <v>567</v>
      </c>
      <c r="B8" s="3" t="s">
        <v>552</v>
      </c>
      <c r="C8" s="3" t="s">
        <v>553</v>
      </c>
      <c r="D8" s="3" t="s">
        <v>553</v>
      </c>
      <c r="E8" s="3" t="s">
        <v>553</v>
      </c>
      <c r="F8" s="3" t="s">
        <v>554</v>
      </c>
      <c r="G8" s="3" t="s">
        <v>553</v>
      </c>
      <c r="H8" s="3" t="s">
        <v>553</v>
      </c>
      <c r="I8" s="3" t="s">
        <v>553</v>
      </c>
      <c r="J8" s="3" t="s">
        <v>74</v>
      </c>
      <c r="K8" s="3" t="s">
        <v>74</v>
      </c>
      <c r="L8" s="3" t="s">
        <v>557</v>
      </c>
      <c r="M8" s="3" t="s">
        <v>557</v>
      </c>
      <c r="N8" s="3" t="s">
        <v>74</v>
      </c>
      <c r="O8" s="3" t="s">
        <v>74</v>
      </c>
      <c r="P8" s="3" t="s">
        <v>74</v>
      </c>
      <c r="Q8" s="3" t="s">
        <v>558</v>
      </c>
      <c r="R8" s="3" t="s">
        <v>568</v>
      </c>
    </row>
    <row r="9" spans="1:18" ht="15" customHeight="1" x14ac:dyDescent="0.3">
      <c r="A9" s="3" t="s">
        <v>569</v>
      </c>
      <c r="B9" s="3" t="s">
        <v>552</v>
      </c>
      <c r="C9" s="3" t="s">
        <v>74</v>
      </c>
      <c r="D9" s="3" t="s">
        <v>553</v>
      </c>
      <c r="E9" s="3" t="s">
        <v>553</v>
      </c>
      <c r="F9" s="3" t="s">
        <v>561</v>
      </c>
      <c r="G9" s="3" t="s">
        <v>553</v>
      </c>
      <c r="H9" s="3" t="s">
        <v>553</v>
      </c>
      <c r="I9" s="3" t="s">
        <v>553</v>
      </c>
      <c r="J9" s="3" t="s">
        <v>74</v>
      </c>
      <c r="K9" s="3" t="s">
        <v>74</v>
      </c>
      <c r="L9" s="3" t="s">
        <v>557</v>
      </c>
      <c r="M9" s="3" t="s">
        <v>557</v>
      </c>
      <c r="N9" s="3" t="s">
        <v>74</v>
      </c>
      <c r="O9" s="3" t="s">
        <v>74</v>
      </c>
      <c r="P9" s="3" t="s">
        <v>74</v>
      </c>
      <c r="Q9" s="3" t="s">
        <v>558</v>
      </c>
      <c r="R9" s="3"/>
    </row>
    <row r="10" spans="1:18" ht="15" customHeight="1" x14ac:dyDescent="0.3">
      <c r="A10" s="3" t="s">
        <v>570</v>
      </c>
      <c r="B10" s="3" t="s">
        <v>552</v>
      </c>
      <c r="C10" s="3" t="s">
        <v>74</v>
      </c>
      <c r="D10" s="3" t="s">
        <v>553</v>
      </c>
      <c r="E10" s="3" t="s">
        <v>553</v>
      </c>
      <c r="F10" s="3" t="s">
        <v>561</v>
      </c>
      <c r="G10" s="3" t="s">
        <v>553</v>
      </c>
      <c r="H10" s="3" t="s">
        <v>553</v>
      </c>
      <c r="I10" s="3" t="s">
        <v>74</v>
      </c>
      <c r="J10" s="3" t="s">
        <v>74</v>
      </c>
      <c r="K10" s="3" t="s">
        <v>74</v>
      </c>
      <c r="L10" s="3" t="s">
        <v>74</v>
      </c>
      <c r="M10" s="3" t="s">
        <v>74</v>
      </c>
      <c r="N10" s="3" t="s">
        <v>74</v>
      </c>
      <c r="O10" s="3" t="s">
        <v>74</v>
      </c>
      <c r="P10" s="3" t="s">
        <v>74</v>
      </c>
      <c r="Q10" s="3" t="s">
        <v>74</v>
      </c>
      <c r="R10" s="3"/>
    </row>
    <row r="11" spans="1:18" ht="23.85" customHeight="1" x14ac:dyDescent="0.3">
      <c r="A11" s="3" t="s">
        <v>571</v>
      </c>
      <c r="B11" s="3" t="s">
        <v>552</v>
      </c>
      <c r="C11" s="3" t="s">
        <v>74</v>
      </c>
      <c r="D11" s="3" t="s">
        <v>553</v>
      </c>
      <c r="E11" s="3" t="s">
        <v>553</v>
      </c>
      <c r="F11" s="3" t="s">
        <v>561</v>
      </c>
      <c r="G11" s="3" t="s">
        <v>553</v>
      </c>
      <c r="H11" s="3" t="s">
        <v>74</v>
      </c>
      <c r="I11" s="3" t="s">
        <v>74</v>
      </c>
      <c r="J11" s="3" t="s">
        <v>74</v>
      </c>
      <c r="K11" s="3" t="s">
        <v>74</v>
      </c>
      <c r="L11" s="3" t="s">
        <v>74</v>
      </c>
      <c r="M11" s="3" t="s">
        <v>74</v>
      </c>
      <c r="N11" s="3" t="s">
        <v>74</v>
      </c>
      <c r="O11" s="3" t="s">
        <v>74</v>
      </c>
      <c r="P11" s="3" t="s">
        <v>74</v>
      </c>
      <c r="Q11" s="3" t="s">
        <v>74</v>
      </c>
      <c r="R11" s="3" t="s">
        <v>572</v>
      </c>
    </row>
    <row r="12" spans="1:18" ht="15" customHeight="1" x14ac:dyDescent="0.3">
      <c r="A12" s="3" t="s">
        <v>573</v>
      </c>
      <c r="B12" s="3" t="s">
        <v>574</v>
      </c>
      <c r="C12" s="3" t="s">
        <v>553</v>
      </c>
      <c r="D12" s="3" t="s">
        <v>553</v>
      </c>
      <c r="E12" s="3" t="s">
        <v>553</v>
      </c>
      <c r="F12" s="3" t="s">
        <v>554</v>
      </c>
      <c r="G12" s="3" t="s">
        <v>553</v>
      </c>
      <c r="H12" s="3" t="s">
        <v>553</v>
      </c>
      <c r="I12" s="3" t="s">
        <v>553</v>
      </c>
      <c r="J12" s="3" t="s">
        <v>555</v>
      </c>
      <c r="K12" s="3" t="s">
        <v>553</v>
      </c>
      <c r="L12" s="3" t="s">
        <v>556</v>
      </c>
      <c r="M12" s="3" t="s">
        <v>556</v>
      </c>
      <c r="N12" s="3" t="s">
        <v>556</v>
      </c>
      <c r="O12" s="3" t="s">
        <v>557</v>
      </c>
      <c r="P12" s="3" t="s">
        <v>74</v>
      </c>
      <c r="Q12" s="3" t="s">
        <v>558</v>
      </c>
      <c r="R12" s="3"/>
    </row>
    <row r="13" spans="1:18" ht="15" customHeight="1" x14ac:dyDescent="0.3">
      <c r="A13" s="3" t="s">
        <v>575</v>
      </c>
      <c r="B13" s="3" t="s">
        <v>574</v>
      </c>
      <c r="C13" s="3" t="s">
        <v>553</v>
      </c>
      <c r="D13" s="3" t="s">
        <v>553</v>
      </c>
      <c r="E13" s="3" t="s">
        <v>553</v>
      </c>
      <c r="F13" s="3" t="s">
        <v>554</v>
      </c>
      <c r="G13" s="3" t="s">
        <v>553</v>
      </c>
      <c r="H13" s="3" t="s">
        <v>553</v>
      </c>
      <c r="I13" s="3" t="s">
        <v>553</v>
      </c>
      <c r="J13" s="3" t="s">
        <v>555</v>
      </c>
      <c r="K13" s="3" t="s">
        <v>74</v>
      </c>
      <c r="L13" s="3" t="s">
        <v>557</v>
      </c>
      <c r="M13" s="3" t="s">
        <v>557</v>
      </c>
      <c r="N13" s="3" t="s">
        <v>557</v>
      </c>
      <c r="O13" s="3" t="s">
        <v>74</v>
      </c>
      <c r="P13" s="3" t="s">
        <v>74</v>
      </c>
      <c r="Q13" s="3" t="s">
        <v>558</v>
      </c>
      <c r="R13" s="3"/>
    </row>
    <row r="14" spans="1:18" ht="15" customHeight="1" x14ac:dyDescent="0.3">
      <c r="A14" s="3" t="s">
        <v>576</v>
      </c>
      <c r="B14" s="3" t="s">
        <v>574</v>
      </c>
      <c r="C14" s="3" t="s">
        <v>553</v>
      </c>
      <c r="D14" s="3" t="s">
        <v>553</v>
      </c>
      <c r="E14" s="3" t="s">
        <v>553</v>
      </c>
      <c r="F14" s="3" t="s">
        <v>554</v>
      </c>
      <c r="G14" s="3" t="s">
        <v>553</v>
      </c>
      <c r="H14" s="3" t="s">
        <v>553</v>
      </c>
      <c r="I14" s="3" t="s">
        <v>553</v>
      </c>
      <c r="J14" s="3" t="s">
        <v>555</v>
      </c>
      <c r="K14" s="3" t="s">
        <v>74</v>
      </c>
      <c r="L14" s="3" t="s">
        <v>557</v>
      </c>
      <c r="M14" s="3" t="s">
        <v>557</v>
      </c>
      <c r="N14" s="3" t="s">
        <v>557</v>
      </c>
      <c r="O14" s="3" t="s">
        <v>74</v>
      </c>
      <c r="P14" s="3" t="s">
        <v>74</v>
      </c>
      <c r="Q14" s="3" t="s">
        <v>558</v>
      </c>
      <c r="R14" s="3"/>
    </row>
    <row r="15" spans="1:18" ht="15" customHeight="1" x14ac:dyDescent="0.3">
      <c r="A15" s="3" t="s">
        <v>577</v>
      </c>
      <c r="B15" s="3" t="s">
        <v>574</v>
      </c>
      <c r="C15" s="3" t="s">
        <v>553</v>
      </c>
      <c r="D15" s="3" t="s">
        <v>553</v>
      </c>
      <c r="E15" s="3" t="s">
        <v>553</v>
      </c>
      <c r="F15" s="3" t="s">
        <v>554</v>
      </c>
      <c r="G15" s="3" t="s">
        <v>553</v>
      </c>
      <c r="H15" s="3" t="s">
        <v>553</v>
      </c>
      <c r="I15" s="3" t="s">
        <v>553</v>
      </c>
      <c r="J15" s="3" t="s">
        <v>555</v>
      </c>
      <c r="K15" s="3" t="s">
        <v>553</v>
      </c>
      <c r="L15" s="3" t="s">
        <v>556</v>
      </c>
      <c r="M15" s="3" t="s">
        <v>74</v>
      </c>
      <c r="N15" s="3" t="s">
        <v>74</v>
      </c>
      <c r="O15" s="3" t="s">
        <v>556</v>
      </c>
      <c r="P15" s="3" t="s">
        <v>556</v>
      </c>
      <c r="Q15" s="3" t="s">
        <v>558</v>
      </c>
      <c r="R15" s="3"/>
    </row>
    <row r="16" spans="1:18" ht="15" customHeight="1" x14ac:dyDescent="0.3">
      <c r="A16" s="3" t="s">
        <v>578</v>
      </c>
      <c r="B16" s="3" t="s">
        <v>574</v>
      </c>
      <c r="C16" s="3" t="s">
        <v>553</v>
      </c>
      <c r="D16" s="3" t="s">
        <v>553</v>
      </c>
      <c r="E16" s="3" t="s">
        <v>553</v>
      </c>
      <c r="F16" s="3" t="s">
        <v>554</v>
      </c>
      <c r="G16" s="3" t="s">
        <v>553</v>
      </c>
      <c r="H16" s="3" t="s">
        <v>553</v>
      </c>
      <c r="I16" s="3" t="s">
        <v>553</v>
      </c>
      <c r="J16" s="3" t="s">
        <v>555</v>
      </c>
      <c r="K16" s="3" t="s">
        <v>553</v>
      </c>
      <c r="L16" s="3" t="s">
        <v>556</v>
      </c>
      <c r="M16" s="3" t="s">
        <v>557</v>
      </c>
      <c r="N16" s="3" t="s">
        <v>74</v>
      </c>
      <c r="O16" s="3" t="s">
        <v>556</v>
      </c>
      <c r="P16" s="3" t="s">
        <v>579</v>
      </c>
      <c r="Q16" s="3" t="s">
        <v>558</v>
      </c>
      <c r="R16" s="3"/>
    </row>
    <row r="17" spans="1:18" ht="15" customHeight="1" x14ac:dyDescent="0.3">
      <c r="A17" s="3" t="s">
        <v>580</v>
      </c>
      <c r="B17" s="3" t="s">
        <v>574</v>
      </c>
      <c r="C17" s="3" t="s">
        <v>74</v>
      </c>
      <c r="D17" s="3" t="s">
        <v>553</v>
      </c>
      <c r="E17" s="3" t="s">
        <v>553</v>
      </c>
      <c r="F17" s="3" t="s">
        <v>561</v>
      </c>
      <c r="G17" s="3" t="s">
        <v>553</v>
      </c>
      <c r="H17" s="3" t="s">
        <v>553</v>
      </c>
      <c r="I17" s="3" t="s">
        <v>553</v>
      </c>
      <c r="J17" s="3" t="s">
        <v>74</v>
      </c>
      <c r="K17" s="3" t="s">
        <v>74</v>
      </c>
      <c r="L17" s="3" t="s">
        <v>556</v>
      </c>
      <c r="M17" s="3" t="s">
        <v>557</v>
      </c>
      <c r="N17" s="3" t="s">
        <v>74</v>
      </c>
      <c r="O17" s="3" t="s">
        <v>556</v>
      </c>
      <c r="P17" s="3" t="s">
        <v>556</v>
      </c>
      <c r="Q17" s="3" t="s">
        <v>558</v>
      </c>
      <c r="R17" s="3"/>
    </row>
    <row r="18" spans="1:18" ht="15" customHeight="1" x14ac:dyDescent="0.3">
      <c r="A18" s="3" t="s">
        <v>581</v>
      </c>
      <c r="B18" s="3" t="s">
        <v>574</v>
      </c>
      <c r="C18" s="3" t="s">
        <v>74</v>
      </c>
      <c r="D18" s="3" t="s">
        <v>553</v>
      </c>
      <c r="E18" s="3" t="s">
        <v>553</v>
      </c>
      <c r="F18" s="3" t="s">
        <v>561</v>
      </c>
      <c r="G18" s="3" t="s">
        <v>553</v>
      </c>
      <c r="H18" s="3" t="s">
        <v>553</v>
      </c>
      <c r="I18" s="3" t="s">
        <v>553</v>
      </c>
      <c r="J18" s="3" t="s">
        <v>74</v>
      </c>
      <c r="K18" s="3" t="s">
        <v>74</v>
      </c>
      <c r="L18" s="3" t="s">
        <v>557</v>
      </c>
      <c r="M18" s="3" t="s">
        <v>556</v>
      </c>
      <c r="N18" s="3" t="s">
        <v>557</v>
      </c>
      <c r="O18" s="3" t="s">
        <v>557</v>
      </c>
      <c r="P18" s="3" t="s">
        <v>74</v>
      </c>
      <c r="Q18" s="3" t="s">
        <v>558</v>
      </c>
      <c r="R18" s="3"/>
    </row>
    <row r="19" spans="1:18" ht="15" customHeight="1" x14ac:dyDescent="0.3">
      <c r="A19" s="3" t="s">
        <v>582</v>
      </c>
      <c r="B19" s="3" t="s">
        <v>574</v>
      </c>
      <c r="C19" s="3" t="s">
        <v>553</v>
      </c>
      <c r="D19" s="3" t="s">
        <v>553</v>
      </c>
      <c r="E19" s="3" t="s">
        <v>553</v>
      </c>
      <c r="F19" s="3" t="s">
        <v>554</v>
      </c>
      <c r="G19" s="3" t="s">
        <v>553</v>
      </c>
      <c r="H19" s="3" t="s">
        <v>553</v>
      </c>
      <c r="I19" s="3" t="s">
        <v>553</v>
      </c>
      <c r="J19" s="3" t="s">
        <v>555</v>
      </c>
      <c r="K19" s="3" t="s">
        <v>74</v>
      </c>
      <c r="L19" s="3" t="s">
        <v>556</v>
      </c>
      <c r="M19" s="3" t="s">
        <v>556</v>
      </c>
      <c r="N19" s="3" t="s">
        <v>74</v>
      </c>
      <c r="O19" s="3" t="s">
        <v>557</v>
      </c>
      <c r="P19" s="3" t="s">
        <v>579</v>
      </c>
      <c r="Q19" s="3" t="s">
        <v>558</v>
      </c>
      <c r="R19" s="3"/>
    </row>
    <row r="20" spans="1:18" ht="15" customHeight="1" x14ac:dyDescent="0.3">
      <c r="A20" s="3" t="s">
        <v>583</v>
      </c>
      <c r="B20" s="3" t="s">
        <v>574</v>
      </c>
      <c r="C20" s="3" t="s">
        <v>74</v>
      </c>
      <c r="D20" s="3" t="s">
        <v>553</v>
      </c>
      <c r="E20" s="3" t="s">
        <v>553</v>
      </c>
      <c r="F20" s="3" t="s">
        <v>561</v>
      </c>
      <c r="G20" s="3" t="s">
        <v>553</v>
      </c>
      <c r="H20" s="3" t="s">
        <v>553</v>
      </c>
      <c r="I20" s="3" t="s">
        <v>553</v>
      </c>
      <c r="J20" s="3" t="s">
        <v>74</v>
      </c>
      <c r="K20" s="3" t="s">
        <v>74</v>
      </c>
      <c r="L20" s="3" t="s">
        <v>557</v>
      </c>
      <c r="M20" s="3" t="s">
        <v>74</v>
      </c>
      <c r="N20" s="3" t="s">
        <v>74</v>
      </c>
      <c r="O20" s="3" t="s">
        <v>74</v>
      </c>
      <c r="P20" s="3" t="s">
        <v>74</v>
      </c>
      <c r="Q20" s="3" t="s">
        <v>558</v>
      </c>
      <c r="R20" s="3"/>
    </row>
    <row r="21" spans="1:18" ht="15" customHeight="1" x14ac:dyDescent="0.3">
      <c r="A21" s="3" t="s">
        <v>584</v>
      </c>
      <c r="B21" s="3" t="s">
        <v>574</v>
      </c>
      <c r="C21" s="3" t="s">
        <v>74</v>
      </c>
      <c r="D21" s="3" t="s">
        <v>553</v>
      </c>
      <c r="E21" s="3" t="s">
        <v>553</v>
      </c>
      <c r="F21" s="3" t="s">
        <v>561</v>
      </c>
      <c r="G21" s="3" t="s">
        <v>553</v>
      </c>
      <c r="H21" s="3" t="s">
        <v>553</v>
      </c>
      <c r="I21" s="3" t="s">
        <v>553</v>
      </c>
      <c r="J21" s="3" t="s">
        <v>74</v>
      </c>
      <c r="K21" s="3" t="s">
        <v>74</v>
      </c>
      <c r="L21" s="3" t="s">
        <v>74</v>
      </c>
      <c r="M21" s="3" t="s">
        <v>74</v>
      </c>
      <c r="N21" s="3" t="s">
        <v>579</v>
      </c>
      <c r="O21" s="3" t="s">
        <v>74</v>
      </c>
      <c r="P21" s="3" t="s">
        <v>74</v>
      </c>
      <c r="Q21" s="3" t="s">
        <v>558</v>
      </c>
      <c r="R21" s="3"/>
    </row>
    <row r="22" spans="1:18" ht="15" customHeight="1" x14ac:dyDescent="0.3">
      <c r="A22" s="3" t="s">
        <v>585</v>
      </c>
      <c r="B22" s="3" t="s">
        <v>574</v>
      </c>
      <c r="C22" s="3" t="s">
        <v>74</v>
      </c>
      <c r="D22" s="3" t="s">
        <v>553</v>
      </c>
      <c r="E22" s="3" t="s">
        <v>553</v>
      </c>
      <c r="F22" s="3" t="s">
        <v>561</v>
      </c>
      <c r="G22" s="3" t="s">
        <v>553</v>
      </c>
      <c r="H22" s="3" t="s">
        <v>553</v>
      </c>
      <c r="I22" s="3" t="s">
        <v>74</v>
      </c>
      <c r="J22" s="3" t="s">
        <v>74</v>
      </c>
      <c r="K22" s="3" t="s">
        <v>74</v>
      </c>
      <c r="L22" s="3" t="s">
        <v>74</v>
      </c>
      <c r="M22" s="3" t="s">
        <v>74</v>
      </c>
      <c r="N22" s="3" t="s">
        <v>74</v>
      </c>
      <c r="O22" s="3" t="s">
        <v>74</v>
      </c>
      <c r="P22" s="3" t="s">
        <v>74</v>
      </c>
      <c r="Q22" s="3" t="s">
        <v>74</v>
      </c>
      <c r="R22" s="3"/>
    </row>
    <row r="23" spans="1:18" ht="15" customHeight="1" x14ac:dyDescent="0.3">
      <c r="A23" s="3" t="s">
        <v>586</v>
      </c>
      <c r="B23" s="3" t="s">
        <v>574</v>
      </c>
      <c r="C23" s="3" t="s">
        <v>553</v>
      </c>
      <c r="D23" s="3" t="s">
        <v>553</v>
      </c>
      <c r="E23" s="3" t="s">
        <v>553</v>
      </c>
      <c r="F23" s="3" t="s">
        <v>554</v>
      </c>
      <c r="G23" s="3" t="s">
        <v>553</v>
      </c>
      <c r="H23" s="3" t="s">
        <v>553</v>
      </c>
      <c r="I23" s="3" t="s">
        <v>553</v>
      </c>
      <c r="J23" s="3" t="s">
        <v>555</v>
      </c>
      <c r="K23" s="3" t="s">
        <v>74</v>
      </c>
      <c r="L23" s="3" t="s">
        <v>579</v>
      </c>
      <c r="M23" s="3" t="s">
        <v>74</v>
      </c>
      <c r="N23" s="3" t="s">
        <v>74</v>
      </c>
      <c r="O23" s="3" t="s">
        <v>557</v>
      </c>
      <c r="P23" s="3" t="s">
        <v>74</v>
      </c>
      <c r="Q23" s="3" t="s">
        <v>558</v>
      </c>
      <c r="R23" s="3"/>
    </row>
    <row r="24" spans="1:18" ht="15" customHeight="1" x14ac:dyDescent="0.3">
      <c r="A24" s="3" t="s">
        <v>587</v>
      </c>
      <c r="B24" s="3" t="s">
        <v>574</v>
      </c>
      <c r="C24" s="3" t="s">
        <v>74</v>
      </c>
      <c r="D24" s="3" t="s">
        <v>553</v>
      </c>
      <c r="E24" s="3" t="s">
        <v>553</v>
      </c>
      <c r="F24" s="3" t="s">
        <v>561</v>
      </c>
      <c r="G24" s="3" t="s">
        <v>553</v>
      </c>
      <c r="H24" s="3" t="s">
        <v>553</v>
      </c>
      <c r="I24" s="3" t="s">
        <v>553</v>
      </c>
      <c r="J24" s="3" t="s">
        <v>74</v>
      </c>
      <c r="K24" s="3" t="s">
        <v>74</v>
      </c>
      <c r="L24" s="3" t="s">
        <v>557</v>
      </c>
      <c r="M24" s="3" t="s">
        <v>557</v>
      </c>
      <c r="N24" s="3" t="s">
        <v>557</v>
      </c>
      <c r="O24" s="3" t="s">
        <v>74</v>
      </c>
      <c r="P24" s="3" t="s">
        <v>74</v>
      </c>
      <c r="Q24" s="3" t="s">
        <v>558</v>
      </c>
      <c r="R24" s="3"/>
    </row>
    <row r="25" spans="1:18" ht="15" customHeight="1" x14ac:dyDescent="0.3">
      <c r="A25" s="3" t="s">
        <v>588</v>
      </c>
      <c r="B25" s="3" t="s">
        <v>574</v>
      </c>
      <c r="C25" s="3" t="s">
        <v>553</v>
      </c>
      <c r="D25" s="3" t="s">
        <v>553</v>
      </c>
      <c r="E25" s="3" t="s">
        <v>553</v>
      </c>
      <c r="F25" s="3" t="s">
        <v>554</v>
      </c>
      <c r="G25" s="3" t="s">
        <v>553</v>
      </c>
      <c r="H25" s="3" t="s">
        <v>553</v>
      </c>
      <c r="I25" s="3" t="s">
        <v>553</v>
      </c>
      <c r="J25" s="3" t="s">
        <v>555</v>
      </c>
      <c r="K25" s="3" t="s">
        <v>553</v>
      </c>
      <c r="L25" s="3" t="s">
        <v>556</v>
      </c>
      <c r="M25" s="3" t="s">
        <v>557</v>
      </c>
      <c r="N25" s="3" t="s">
        <v>557</v>
      </c>
      <c r="O25" s="3" t="s">
        <v>556</v>
      </c>
      <c r="P25" s="3" t="s">
        <v>556</v>
      </c>
      <c r="Q25" s="3" t="s">
        <v>558</v>
      </c>
      <c r="R25" s="3"/>
    </row>
    <row r="26" spans="1:18" ht="15" customHeight="1" x14ac:dyDescent="0.3">
      <c r="A26" s="3" t="s">
        <v>589</v>
      </c>
      <c r="B26" s="3" t="s">
        <v>574</v>
      </c>
      <c r="C26" s="3" t="s">
        <v>553</v>
      </c>
      <c r="D26" s="3" t="s">
        <v>553</v>
      </c>
      <c r="E26" s="3" t="s">
        <v>553</v>
      </c>
      <c r="F26" s="3" t="s">
        <v>554</v>
      </c>
      <c r="G26" s="3" t="s">
        <v>553</v>
      </c>
      <c r="H26" s="3" t="s">
        <v>553</v>
      </c>
      <c r="I26" s="3" t="s">
        <v>553</v>
      </c>
      <c r="J26" s="3" t="s">
        <v>555</v>
      </c>
      <c r="K26" s="3" t="s">
        <v>74</v>
      </c>
      <c r="L26" s="3" t="s">
        <v>557</v>
      </c>
      <c r="M26" s="3" t="s">
        <v>557</v>
      </c>
      <c r="N26" s="3" t="s">
        <v>557</v>
      </c>
      <c r="O26" s="3" t="s">
        <v>74</v>
      </c>
      <c r="P26" s="3" t="s">
        <v>557</v>
      </c>
      <c r="Q26" s="3" t="s">
        <v>558</v>
      </c>
      <c r="R26" s="3"/>
    </row>
    <row r="27" spans="1:18" ht="15" customHeight="1" x14ac:dyDescent="0.3">
      <c r="A27" s="3" t="s">
        <v>590</v>
      </c>
      <c r="B27" s="3" t="s">
        <v>574</v>
      </c>
      <c r="C27" s="3" t="s">
        <v>553</v>
      </c>
      <c r="D27" s="3" t="s">
        <v>553</v>
      </c>
      <c r="E27" s="3" t="s">
        <v>553</v>
      </c>
      <c r="F27" s="3" t="s">
        <v>554</v>
      </c>
      <c r="G27" s="3" t="s">
        <v>553</v>
      </c>
      <c r="H27" s="3" t="s">
        <v>553</v>
      </c>
      <c r="I27" s="3" t="s">
        <v>553</v>
      </c>
      <c r="J27" s="3" t="s">
        <v>555</v>
      </c>
      <c r="K27" s="3" t="s">
        <v>74</v>
      </c>
      <c r="L27" s="3" t="s">
        <v>557</v>
      </c>
      <c r="M27" s="3" t="s">
        <v>74</v>
      </c>
      <c r="N27" s="3" t="s">
        <v>74</v>
      </c>
      <c r="O27" s="3" t="s">
        <v>556</v>
      </c>
      <c r="P27" s="3" t="s">
        <v>557</v>
      </c>
      <c r="Q27" s="3" t="s">
        <v>558</v>
      </c>
      <c r="R27" s="3"/>
    </row>
    <row r="28" spans="1:18" ht="15" customHeight="1" x14ac:dyDescent="0.3">
      <c r="A28" s="3" t="s">
        <v>591</v>
      </c>
      <c r="B28" s="3" t="s">
        <v>574</v>
      </c>
      <c r="C28" s="3" t="s">
        <v>553</v>
      </c>
      <c r="D28" s="3" t="s">
        <v>553</v>
      </c>
      <c r="E28" s="3" t="s">
        <v>553</v>
      </c>
      <c r="F28" s="3" t="s">
        <v>554</v>
      </c>
      <c r="G28" s="3" t="s">
        <v>553</v>
      </c>
      <c r="H28" s="3" t="s">
        <v>553</v>
      </c>
      <c r="I28" s="3" t="s">
        <v>553</v>
      </c>
      <c r="J28" s="3" t="s">
        <v>555</v>
      </c>
      <c r="K28" s="3" t="s">
        <v>74</v>
      </c>
      <c r="L28" s="3" t="s">
        <v>557</v>
      </c>
      <c r="M28" s="3" t="s">
        <v>557</v>
      </c>
      <c r="N28" s="3" t="s">
        <v>557</v>
      </c>
      <c r="O28" s="3" t="s">
        <v>74</v>
      </c>
      <c r="P28" s="3" t="s">
        <v>74</v>
      </c>
      <c r="Q28" s="3" t="s">
        <v>558</v>
      </c>
      <c r="R28" s="3"/>
    </row>
    <row r="29" spans="1:18" ht="15" customHeight="1" x14ac:dyDescent="0.3">
      <c r="A29" s="3" t="s">
        <v>592</v>
      </c>
      <c r="B29" s="3" t="s">
        <v>574</v>
      </c>
      <c r="C29" s="3" t="s">
        <v>553</v>
      </c>
      <c r="D29" s="3" t="s">
        <v>553</v>
      </c>
      <c r="E29" s="3" t="s">
        <v>553</v>
      </c>
      <c r="F29" s="3" t="s">
        <v>554</v>
      </c>
      <c r="G29" s="3" t="s">
        <v>553</v>
      </c>
      <c r="H29" s="3" t="s">
        <v>553</v>
      </c>
      <c r="I29" s="3" t="s">
        <v>553</v>
      </c>
      <c r="J29" s="3" t="s">
        <v>555</v>
      </c>
      <c r="K29" s="3" t="s">
        <v>74</v>
      </c>
      <c r="L29" s="3" t="s">
        <v>557</v>
      </c>
      <c r="M29" s="3" t="s">
        <v>557</v>
      </c>
      <c r="N29" s="3" t="s">
        <v>557</v>
      </c>
      <c r="O29" s="3" t="s">
        <v>74</v>
      </c>
      <c r="P29" s="3" t="s">
        <v>74</v>
      </c>
      <c r="Q29" s="3" t="s">
        <v>558</v>
      </c>
      <c r="R29" s="3"/>
    </row>
    <row r="30" spans="1:18" ht="15" customHeight="1" x14ac:dyDescent="0.3">
      <c r="A30" s="3" t="s">
        <v>593</v>
      </c>
      <c r="B30" s="3" t="s">
        <v>574</v>
      </c>
      <c r="C30" s="3" t="s">
        <v>553</v>
      </c>
      <c r="D30" s="3" t="s">
        <v>553</v>
      </c>
      <c r="E30" s="3" t="s">
        <v>553</v>
      </c>
      <c r="F30" s="3" t="s">
        <v>554</v>
      </c>
      <c r="G30" s="3" t="s">
        <v>553</v>
      </c>
      <c r="H30" s="3" t="s">
        <v>553</v>
      </c>
      <c r="I30" s="3" t="s">
        <v>553</v>
      </c>
      <c r="J30" s="3" t="s">
        <v>555</v>
      </c>
      <c r="K30" s="3" t="s">
        <v>74</v>
      </c>
      <c r="L30" s="3" t="s">
        <v>557</v>
      </c>
      <c r="M30" s="3" t="s">
        <v>557</v>
      </c>
      <c r="N30" s="3" t="s">
        <v>557</v>
      </c>
      <c r="O30" s="3" t="s">
        <v>74</v>
      </c>
      <c r="P30" s="3" t="s">
        <v>74</v>
      </c>
      <c r="Q30" s="3" t="s">
        <v>558</v>
      </c>
      <c r="R30" s="3"/>
    </row>
    <row r="31" spans="1:18" ht="15" customHeight="1" x14ac:dyDescent="0.3">
      <c r="A31" s="3" t="s">
        <v>594</v>
      </c>
      <c r="B31" s="3" t="s">
        <v>574</v>
      </c>
      <c r="C31" s="3" t="s">
        <v>74</v>
      </c>
      <c r="D31" s="3" t="s">
        <v>553</v>
      </c>
      <c r="E31" s="3" t="s">
        <v>553</v>
      </c>
      <c r="F31" s="3" t="s">
        <v>561</v>
      </c>
      <c r="G31" s="3" t="s">
        <v>553</v>
      </c>
      <c r="H31" s="3" t="s">
        <v>553</v>
      </c>
      <c r="I31" s="3" t="s">
        <v>553</v>
      </c>
      <c r="J31" s="3" t="s">
        <v>74</v>
      </c>
      <c r="K31" s="3" t="s">
        <v>74</v>
      </c>
      <c r="L31" s="3" t="s">
        <v>557</v>
      </c>
      <c r="M31" s="3" t="s">
        <v>557</v>
      </c>
      <c r="N31" s="3" t="s">
        <v>557</v>
      </c>
      <c r="O31" s="3" t="s">
        <v>74</v>
      </c>
      <c r="P31" s="3" t="s">
        <v>74</v>
      </c>
      <c r="Q31" s="3" t="s">
        <v>558</v>
      </c>
      <c r="R31" s="3"/>
    </row>
    <row r="32" spans="1:18" ht="15" customHeight="1" x14ac:dyDescent="0.3">
      <c r="A32" s="3" t="s">
        <v>595</v>
      </c>
      <c r="B32" s="3" t="s">
        <v>596</v>
      </c>
      <c r="C32" s="3" t="s">
        <v>553</v>
      </c>
      <c r="D32" s="3" t="s">
        <v>553</v>
      </c>
      <c r="E32" s="3" t="s">
        <v>553</v>
      </c>
      <c r="F32" s="3" t="s">
        <v>554</v>
      </c>
      <c r="G32" s="3" t="s">
        <v>553</v>
      </c>
      <c r="H32" s="3" t="s">
        <v>553</v>
      </c>
      <c r="I32" s="3" t="s">
        <v>553</v>
      </c>
      <c r="J32" s="3" t="s">
        <v>74</v>
      </c>
      <c r="K32" s="3" t="s">
        <v>74</v>
      </c>
      <c r="L32" s="3" t="s">
        <v>557</v>
      </c>
      <c r="M32" s="3" t="s">
        <v>557</v>
      </c>
      <c r="N32" s="3" t="s">
        <v>74</v>
      </c>
      <c r="O32" s="3" t="s">
        <v>74</v>
      </c>
      <c r="P32" s="3" t="s">
        <v>74</v>
      </c>
      <c r="Q32" s="3" t="s">
        <v>558</v>
      </c>
      <c r="R32" s="3"/>
    </row>
    <row r="33" spans="1:18" ht="15" customHeight="1" x14ac:dyDescent="0.3">
      <c r="A33" s="3" t="s">
        <v>597</v>
      </c>
      <c r="B33" s="3" t="s">
        <v>596</v>
      </c>
      <c r="C33" s="3" t="s">
        <v>553</v>
      </c>
      <c r="D33" s="3" t="s">
        <v>553</v>
      </c>
      <c r="E33" s="3" t="s">
        <v>553</v>
      </c>
      <c r="F33" s="3" t="s">
        <v>554</v>
      </c>
      <c r="G33" s="3" t="s">
        <v>553</v>
      </c>
      <c r="H33" s="3" t="s">
        <v>553</v>
      </c>
      <c r="I33" s="3" t="s">
        <v>553</v>
      </c>
      <c r="J33" s="3" t="s">
        <v>74</v>
      </c>
      <c r="K33" s="3" t="s">
        <v>74</v>
      </c>
      <c r="L33" s="3" t="s">
        <v>557</v>
      </c>
      <c r="M33" s="3" t="s">
        <v>557</v>
      </c>
      <c r="N33" s="3" t="s">
        <v>74</v>
      </c>
      <c r="O33" s="3" t="s">
        <v>74</v>
      </c>
      <c r="P33" s="3" t="s">
        <v>74</v>
      </c>
      <c r="Q33" s="3" t="s">
        <v>558</v>
      </c>
      <c r="R33" s="3"/>
    </row>
    <row r="34" spans="1:18" ht="15" customHeight="1" x14ac:dyDescent="0.3">
      <c r="A34" s="3" t="s">
        <v>598</v>
      </c>
      <c r="B34" s="3" t="s">
        <v>596</v>
      </c>
      <c r="C34" s="3" t="s">
        <v>74</v>
      </c>
      <c r="D34" s="3" t="s">
        <v>553</v>
      </c>
      <c r="E34" s="3" t="s">
        <v>553</v>
      </c>
      <c r="F34" s="3" t="s">
        <v>561</v>
      </c>
      <c r="G34" s="3" t="s">
        <v>553</v>
      </c>
      <c r="H34" s="3" t="s">
        <v>553</v>
      </c>
      <c r="I34" s="3" t="s">
        <v>553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74</v>
      </c>
      <c r="Q34" s="3" t="s">
        <v>74</v>
      </c>
      <c r="R34" s="3"/>
    </row>
    <row r="35" spans="1:18" ht="15" customHeight="1" x14ac:dyDescent="0.3">
      <c r="A35" s="3" t="s">
        <v>599</v>
      </c>
      <c r="B35" s="3" t="s">
        <v>596</v>
      </c>
      <c r="C35" s="3" t="s">
        <v>553</v>
      </c>
      <c r="D35" s="3" t="s">
        <v>553</v>
      </c>
      <c r="E35" s="3" t="s">
        <v>553</v>
      </c>
      <c r="F35" s="3" t="s">
        <v>554</v>
      </c>
      <c r="G35" s="3" t="s">
        <v>553</v>
      </c>
      <c r="H35" s="3" t="s">
        <v>553</v>
      </c>
      <c r="I35" s="3" t="s">
        <v>553</v>
      </c>
      <c r="J35" s="3" t="s">
        <v>555</v>
      </c>
      <c r="K35" s="3" t="s">
        <v>74</v>
      </c>
      <c r="L35" s="3" t="s">
        <v>557</v>
      </c>
      <c r="M35" s="3" t="s">
        <v>557</v>
      </c>
      <c r="N35" s="3" t="s">
        <v>74</v>
      </c>
      <c r="O35" s="3" t="s">
        <v>557</v>
      </c>
      <c r="P35" s="3" t="s">
        <v>74</v>
      </c>
      <c r="Q35" s="3" t="s">
        <v>558</v>
      </c>
      <c r="R35" s="3"/>
    </row>
    <row r="36" spans="1:18" ht="15" customHeight="1" x14ac:dyDescent="0.3">
      <c r="A36" s="3" t="s">
        <v>600</v>
      </c>
      <c r="B36" s="3" t="s">
        <v>596</v>
      </c>
      <c r="C36" s="3" t="s">
        <v>553</v>
      </c>
      <c r="D36" s="3" t="s">
        <v>553</v>
      </c>
      <c r="E36" s="3" t="s">
        <v>553</v>
      </c>
      <c r="F36" s="3" t="s">
        <v>554</v>
      </c>
      <c r="G36" s="3" t="s">
        <v>553</v>
      </c>
      <c r="H36" s="3" t="s">
        <v>553</v>
      </c>
      <c r="I36" s="3" t="s">
        <v>553</v>
      </c>
      <c r="J36" s="3" t="s">
        <v>555</v>
      </c>
      <c r="K36" s="3" t="s">
        <v>74</v>
      </c>
      <c r="L36" s="3" t="s">
        <v>557</v>
      </c>
      <c r="M36" s="3" t="s">
        <v>557</v>
      </c>
      <c r="N36" s="3" t="s">
        <v>557</v>
      </c>
      <c r="O36" s="3" t="s">
        <v>557</v>
      </c>
      <c r="P36" s="3" t="s">
        <v>557</v>
      </c>
      <c r="Q36" s="3" t="s">
        <v>558</v>
      </c>
      <c r="R36" s="3"/>
    </row>
    <row r="37" spans="1:18" ht="15" customHeight="1" x14ac:dyDescent="0.3">
      <c r="A37" s="3" t="s">
        <v>601</v>
      </c>
      <c r="B37" s="3" t="s">
        <v>596</v>
      </c>
      <c r="C37" s="3" t="s">
        <v>553</v>
      </c>
      <c r="D37" s="3" t="s">
        <v>553</v>
      </c>
      <c r="E37" s="3" t="s">
        <v>553</v>
      </c>
      <c r="F37" s="3" t="s">
        <v>554</v>
      </c>
      <c r="G37" s="3" t="s">
        <v>553</v>
      </c>
      <c r="H37" s="3" t="s">
        <v>553</v>
      </c>
      <c r="I37" s="3" t="s">
        <v>553</v>
      </c>
      <c r="J37" s="3" t="s">
        <v>555</v>
      </c>
      <c r="K37" s="3" t="s">
        <v>74</v>
      </c>
      <c r="L37" s="3" t="s">
        <v>557</v>
      </c>
      <c r="M37" s="3" t="s">
        <v>557</v>
      </c>
      <c r="N37" s="3" t="s">
        <v>557</v>
      </c>
      <c r="O37" s="3" t="s">
        <v>74</v>
      </c>
      <c r="P37" s="3" t="s">
        <v>74</v>
      </c>
      <c r="Q37" s="3" t="s">
        <v>558</v>
      </c>
      <c r="R37" s="3"/>
    </row>
    <row r="38" spans="1:18" ht="15" customHeight="1" x14ac:dyDescent="0.3">
      <c r="A38" s="3" t="s">
        <v>602</v>
      </c>
      <c r="B38" s="3" t="s">
        <v>596</v>
      </c>
      <c r="C38" s="3" t="s">
        <v>553</v>
      </c>
      <c r="D38" s="3" t="s">
        <v>553</v>
      </c>
      <c r="E38" s="3" t="s">
        <v>553</v>
      </c>
      <c r="F38" s="3" t="s">
        <v>554</v>
      </c>
      <c r="G38" s="3" t="s">
        <v>553</v>
      </c>
      <c r="H38" s="3" t="s">
        <v>553</v>
      </c>
      <c r="I38" s="3" t="s">
        <v>553</v>
      </c>
      <c r="J38" s="3" t="s">
        <v>74</v>
      </c>
      <c r="K38" s="3" t="s">
        <v>74</v>
      </c>
      <c r="L38" s="3" t="s">
        <v>557</v>
      </c>
      <c r="M38" s="3" t="s">
        <v>74</v>
      </c>
      <c r="N38" s="3" t="s">
        <v>74</v>
      </c>
      <c r="O38" s="3" t="s">
        <v>557</v>
      </c>
      <c r="P38" s="3" t="s">
        <v>74</v>
      </c>
      <c r="Q38" s="3" t="s">
        <v>558</v>
      </c>
      <c r="R38" s="3"/>
    </row>
    <row r="39" spans="1:18" ht="15" customHeight="1" x14ac:dyDescent="0.3">
      <c r="A39" s="3" t="s">
        <v>603</v>
      </c>
      <c r="B39" s="3" t="s">
        <v>596</v>
      </c>
      <c r="C39" s="3" t="s">
        <v>74</v>
      </c>
      <c r="D39" s="3" t="s">
        <v>553</v>
      </c>
      <c r="E39" s="3" t="s">
        <v>553</v>
      </c>
      <c r="F39" s="3" t="s">
        <v>561</v>
      </c>
      <c r="G39" s="3" t="s">
        <v>553</v>
      </c>
      <c r="H39" s="3" t="s">
        <v>74</v>
      </c>
      <c r="I39" s="3" t="s">
        <v>553</v>
      </c>
      <c r="J39" s="3" t="s">
        <v>74</v>
      </c>
      <c r="K39" s="3" t="s">
        <v>74</v>
      </c>
      <c r="L39" s="3" t="s">
        <v>74</v>
      </c>
      <c r="M39" s="3" t="s">
        <v>74</v>
      </c>
      <c r="N39" s="3" t="s">
        <v>74</v>
      </c>
      <c r="O39" s="3" t="s">
        <v>74</v>
      </c>
      <c r="P39" s="3" t="s">
        <v>74</v>
      </c>
      <c r="Q39" s="3" t="s">
        <v>74</v>
      </c>
      <c r="R39" s="3" t="s">
        <v>604</v>
      </c>
    </row>
    <row r="40" spans="1:18" ht="15" customHeight="1" x14ac:dyDescent="0.3">
      <c r="A40" s="3" t="s">
        <v>605</v>
      </c>
      <c r="B40" s="3" t="s">
        <v>596</v>
      </c>
      <c r="C40" s="3" t="s">
        <v>74</v>
      </c>
      <c r="D40" s="3" t="s">
        <v>553</v>
      </c>
      <c r="E40" s="3" t="s">
        <v>553</v>
      </c>
      <c r="F40" s="3" t="s">
        <v>561</v>
      </c>
      <c r="G40" s="3" t="s">
        <v>553</v>
      </c>
      <c r="H40" s="3" t="s">
        <v>553</v>
      </c>
      <c r="I40" s="3" t="s">
        <v>74</v>
      </c>
      <c r="J40" s="3" t="s">
        <v>74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74</v>
      </c>
      <c r="P40" s="3" t="s">
        <v>74</v>
      </c>
      <c r="Q40" s="3" t="s">
        <v>74</v>
      </c>
      <c r="R40" s="3"/>
    </row>
    <row r="41" spans="1:18" ht="15" customHeight="1" x14ac:dyDescent="0.3">
      <c r="A41" s="3" t="s">
        <v>606</v>
      </c>
      <c r="B41" s="3" t="s">
        <v>596</v>
      </c>
      <c r="C41" s="3" t="s">
        <v>74</v>
      </c>
      <c r="D41" s="3" t="s">
        <v>553</v>
      </c>
      <c r="E41" s="3" t="s">
        <v>553</v>
      </c>
      <c r="F41" s="3" t="s">
        <v>561</v>
      </c>
      <c r="G41" s="3" t="s">
        <v>553</v>
      </c>
      <c r="H41" s="3" t="s">
        <v>553</v>
      </c>
      <c r="I41" s="3" t="s">
        <v>74</v>
      </c>
      <c r="J41" s="3" t="s">
        <v>74</v>
      </c>
      <c r="K41" s="3" t="s">
        <v>74</v>
      </c>
      <c r="L41" s="3" t="s">
        <v>74</v>
      </c>
      <c r="M41" s="3" t="s">
        <v>74</v>
      </c>
      <c r="N41" s="3" t="s">
        <v>74</v>
      </c>
      <c r="O41" s="3" t="s">
        <v>74</v>
      </c>
      <c r="P41" s="3" t="s">
        <v>74</v>
      </c>
      <c r="Q41" s="3" t="s">
        <v>74</v>
      </c>
      <c r="R41" s="3"/>
    </row>
    <row r="42" spans="1:18" ht="15" customHeight="1" x14ac:dyDescent="0.3">
      <c r="A42" s="3" t="s">
        <v>607</v>
      </c>
      <c r="B42" s="3" t="s">
        <v>596</v>
      </c>
      <c r="C42" s="3" t="s">
        <v>74</v>
      </c>
      <c r="D42" s="3" t="s">
        <v>553</v>
      </c>
      <c r="E42" s="3" t="s">
        <v>553</v>
      </c>
      <c r="F42" s="3" t="s">
        <v>561</v>
      </c>
      <c r="G42" s="3" t="s">
        <v>553</v>
      </c>
      <c r="H42" s="3" t="s">
        <v>553</v>
      </c>
      <c r="I42" s="3" t="s">
        <v>74</v>
      </c>
      <c r="J42" s="3" t="s">
        <v>74</v>
      </c>
      <c r="K42" s="3" t="s">
        <v>74</v>
      </c>
      <c r="L42" s="3" t="s">
        <v>74</v>
      </c>
      <c r="M42" s="3" t="s">
        <v>74</v>
      </c>
      <c r="N42" s="3" t="s">
        <v>74</v>
      </c>
      <c r="O42" s="3" t="s">
        <v>74</v>
      </c>
      <c r="P42" s="3" t="s">
        <v>74</v>
      </c>
      <c r="Q42" s="3" t="s">
        <v>74</v>
      </c>
      <c r="R42" s="3"/>
    </row>
    <row r="43" spans="1:18" ht="15" customHeight="1" x14ac:dyDescent="0.3">
      <c r="A43" s="3" t="s">
        <v>608</v>
      </c>
      <c r="B43" s="3" t="s">
        <v>596</v>
      </c>
      <c r="C43" s="3" t="s">
        <v>74</v>
      </c>
      <c r="D43" s="3" t="s">
        <v>553</v>
      </c>
      <c r="E43" s="3" t="s">
        <v>553</v>
      </c>
      <c r="F43" s="3" t="s">
        <v>561</v>
      </c>
      <c r="G43" s="3" t="s">
        <v>553</v>
      </c>
      <c r="H43" s="3" t="s">
        <v>553</v>
      </c>
      <c r="I43" s="3" t="s">
        <v>553</v>
      </c>
      <c r="J43" s="3" t="s">
        <v>74</v>
      </c>
      <c r="K43" s="3" t="s">
        <v>74</v>
      </c>
      <c r="L43" s="3" t="s">
        <v>74</v>
      </c>
      <c r="M43" s="3" t="s">
        <v>74</v>
      </c>
      <c r="N43" s="3" t="s">
        <v>74</v>
      </c>
      <c r="O43" s="3" t="s">
        <v>74</v>
      </c>
      <c r="P43" s="3" t="s">
        <v>74</v>
      </c>
      <c r="Q43" s="3" t="s">
        <v>74</v>
      </c>
      <c r="R43" s="3"/>
    </row>
    <row r="44" spans="1:18" ht="15" customHeight="1" x14ac:dyDescent="0.3">
      <c r="A44" s="3" t="s">
        <v>609</v>
      </c>
      <c r="B44" s="3" t="s">
        <v>596</v>
      </c>
      <c r="C44" s="3" t="s">
        <v>74</v>
      </c>
      <c r="D44" s="3" t="s">
        <v>553</v>
      </c>
      <c r="E44" s="3" t="s">
        <v>553</v>
      </c>
      <c r="F44" s="3" t="s">
        <v>561</v>
      </c>
      <c r="G44" s="3" t="s">
        <v>553</v>
      </c>
      <c r="H44" s="3" t="s">
        <v>74</v>
      </c>
      <c r="I44" s="3" t="s">
        <v>74</v>
      </c>
      <c r="J44" s="3" t="s">
        <v>74</v>
      </c>
      <c r="K44" s="3" t="s">
        <v>74</v>
      </c>
      <c r="L44" s="3" t="s">
        <v>74</v>
      </c>
      <c r="M44" s="3" t="s">
        <v>74</v>
      </c>
      <c r="N44" s="3" t="s">
        <v>74</v>
      </c>
      <c r="O44" s="3" t="s">
        <v>74</v>
      </c>
      <c r="P44" s="3" t="s">
        <v>74</v>
      </c>
      <c r="Q44" s="3" t="s">
        <v>74</v>
      </c>
      <c r="R44" s="3" t="s">
        <v>610</v>
      </c>
    </row>
    <row r="45" spans="1:18" ht="15" customHeight="1" x14ac:dyDescent="0.3">
      <c r="A45" s="3" t="s">
        <v>611</v>
      </c>
      <c r="B45" s="3" t="s">
        <v>596</v>
      </c>
      <c r="C45" s="3" t="s">
        <v>74</v>
      </c>
      <c r="D45" s="3" t="s">
        <v>553</v>
      </c>
      <c r="E45" s="3" t="s">
        <v>553</v>
      </c>
      <c r="F45" s="3" t="s">
        <v>561</v>
      </c>
      <c r="G45" s="3" t="s">
        <v>553</v>
      </c>
      <c r="H45" s="3" t="s">
        <v>553</v>
      </c>
      <c r="I45" s="3" t="s">
        <v>74</v>
      </c>
      <c r="J45" s="3" t="s">
        <v>74</v>
      </c>
      <c r="K45" s="3" t="s">
        <v>74</v>
      </c>
      <c r="L45" s="3" t="s">
        <v>74</v>
      </c>
      <c r="M45" s="3" t="s">
        <v>74</v>
      </c>
      <c r="N45" s="3" t="s">
        <v>74</v>
      </c>
      <c r="O45" s="3" t="s">
        <v>74</v>
      </c>
      <c r="P45" s="3" t="s">
        <v>74</v>
      </c>
      <c r="Q45" s="3" t="s">
        <v>74</v>
      </c>
      <c r="R45" s="3"/>
    </row>
    <row r="46" spans="1:18" ht="15" customHeight="1" x14ac:dyDescent="0.3">
      <c r="A46" s="3" t="s">
        <v>612</v>
      </c>
      <c r="B46" s="3" t="s">
        <v>596</v>
      </c>
      <c r="C46" s="3" t="s">
        <v>74</v>
      </c>
      <c r="D46" s="3" t="s">
        <v>553</v>
      </c>
      <c r="E46" s="3" t="s">
        <v>553</v>
      </c>
      <c r="F46" s="3" t="s">
        <v>561</v>
      </c>
      <c r="G46" s="3" t="s">
        <v>553</v>
      </c>
      <c r="H46" s="3" t="s">
        <v>553</v>
      </c>
      <c r="I46" s="3" t="s">
        <v>74</v>
      </c>
      <c r="J46" s="3" t="s">
        <v>74</v>
      </c>
      <c r="K46" s="3" t="s">
        <v>74</v>
      </c>
      <c r="L46" s="3" t="s">
        <v>74</v>
      </c>
      <c r="M46" s="3" t="s">
        <v>74</v>
      </c>
      <c r="N46" s="3" t="s">
        <v>74</v>
      </c>
      <c r="O46" s="3" t="s">
        <v>74</v>
      </c>
      <c r="P46" s="3" t="s">
        <v>74</v>
      </c>
      <c r="Q46" s="3" t="s">
        <v>74</v>
      </c>
      <c r="R46" s="3"/>
    </row>
    <row r="47" spans="1:18" ht="15" customHeight="1" x14ac:dyDescent="0.3">
      <c r="A47" s="3" t="s">
        <v>613</v>
      </c>
      <c r="B47" s="3" t="s">
        <v>614</v>
      </c>
      <c r="C47" s="3" t="s">
        <v>553</v>
      </c>
      <c r="D47" s="3" t="s">
        <v>553</v>
      </c>
      <c r="E47" s="3" t="s">
        <v>553</v>
      </c>
      <c r="F47" s="3" t="s">
        <v>554</v>
      </c>
      <c r="G47" s="3" t="s">
        <v>553</v>
      </c>
      <c r="H47" s="3" t="s">
        <v>553</v>
      </c>
      <c r="I47" s="3" t="s">
        <v>553</v>
      </c>
      <c r="J47" s="3" t="s">
        <v>555</v>
      </c>
      <c r="K47" s="3" t="s">
        <v>553</v>
      </c>
      <c r="L47" s="3" t="s">
        <v>556</v>
      </c>
      <c r="M47" s="3" t="s">
        <v>556</v>
      </c>
      <c r="N47" s="3" t="s">
        <v>556</v>
      </c>
      <c r="O47" s="3" t="s">
        <v>556</v>
      </c>
      <c r="P47" s="3" t="s">
        <v>556</v>
      </c>
      <c r="Q47" s="3" t="s">
        <v>558</v>
      </c>
      <c r="R47" s="3"/>
    </row>
    <row r="48" spans="1:18" ht="15" customHeight="1" x14ac:dyDescent="0.3">
      <c r="A48" s="3" t="s">
        <v>615</v>
      </c>
      <c r="B48" s="3" t="s">
        <v>614</v>
      </c>
      <c r="C48" s="3" t="s">
        <v>553</v>
      </c>
      <c r="D48" s="3" t="s">
        <v>553</v>
      </c>
      <c r="E48" s="3" t="s">
        <v>553</v>
      </c>
      <c r="F48" s="3" t="s">
        <v>554</v>
      </c>
      <c r="G48" s="3" t="s">
        <v>553</v>
      </c>
      <c r="H48" s="3" t="s">
        <v>553</v>
      </c>
      <c r="I48" s="3" t="s">
        <v>553</v>
      </c>
      <c r="J48" s="3" t="s">
        <v>555</v>
      </c>
      <c r="K48" s="3" t="s">
        <v>553</v>
      </c>
      <c r="L48" s="3" t="s">
        <v>556</v>
      </c>
      <c r="M48" s="3" t="s">
        <v>556</v>
      </c>
      <c r="N48" s="3" t="s">
        <v>556</v>
      </c>
      <c r="O48" s="3" t="s">
        <v>556</v>
      </c>
      <c r="P48" s="3" t="s">
        <v>557</v>
      </c>
      <c r="Q48" s="3" t="s">
        <v>558</v>
      </c>
      <c r="R48" s="3"/>
    </row>
    <row r="49" spans="1:18" ht="15" customHeight="1" x14ac:dyDescent="0.3">
      <c r="A49" s="3" t="s">
        <v>616</v>
      </c>
      <c r="B49" s="3" t="s">
        <v>614</v>
      </c>
      <c r="C49" s="3" t="s">
        <v>74</v>
      </c>
      <c r="D49" s="3" t="s">
        <v>553</v>
      </c>
      <c r="E49" s="3" t="s">
        <v>553</v>
      </c>
      <c r="F49" s="3" t="s">
        <v>561</v>
      </c>
      <c r="G49" s="3" t="s">
        <v>553</v>
      </c>
      <c r="H49" s="3" t="s">
        <v>553</v>
      </c>
      <c r="I49" s="3" t="s">
        <v>553</v>
      </c>
      <c r="J49" s="3" t="s">
        <v>74</v>
      </c>
      <c r="K49" s="3" t="s">
        <v>74</v>
      </c>
      <c r="L49" s="3" t="s">
        <v>74</v>
      </c>
      <c r="M49" s="3" t="s">
        <v>74</v>
      </c>
      <c r="N49" s="3" t="s">
        <v>74</v>
      </c>
      <c r="O49" s="3" t="s">
        <v>74</v>
      </c>
      <c r="P49" s="3" t="s">
        <v>74</v>
      </c>
      <c r="Q49" s="3" t="s">
        <v>74</v>
      </c>
      <c r="R49" s="3"/>
    </row>
    <row r="50" spans="1:18" ht="15" customHeight="1" x14ac:dyDescent="0.3">
      <c r="A50" s="3" t="s">
        <v>617</v>
      </c>
      <c r="B50" s="3" t="s">
        <v>614</v>
      </c>
      <c r="C50" s="3" t="s">
        <v>74</v>
      </c>
      <c r="D50" s="3" t="s">
        <v>553</v>
      </c>
      <c r="E50" s="3" t="s">
        <v>553</v>
      </c>
      <c r="F50" s="3" t="s">
        <v>561</v>
      </c>
      <c r="G50" s="3" t="s">
        <v>553</v>
      </c>
      <c r="H50" s="3" t="s">
        <v>553</v>
      </c>
      <c r="I50" s="3" t="s">
        <v>553</v>
      </c>
      <c r="J50" s="3" t="s">
        <v>74</v>
      </c>
      <c r="K50" s="3" t="s">
        <v>74</v>
      </c>
      <c r="L50" s="3" t="s">
        <v>74</v>
      </c>
      <c r="M50" s="3" t="s">
        <v>74</v>
      </c>
      <c r="N50" s="3" t="s">
        <v>74</v>
      </c>
      <c r="O50" s="3" t="s">
        <v>74</v>
      </c>
      <c r="P50" s="3" t="s">
        <v>74</v>
      </c>
      <c r="Q50" s="3" t="s">
        <v>74</v>
      </c>
      <c r="R50" s="3"/>
    </row>
    <row r="51" spans="1:18" ht="15" customHeight="1" x14ac:dyDescent="0.3">
      <c r="A51" s="3" t="s">
        <v>618</v>
      </c>
      <c r="B51" s="3" t="s">
        <v>614</v>
      </c>
      <c r="C51" s="3" t="s">
        <v>74</v>
      </c>
      <c r="D51" s="3" t="s">
        <v>553</v>
      </c>
      <c r="E51" s="3" t="s">
        <v>553</v>
      </c>
      <c r="F51" s="3" t="s">
        <v>561</v>
      </c>
      <c r="G51" s="3" t="s">
        <v>553</v>
      </c>
      <c r="H51" s="3" t="s">
        <v>553</v>
      </c>
      <c r="I51" s="3" t="s">
        <v>553</v>
      </c>
      <c r="J51" s="3" t="s">
        <v>74</v>
      </c>
      <c r="K51" s="3" t="s">
        <v>74</v>
      </c>
      <c r="L51" s="3" t="s">
        <v>74</v>
      </c>
      <c r="M51" s="3" t="s">
        <v>74</v>
      </c>
      <c r="N51" s="3" t="s">
        <v>74</v>
      </c>
      <c r="O51" s="3" t="s">
        <v>74</v>
      </c>
      <c r="P51" s="3" t="s">
        <v>74</v>
      </c>
      <c r="Q51" s="3" t="s">
        <v>74</v>
      </c>
      <c r="R51" s="3"/>
    </row>
    <row r="52" spans="1:18" ht="15" customHeight="1" x14ac:dyDescent="0.3">
      <c r="A52" s="3" t="s">
        <v>619</v>
      </c>
      <c r="B52" s="3" t="s">
        <v>614</v>
      </c>
      <c r="C52" s="3" t="s">
        <v>74</v>
      </c>
      <c r="D52" s="3" t="s">
        <v>553</v>
      </c>
      <c r="E52" s="3" t="s">
        <v>553</v>
      </c>
      <c r="F52" s="3" t="s">
        <v>561</v>
      </c>
      <c r="G52" s="3" t="s">
        <v>553</v>
      </c>
      <c r="H52" s="3" t="s">
        <v>553</v>
      </c>
      <c r="I52" s="3" t="s">
        <v>553</v>
      </c>
      <c r="J52" s="3" t="s">
        <v>74</v>
      </c>
      <c r="K52" s="3" t="s">
        <v>74</v>
      </c>
      <c r="L52" s="3" t="s">
        <v>74</v>
      </c>
      <c r="M52" s="3" t="s">
        <v>74</v>
      </c>
      <c r="N52" s="3" t="s">
        <v>74</v>
      </c>
      <c r="O52" s="3" t="s">
        <v>74</v>
      </c>
      <c r="P52" s="3" t="s">
        <v>74</v>
      </c>
      <c r="Q52" s="3" t="s">
        <v>74</v>
      </c>
      <c r="R52" s="3"/>
    </row>
    <row r="53" spans="1:18" ht="15" customHeight="1" x14ac:dyDescent="0.3">
      <c r="A53" s="3" t="s">
        <v>620</v>
      </c>
      <c r="B53" s="3" t="s">
        <v>614</v>
      </c>
      <c r="C53" s="3" t="s">
        <v>74</v>
      </c>
      <c r="D53" s="3" t="s">
        <v>553</v>
      </c>
      <c r="E53" s="3" t="s">
        <v>553</v>
      </c>
      <c r="F53" s="3" t="s">
        <v>561</v>
      </c>
      <c r="G53" s="3" t="s">
        <v>553</v>
      </c>
      <c r="H53" s="3" t="s">
        <v>553</v>
      </c>
      <c r="I53" s="3" t="s">
        <v>553</v>
      </c>
      <c r="J53" s="3" t="s">
        <v>74</v>
      </c>
      <c r="K53" s="3" t="s">
        <v>74</v>
      </c>
      <c r="L53" s="3" t="s">
        <v>74</v>
      </c>
      <c r="M53" s="3" t="s">
        <v>74</v>
      </c>
      <c r="N53" s="3" t="s">
        <v>74</v>
      </c>
      <c r="O53" s="3" t="s">
        <v>74</v>
      </c>
      <c r="P53" s="3" t="s">
        <v>74</v>
      </c>
      <c r="Q53" s="3" t="s">
        <v>74</v>
      </c>
      <c r="R53" s="3"/>
    </row>
    <row r="54" spans="1:18" ht="15" customHeight="1" x14ac:dyDescent="0.3">
      <c r="A54" s="3" t="s">
        <v>621</v>
      </c>
      <c r="B54" s="3" t="s">
        <v>614</v>
      </c>
      <c r="C54" s="3" t="s">
        <v>74</v>
      </c>
      <c r="D54" s="3" t="s">
        <v>553</v>
      </c>
      <c r="E54" s="3" t="s">
        <v>553</v>
      </c>
      <c r="F54" s="3" t="s">
        <v>561</v>
      </c>
      <c r="G54" s="3" t="s">
        <v>553</v>
      </c>
      <c r="H54" s="3" t="s">
        <v>553</v>
      </c>
      <c r="I54" s="3" t="s">
        <v>553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74</v>
      </c>
      <c r="Q54" s="3" t="s">
        <v>74</v>
      </c>
      <c r="R54" s="3"/>
    </row>
    <row r="55" spans="1:18" ht="15" customHeight="1" x14ac:dyDescent="0.3">
      <c r="A55" s="3" t="s">
        <v>622</v>
      </c>
      <c r="B55" s="3" t="s">
        <v>614</v>
      </c>
      <c r="C55" s="3" t="s">
        <v>74</v>
      </c>
      <c r="D55" s="3" t="s">
        <v>553</v>
      </c>
      <c r="E55" s="3" t="s">
        <v>553</v>
      </c>
      <c r="F55" s="3" t="s">
        <v>561</v>
      </c>
      <c r="G55" s="3" t="s">
        <v>553</v>
      </c>
      <c r="H55" s="3" t="s">
        <v>553</v>
      </c>
      <c r="I55" s="3" t="s">
        <v>553</v>
      </c>
      <c r="J55" s="3" t="s">
        <v>74</v>
      </c>
      <c r="K55" s="3" t="s">
        <v>74</v>
      </c>
      <c r="L55" s="3" t="s">
        <v>74</v>
      </c>
      <c r="M55" s="3" t="s">
        <v>74</v>
      </c>
      <c r="N55" s="3" t="s">
        <v>74</v>
      </c>
      <c r="O55" s="3" t="s">
        <v>74</v>
      </c>
      <c r="P55" s="3" t="s">
        <v>74</v>
      </c>
      <c r="Q55" s="3" t="s">
        <v>74</v>
      </c>
      <c r="R55" s="3"/>
    </row>
    <row r="56" spans="1:18" ht="15" customHeight="1" x14ac:dyDescent="0.3">
      <c r="A56" s="3" t="s">
        <v>623</v>
      </c>
      <c r="B56" s="3" t="s">
        <v>614</v>
      </c>
      <c r="C56" s="3" t="s">
        <v>74</v>
      </c>
      <c r="D56" s="3" t="s">
        <v>553</v>
      </c>
      <c r="E56" s="3" t="s">
        <v>553</v>
      </c>
      <c r="F56" s="3" t="s">
        <v>561</v>
      </c>
      <c r="G56" s="3" t="s">
        <v>553</v>
      </c>
      <c r="H56" s="3" t="s">
        <v>553</v>
      </c>
      <c r="I56" s="3" t="s">
        <v>553</v>
      </c>
      <c r="J56" s="3" t="s">
        <v>74</v>
      </c>
      <c r="K56" s="3" t="s">
        <v>74</v>
      </c>
      <c r="L56" s="3" t="s">
        <v>74</v>
      </c>
      <c r="M56" s="3" t="s">
        <v>74</v>
      </c>
      <c r="N56" s="3" t="s">
        <v>74</v>
      </c>
      <c r="O56" s="3" t="s">
        <v>74</v>
      </c>
      <c r="P56" s="3" t="s">
        <v>74</v>
      </c>
      <c r="Q56" s="3" t="s">
        <v>74</v>
      </c>
      <c r="R56" s="3"/>
    </row>
    <row r="57" spans="1:18" ht="15" customHeight="1" x14ac:dyDescent="0.3">
      <c r="A57" s="3" t="s">
        <v>624</v>
      </c>
      <c r="B57" s="3" t="s">
        <v>614</v>
      </c>
      <c r="C57" s="3" t="s">
        <v>74</v>
      </c>
      <c r="D57" s="3" t="s">
        <v>553</v>
      </c>
      <c r="E57" s="3" t="s">
        <v>553</v>
      </c>
      <c r="F57" s="3" t="s">
        <v>561</v>
      </c>
      <c r="G57" s="3" t="s">
        <v>553</v>
      </c>
      <c r="H57" s="3" t="s">
        <v>553</v>
      </c>
      <c r="I57" s="3" t="s">
        <v>553</v>
      </c>
      <c r="J57" s="3" t="s">
        <v>74</v>
      </c>
      <c r="K57" s="3" t="s">
        <v>74</v>
      </c>
      <c r="L57" s="3" t="s">
        <v>74</v>
      </c>
      <c r="M57" s="3" t="s">
        <v>74</v>
      </c>
      <c r="N57" s="3" t="s">
        <v>74</v>
      </c>
      <c r="O57" s="3" t="s">
        <v>74</v>
      </c>
      <c r="P57" s="3" t="s">
        <v>74</v>
      </c>
      <c r="Q57" s="3" t="s">
        <v>74</v>
      </c>
      <c r="R57" s="3"/>
    </row>
    <row r="58" spans="1:18" ht="15" customHeight="1" x14ac:dyDescent="0.3">
      <c r="A58" s="3" t="s">
        <v>625</v>
      </c>
      <c r="B58" s="3" t="s">
        <v>614</v>
      </c>
      <c r="C58" s="3" t="s">
        <v>74</v>
      </c>
      <c r="D58" s="3" t="s">
        <v>553</v>
      </c>
      <c r="E58" s="3" t="s">
        <v>553</v>
      </c>
      <c r="F58" s="3" t="s">
        <v>561</v>
      </c>
      <c r="G58" s="3" t="s">
        <v>553</v>
      </c>
      <c r="H58" s="3" t="s">
        <v>553</v>
      </c>
      <c r="I58" s="3" t="s">
        <v>553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 t="s">
        <v>74</v>
      </c>
      <c r="Q58" s="3" t="s">
        <v>74</v>
      </c>
      <c r="R58" s="3"/>
    </row>
    <row r="59" spans="1:18" ht="15" customHeight="1" x14ac:dyDescent="0.3">
      <c r="A59" s="3" t="s">
        <v>626</v>
      </c>
      <c r="B59" s="3" t="s">
        <v>614</v>
      </c>
      <c r="C59" s="3" t="s">
        <v>74</v>
      </c>
      <c r="D59" s="3" t="s">
        <v>553</v>
      </c>
      <c r="E59" s="3" t="s">
        <v>553</v>
      </c>
      <c r="F59" s="3" t="s">
        <v>561</v>
      </c>
      <c r="G59" s="3" t="s">
        <v>553</v>
      </c>
      <c r="H59" s="3" t="s">
        <v>553</v>
      </c>
      <c r="I59" s="3" t="s">
        <v>553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  <c r="O59" s="3" t="s">
        <v>74</v>
      </c>
      <c r="P59" s="3" t="s">
        <v>74</v>
      </c>
      <c r="Q59" s="3" t="s">
        <v>74</v>
      </c>
      <c r="R59" s="3"/>
    </row>
    <row r="60" spans="1:18" ht="15" customHeight="1" x14ac:dyDescent="0.3">
      <c r="A60" s="3" t="s">
        <v>627</v>
      </c>
      <c r="B60" s="3" t="s">
        <v>614</v>
      </c>
      <c r="C60" s="3" t="s">
        <v>74</v>
      </c>
      <c r="D60" s="3" t="s">
        <v>553</v>
      </c>
      <c r="E60" s="3" t="s">
        <v>553</v>
      </c>
      <c r="F60" s="3" t="s">
        <v>561</v>
      </c>
      <c r="G60" s="3" t="s">
        <v>553</v>
      </c>
      <c r="H60" s="3" t="s">
        <v>553</v>
      </c>
      <c r="I60" s="3" t="s">
        <v>553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74</v>
      </c>
      <c r="Q60" s="3" t="s">
        <v>74</v>
      </c>
      <c r="R60" s="3"/>
    </row>
    <row r="61" spans="1:18" ht="15" customHeight="1" x14ac:dyDescent="0.3">
      <c r="A61" s="3" t="s">
        <v>628</v>
      </c>
      <c r="B61" s="3" t="s">
        <v>614</v>
      </c>
      <c r="C61" s="3" t="s">
        <v>74</v>
      </c>
      <c r="D61" s="3" t="s">
        <v>553</v>
      </c>
      <c r="E61" s="3" t="s">
        <v>553</v>
      </c>
      <c r="F61" s="3" t="s">
        <v>561</v>
      </c>
      <c r="G61" s="3" t="s">
        <v>553</v>
      </c>
      <c r="H61" s="3" t="s">
        <v>553</v>
      </c>
      <c r="I61" s="3" t="s">
        <v>553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74</v>
      </c>
      <c r="Q61" s="3" t="s">
        <v>74</v>
      </c>
      <c r="R61" s="3"/>
    </row>
    <row r="62" spans="1:18" ht="15" customHeight="1" x14ac:dyDescent="0.3">
      <c r="A62" s="3" t="s">
        <v>629</v>
      </c>
      <c r="B62" s="3" t="s">
        <v>630</v>
      </c>
      <c r="C62" s="3" t="s">
        <v>74</v>
      </c>
      <c r="D62" s="3" t="s">
        <v>553</v>
      </c>
      <c r="E62" s="3" t="s">
        <v>553</v>
      </c>
      <c r="F62" s="3" t="s">
        <v>561</v>
      </c>
      <c r="G62" s="3" t="s">
        <v>553</v>
      </c>
      <c r="H62" s="3" t="s">
        <v>553</v>
      </c>
      <c r="I62" s="3" t="s">
        <v>553</v>
      </c>
      <c r="J62" s="3" t="s">
        <v>555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556</v>
      </c>
      <c r="Q62" s="3" t="s">
        <v>558</v>
      </c>
      <c r="R62" s="3"/>
    </row>
    <row r="63" spans="1:18" ht="15" customHeight="1" x14ac:dyDescent="0.3">
      <c r="A63" s="3" t="s">
        <v>631</v>
      </c>
      <c r="B63" s="3" t="s">
        <v>630</v>
      </c>
      <c r="C63" s="3" t="s">
        <v>74</v>
      </c>
      <c r="D63" s="3" t="s">
        <v>553</v>
      </c>
      <c r="E63" s="3" t="s">
        <v>553</v>
      </c>
      <c r="F63" s="3" t="s">
        <v>561</v>
      </c>
      <c r="G63" s="3" t="s">
        <v>553</v>
      </c>
      <c r="H63" s="3" t="s">
        <v>553</v>
      </c>
      <c r="I63" s="3" t="s">
        <v>553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557</v>
      </c>
      <c r="Q63" s="3" t="s">
        <v>558</v>
      </c>
      <c r="R63" s="3"/>
    </row>
    <row r="64" spans="1:18" ht="15" customHeight="1" x14ac:dyDescent="0.3">
      <c r="A64" s="3" t="s">
        <v>632</v>
      </c>
      <c r="B64" s="3" t="s">
        <v>630</v>
      </c>
      <c r="C64" s="3" t="s">
        <v>74</v>
      </c>
      <c r="D64" s="3" t="s">
        <v>553</v>
      </c>
      <c r="E64" s="3" t="s">
        <v>553</v>
      </c>
      <c r="F64" s="3" t="s">
        <v>561</v>
      </c>
      <c r="G64" s="3" t="s">
        <v>553</v>
      </c>
      <c r="H64" s="3" t="s">
        <v>553</v>
      </c>
      <c r="I64" s="3" t="s">
        <v>553</v>
      </c>
      <c r="J64" s="3" t="s">
        <v>74</v>
      </c>
      <c r="K64" s="3" t="s">
        <v>74</v>
      </c>
      <c r="L64" s="3" t="s">
        <v>557</v>
      </c>
      <c r="M64" s="3" t="s">
        <v>557</v>
      </c>
      <c r="N64" s="3" t="s">
        <v>74</v>
      </c>
      <c r="O64" s="3" t="s">
        <v>74</v>
      </c>
      <c r="P64" s="3" t="s">
        <v>557</v>
      </c>
      <c r="Q64" s="3" t="s">
        <v>558</v>
      </c>
      <c r="R64" s="3"/>
    </row>
    <row r="65" spans="1:18" ht="15" customHeight="1" x14ac:dyDescent="0.3">
      <c r="A65" s="3" t="s">
        <v>633</v>
      </c>
      <c r="B65" s="3" t="s">
        <v>630</v>
      </c>
      <c r="C65" s="3" t="s">
        <v>74</v>
      </c>
      <c r="D65" s="3" t="s">
        <v>553</v>
      </c>
      <c r="E65" s="3" t="s">
        <v>553</v>
      </c>
      <c r="F65" s="3" t="s">
        <v>561</v>
      </c>
      <c r="G65" s="3" t="s">
        <v>553</v>
      </c>
      <c r="H65" s="3" t="s">
        <v>553</v>
      </c>
      <c r="I65" s="3" t="s">
        <v>553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74</v>
      </c>
      <c r="Q65" s="3" t="s">
        <v>74</v>
      </c>
      <c r="R65" s="3"/>
    </row>
    <row r="66" spans="1:18" ht="15" customHeight="1" x14ac:dyDescent="0.3">
      <c r="A66" s="3" t="s">
        <v>634</v>
      </c>
      <c r="B66" s="3" t="s">
        <v>630</v>
      </c>
      <c r="C66" s="3" t="s">
        <v>74</v>
      </c>
      <c r="D66" s="3" t="s">
        <v>553</v>
      </c>
      <c r="E66" s="3" t="s">
        <v>553</v>
      </c>
      <c r="F66" s="3" t="s">
        <v>561</v>
      </c>
      <c r="G66" s="3" t="s">
        <v>553</v>
      </c>
      <c r="H66" s="3" t="s">
        <v>553</v>
      </c>
      <c r="I66" s="3" t="s">
        <v>553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74</v>
      </c>
      <c r="Q66" s="3" t="s">
        <v>74</v>
      </c>
      <c r="R66" s="3"/>
    </row>
    <row r="67" spans="1:18" ht="15" customHeight="1" x14ac:dyDescent="0.3">
      <c r="A67" s="3" t="s">
        <v>635</v>
      </c>
      <c r="B67" s="3" t="s">
        <v>630</v>
      </c>
      <c r="C67" s="3" t="s">
        <v>74</v>
      </c>
      <c r="D67" s="3" t="s">
        <v>553</v>
      </c>
      <c r="E67" s="3" t="s">
        <v>553</v>
      </c>
      <c r="F67" s="3" t="s">
        <v>561</v>
      </c>
      <c r="G67" s="3" t="s">
        <v>553</v>
      </c>
      <c r="H67" s="3" t="s">
        <v>553</v>
      </c>
      <c r="I67" s="3" t="s">
        <v>553</v>
      </c>
      <c r="J67" s="3" t="s">
        <v>74</v>
      </c>
      <c r="K67" s="3" t="s">
        <v>74</v>
      </c>
      <c r="L67" s="3" t="s">
        <v>557</v>
      </c>
      <c r="M67" s="3" t="s">
        <v>557</v>
      </c>
      <c r="N67" s="3" t="s">
        <v>74</v>
      </c>
      <c r="O67" s="3" t="s">
        <v>74</v>
      </c>
      <c r="P67" s="3" t="s">
        <v>74</v>
      </c>
      <c r="Q67" s="3" t="s">
        <v>558</v>
      </c>
      <c r="R67" s="3"/>
    </row>
    <row r="68" spans="1:18" ht="15" customHeight="1" x14ac:dyDescent="0.3">
      <c r="A68" s="3" t="s">
        <v>636</v>
      </c>
      <c r="B68" s="3" t="s">
        <v>630</v>
      </c>
      <c r="C68" s="3" t="s">
        <v>74</v>
      </c>
      <c r="D68" s="3" t="s">
        <v>553</v>
      </c>
      <c r="E68" s="3" t="s">
        <v>553</v>
      </c>
      <c r="F68" s="3" t="s">
        <v>561</v>
      </c>
      <c r="G68" s="3" t="s">
        <v>553</v>
      </c>
      <c r="H68" s="3" t="s">
        <v>553</v>
      </c>
      <c r="I68" s="3" t="s">
        <v>553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74</v>
      </c>
      <c r="Q68" s="3" t="s">
        <v>74</v>
      </c>
      <c r="R68" s="3"/>
    </row>
    <row r="69" spans="1:18" ht="15" customHeight="1" x14ac:dyDescent="0.3">
      <c r="A69" s="3" t="s">
        <v>637</v>
      </c>
      <c r="B69" s="3" t="s">
        <v>638</v>
      </c>
      <c r="C69" s="3" t="s">
        <v>74</v>
      </c>
      <c r="D69" s="3" t="s">
        <v>553</v>
      </c>
      <c r="E69" s="3" t="s">
        <v>553</v>
      </c>
      <c r="F69" s="3" t="s">
        <v>561</v>
      </c>
      <c r="G69" s="3" t="s">
        <v>553</v>
      </c>
      <c r="H69" s="3" t="s">
        <v>553</v>
      </c>
      <c r="I69" s="3" t="s">
        <v>553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74</v>
      </c>
      <c r="Q69" s="3" t="s">
        <v>74</v>
      </c>
      <c r="R69" s="3"/>
    </row>
    <row r="70" spans="1:18" ht="15" customHeight="1" x14ac:dyDescent="0.3">
      <c r="A70" s="3" t="s">
        <v>639</v>
      </c>
      <c r="B70" s="3" t="s">
        <v>638</v>
      </c>
      <c r="C70" s="3" t="s">
        <v>74</v>
      </c>
      <c r="D70" s="3" t="s">
        <v>553</v>
      </c>
      <c r="E70" s="3" t="s">
        <v>553</v>
      </c>
      <c r="F70" s="3" t="s">
        <v>561</v>
      </c>
      <c r="G70" s="3" t="s">
        <v>553</v>
      </c>
      <c r="H70" s="3" t="s">
        <v>553</v>
      </c>
      <c r="I70" s="3" t="s">
        <v>553</v>
      </c>
      <c r="J70" s="3" t="s">
        <v>74</v>
      </c>
      <c r="K70" s="3" t="s">
        <v>74</v>
      </c>
      <c r="L70" s="3" t="s">
        <v>557</v>
      </c>
      <c r="M70" s="3" t="s">
        <v>557</v>
      </c>
      <c r="N70" s="3" t="s">
        <v>74</v>
      </c>
      <c r="O70" s="3" t="s">
        <v>557</v>
      </c>
      <c r="P70" s="3" t="s">
        <v>557</v>
      </c>
      <c r="Q70" s="3" t="s">
        <v>558</v>
      </c>
      <c r="R70" s="3"/>
    </row>
    <row r="71" spans="1:18" ht="15" customHeight="1" x14ac:dyDescent="0.3">
      <c r="A71" s="3" t="s">
        <v>640</v>
      </c>
      <c r="B71" s="3" t="s">
        <v>638</v>
      </c>
      <c r="C71" s="3" t="s">
        <v>74</v>
      </c>
      <c r="D71" s="3" t="s">
        <v>553</v>
      </c>
      <c r="E71" s="3" t="s">
        <v>553</v>
      </c>
      <c r="F71" s="3" t="s">
        <v>561</v>
      </c>
      <c r="G71" s="3" t="s">
        <v>553</v>
      </c>
      <c r="H71" s="3" t="s">
        <v>74</v>
      </c>
      <c r="I71" s="3" t="s">
        <v>553</v>
      </c>
      <c r="J71" s="3" t="s">
        <v>74</v>
      </c>
      <c r="K71" s="3" t="s">
        <v>74</v>
      </c>
      <c r="L71" s="3" t="s">
        <v>74</v>
      </c>
      <c r="M71" s="3" t="s">
        <v>74</v>
      </c>
      <c r="N71" s="3" t="s">
        <v>74</v>
      </c>
      <c r="O71" s="3" t="s">
        <v>74</v>
      </c>
      <c r="P71" s="3" t="s">
        <v>74</v>
      </c>
      <c r="Q71" s="3" t="s">
        <v>74</v>
      </c>
      <c r="R71" s="3" t="s">
        <v>641</v>
      </c>
    </row>
    <row r="72" spans="1:18" ht="23.85" customHeight="1" x14ac:dyDescent="0.3">
      <c r="A72" s="3" t="s">
        <v>642</v>
      </c>
      <c r="B72" s="3" t="s">
        <v>643</v>
      </c>
      <c r="C72" s="3" t="s">
        <v>74</v>
      </c>
      <c r="D72" s="3" t="s">
        <v>74</v>
      </c>
      <c r="E72" s="3" t="s">
        <v>74</v>
      </c>
      <c r="F72" s="3" t="s">
        <v>74</v>
      </c>
      <c r="G72" s="3" t="s">
        <v>74</v>
      </c>
      <c r="H72" s="3" t="s">
        <v>553</v>
      </c>
      <c r="I72" s="3" t="s">
        <v>74</v>
      </c>
      <c r="J72" s="3" t="s">
        <v>74</v>
      </c>
      <c r="K72" s="3" t="s">
        <v>74</v>
      </c>
      <c r="L72" s="3" t="s">
        <v>74</v>
      </c>
      <c r="M72" s="3" t="s">
        <v>74</v>
      </c>
      <c r="N72" s="3" t="s">
        <v>74</v>
      </c>
      <c r="O72" s="3" t="s">
        <v>74</v>
      </c>
      <c r="P72" s="3" t="s">
        <v>74</v>
      </c>
      <c r="Q72" s="3" t="s">
        <v>74</v>
      </c>
      <c r="R72" s="3" t="s">
        <v>644</v>
      </c>
    </row>
    <row r="73" spans="1:18" ht="23.85" customHeight="1" x14ac:dyDescent="0.3">
      <c r="A73" s="3" t="s">
        <v>645</v>
      </c>
      <c r="B73" s="3" t="s">
        <v>643</v>
      </c>
      <c r="C73" s="3" t="s">
        <v>74</v>
      </c>
      <c r="D73" s="3" t="s">
        <v>74</v>
      </c>
      <c r="E73" s="3" t="s">
        <v>74</v>
      </c>
      <c r="F73" s="3" t="s">
        <v>74</v>
      </c>
      <c r="G73" s="3" t="s">
        <v>74</v>
      </c>
      <c r="H73" s="3" t="s">
        <v>553</v>
      </c>
      <c r="I73" s="3" t="s">
        <v>74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74</v>
      </c>
      <c r="Q73" s="3" t="s">
        <v>74</v>
      </c>
      <c r="R73" s="3"/>
    </row>
    <row r="74" spans="1:18" ht="23.85" customHeight="1" x14ac:dyDescent="0.3">
      <c r="A74" s="3" t="s">
        <v>646</v>
      </c>
      <c r="B74" s="3" t="s">
        <v>643</v>
      </c>
      <c r="C74" s="3" t="s">
        <v>74</v>
      </c>
      <c r="D74" s="3" t="s">
        <v>74</v>
      </c>
      <c r="E74" s="3" t="s">
        <v>74</v>
      </c>
      <c r="F74" s="3" t="s">
        <v>74</v>
      </c>
      <c r="G74" s="3" t="s">
        <v>74</v>
      </c>
      <c r="H74" s="3" t="s">
        <v>553</v>
      </c>
      <c r="I74" s="3" t="s">
        <v>74</v>
      </c>
      <c r="J74" s="3" t="s">
        <v>74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74</v>
      </c>
      <c r="Q74" s="3" t="s">
        <v>74</v>
      </c>
      <c r="R74" s="3"/>
    </row>
    <row r="75" spans="1:18" ht="23.85" customHeight="1" x14ac:dyDescent="0.3">
      <c r="A75" s="3" t="s">
        <v>647</v>
      </c>
      <c r="B75" s="3" t="s">
        <v>643</v>
      </c>
      <c r="C75" s="3" t="s">
        <v>74</v>
      </c>
      <c r="D75" s="3" t="s">
        <v>74</v>
      </c>
      <c r="E75" s="3" t="s">
        <v>74</v>
      </c>
      <c r="F75" s="3" t="s">
        <v>74</v>
      </c>
      <c r="G75" s="3" t="s">
        <v>74</v>
      </c>
      <c r="H75" s="3" t="s">
        <v>553</v>
      </c>
      <c r="I75" s="3" t="s">
        <v>74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74</v>
      </c>
      <c r="Q75" s="3" t="s">
        <v>74</v>
      </c>
      <c r="R75" s="3"/>
    </row>
    <row r="76" spans="1:18" ht="23.85" customHeight="1" x14ac:dyDescent="0.3">
      <c r="A76" s="3" t="s">
        <v>648</v>
      </c>
      <c r="B76" s="3" t="s">
        <v>643</v>
      </c>
      <c r="C76" s="3" t="s">
        <v>74</v>
      </c>
      <c r="D76" s="3" t="s">
        <v>74</v>
      </c>
      <c r="E76" s="3" t="s">
        <v>74</v>
      </c>
      <c r="F76" s="3" t="s">
        <v>74</v>
      </c>
      <c r="G76" s="3" t="s">
        <v>74</v>
      </c>
      <c r="H76" s="3" t="s">
        <v>553</v>
      </c>
      <c r="I76" s="3" t="s">
        <v>74</v>
      </c>
      <c r="J76" s="3" t="s">
        <v>74</v>
      </c>
      <c r="K76" s="3" t="s">
        <v>74</v>
      </c>
      <c r="L76" s="3" t="s">
        <v>74</v>
      </c>
      <c r="M76" s="3" t="s">
        <v>74</v>
      </c>
      <c r="N76" s="3" t="s">
        <v>74</v>
      </c>
      <c r="O76" s="3" t="s">
        <v>74</v>
      </c>
      <c r="P76" s="3" t="s">
        <v>74</v>
      </c>
      <c r="Q76" s="3" t="s">
        <v>74</v>
      </c>
      <c r="R76" s="3"/>
    </row>
    <row r="77" spans="1:18" ht="23.85" customHeight="1" x14ac:dyDescent="0.3">
      <c r="A77" s="3" t="s">
        <v>649</v>
      </c>
      <c r="B77" s="3" t="s">
        <v>643</v>
      </c>
      <c r="C77" s="3" t="s">
        <v>74</v>
      </c>
      <c r="D77" s="3" t="s">
        <v>74</v>
      </c>
      <c r="E77" s="3" t="s">
        <v>74</v>
      </c>
      <c r="F77" s="3" t="s">
        <v>74</v>
      </c>
      <c r="G77" s="3" t="s">
        <v>74</v>
      </c>
      <c r="H77" s="3" t="s">
        <v>553</v>
      </c>
      <c r="I77" s="3" t="s">
        <v>74</v>
      </c>
      <c r="J77" s="3" t="s">
        <v>74</v>
      </c>
      <c r="K77" s="3" t="s">
        <v>74</v>
      </c>
      <c r="L77" s="3" t="s">
        <v>74</v>
      </c>
      <c r="M77" s="3" t="s">
        <v>74</v>
      </c>
      <c r="N77" s="3" t="s">
        <v>74</v>
      </c>
      <c r="O77" s="3" t="s">
        <v>74</v>
      </c>
      <c r="P77" s="3" t="s">
        <v>74</v>
      </c>
      <c r="Q77" s="3" t="s">
        <v>74</v>
      </c>
      <c r="R77" s="3"/>
    </row>
    <row r="78" spans="1:18" ht="23.85" customHeight="1" x14ac:dyDescent="0.3">
      <c r="A78" s="3" t="s">
        <v>650</v>
      </c>
      <c r="B78" s="3" t="s">
        <v>643</v>
      </c>
      <c r="C78" s="3" t="s">
        <v>74</v>
      </c>
      <c r="D78" s="3" t="s">
        <v>74</v>
      </c>
      <c r="E78" s="3" t="s">
        <v>74</v>
      </c>
      <c r="F78" s="3" t="s">
        <v>74</v>
      </c>
      <c r="G78" s="3" t="s">
        <v>74</v>
      </c>
      <c r="H78" s="3" t="s">
        <v>553</v>
      </c>
      <c r="I78" s="3" t="s">
        <v>74</v>
      </c>
      <c r="J78" s="3" t="s">
        <v>74</v>
      </c>
      <c r="K78" s="3" t="s">
        <v>74</v>
      </c>
      <c r="L78" s="3" t="s">
        <v>74</v>
      </c>
      <c r="M78" s="3" t="s">
        <v>74</v>
      </c>
      <c r="N78" s="3" t="s">
        <v>74</v>
      </c>
      <c r="O78" s="3" t="s">
        <v>74</v>
      </c>
      <c r="P78" s="3" t="s">
        <v>74</v>
      </c>
      <c r="Q78" s="3" t="s">
        <v>74</v>
      </c>
      <c r="R78" s="3"/>
    </row>
    <row r="79" spans="1:18" ht="23.85" customHeight="1" x14ac:dyDescent="0.3">
      <c r="A79" s="3" t="s">
        <v>651</v>
      </c>
      <c r="B79" s="3" t="s">
        <v>643</v>
      </c>
      <c r="C79" s="3" t="s">
        <v>74</v>
      </c>
      <c r="D79" s="3" t="s">
        <v>74</v>
      </c>
      <c r="E79" s="3" t="s">
        <v>74</v>
      </c>
      <c r="F79" s="3" t="s">
        <v>74</v>
      </c>
      <c r="G79" s="3" t="s">
        <v>74</v>
      </c>
      <c r="H79" s="3" t="s">
        <v>553</v>
      </c>
      <c r="I79" s="3" t="s">
        <v>74</v>
      </c>
      <c r="J79" s="3" t="s">
        <v>74</v>
      </c>
      <c r="K79" s="3" t="s">
        <v>74</v>
      </c>
      <c r="L79" s="3" t="s">
        <v>74</v>
      </c>
      <c r="M79" s="3" t="s">
        <v>74</v>
      </c>
      <c r="N79" s="3" t="s">
        <v>74</v>
      </c>
      <c r="O79" s="3" t="s">
        <v>74</v>
      </c>
      <c r="P79" s="3" t="s">
        <v>74</v>
      </c>
      <c r="Q79" s="3" t="s">
        <v>74</v>
      </c>
      <c r="R79" s="3"/>
    </row>
    <row r="80" spans="1:18" ht="15" customHeight="1" x14ac:dyDescent="0.3">
      <c r="A80" s="3" t="s">
        <v>652</v>
      </c>
      <c r="B80" s="3" t="s">
        <v>653</v>
      </c>
      <c r="C80" s="3" t="s">
        <v>74</v>
      </c>
      <c r="D80" s="3" t="s">
        <v>74</v>
      </c>
      <c r="E80" s="3" t="s">
        <v>74</v>
      </c>
      <c r="F80" s="3" t="s">
        <v>74</v>
      </c>
      <c r="G80" s="3" t="s">
        <v>74</v>
      </c>
      <c r="H80" s="3" t="s">
        <v>74</v>
      </c>
      <c r="I80" s="3" t="s">
        <v>553</v>
      </c>
      <c r="J80" s="3" t="s">
        <v>74</v>
      </c>
      <c r="K80" s="3" t="s">
        <v>74</v>
      </c>
      <c r="L80" s="3" t="s">
        <v>74</v>
      </c>
      <c r="M80" s="3" t="s">
        <v>74</v>
      </c>
      <c r="N80" s="3" t="s">
        <v>74</v>
      </c>
      <c r="O80" s="3" t="s">
        <v>74</v>
      </c>
      <c r="P80" s="3" t="s">
        <v>74</v>
      </c>
      <c r="Q80" s="3" t="s">
        <v>74</v>
      </c>
      <c r="R80" s="3"/>
    </row>
    <row r="81" spans="1:18" ht="15" customHeight="1" x14ac:dyDescent="0.3">
      <c r="A81" s="3" t="s">
        <v>654</v>
      </c>
      <c r="B81" s="3" t="s">
        <v>653</v>
      </c>
      <c r="C81" s="3" t="s">
        <v>74</v>
      </c>
      <c r="D81" s="3" t="s">
        <v>74</v>
      </c>
      <c r="E81" s="3" t="s">
        <v>74</v>
      </c>
      <c r="F81" s="3" t="s">
        <v>74</v>
      </c>
      <c r="G81" s="3" t="s">
        <v>74</v>
      </c>
      <c r="H81" s="3" t="s">
        <v>74</v>
      </c>
      <c r="I81" s="3" t="s">
        <v>553</v>
      </c>
      <c r="J81" s="3" t="s">
        <v>74</v>
      </c>
      <c r="K81" s="3" t="s">
        <v>74</v>
      </c>
      <c r="L81" s="3" t="s">
        <v>74</v>
      </c>
      <c r="M81" s="3" t="s">
        <v>74</v>
      </c>
      <c r="N81" s="3" t="s">
        <v>74</v>
      </c>
      <c r="O81" s="3" t="s">
        <v>74</v>
      </c>
      <c r="P81" s="3" t="s">
        <v>74</v>
      </c>
      <c r="Q81" s="3" t="s">
        <v>74</v>
      </c>
      <c r="R81" s="3"/>
    </row>
    <row r="82" spans="1:18" ht="15" customHeight="1" x14ac:dyDescent="0.3">
      <c r="A82" s="3" t="s">
        <v>655</v>
      </c>
      <c r="B82" s="3" t="s">
        <v>653</v>
      </c>
      <c r="C82" s="3" t="s">
        <v>74</v>
      </c>
      <c r="D82" s="3" t="s">
        <v>74</v>
      </c>
      <c r="E82" s="3" t="s">
        <v>74</v>
      </c>
      <c r="F82" s="3" t="s">
        <v>74</v>
      </c>
      <c r="G82" s="3" t="s">
        <v>74</v>
      </c>
      <c r="H82" s="3" t="s">
        <v>74</v>
      </c>
      <c r="I82" s="3" t="s">
        <v>553</v>
      </c>
      <c r="J82" s="3" t="s">
        <v>74</v>
      </c>
      <c r="K82" s="3" t="s">
        <v>74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74</v>
      </c>
      <c r="Q82" s="3" t="s">
        <v>74</v>
      </c>
      <c r="R82" s="3"/>
    </row>
    <row r="83" spans="1:18" ht="15" customHeight="1" x14ac:dyDescent="0.3">
      <c r="A83" s="3" t="s">
        <v>656</v>
      </c>
      <c r="B83" s="3" t="s">
        <v>653</v>
      </c>
      <c r="C83" s="3" t="s">
        <v>74</v>
      </c>
      <c r="D83" s="3" t="s">
        <v>74</v>
      </c>
      <c r="E83" s="3" t="s">
        <v>74</v>
      </c>
      <c r="F83" s="3" t="s">
        <v>74</v>
      </c>
      <c r="G83" s="3" t="s">
        <v>74</v>
      </c>
      <c r="H83" s="3" t="s">
        <v>74</v>
      </c>
      <c r="I83" s="3" t="s">
        <v>553</v>
      </c>
      <c r="J83" s="3" t="s">
        <v>74</v>
      </c>
      <c r="K83" s="3" t="s">
        <v>74</v>
      </c>
      <c r="L83" s="3" t="s">
        <v>74</v>
      </c>
      <c r="M83" s="3" t="s">
        <v>74</v>
      </c>
      <c r="N83" s="3" t="s">
        <v>74</v>
      </c>
      <c r="O83" s="3" t="s">
        <v>74</v>
      </c>
      <c r="P83" s="3" t="s">
        <v>74</v>
      </c>
      <c r="Q83" s="3" t="s">
        <v>74</v>
      </c>
      <c r="R83" s="3"/>
    </row>
    <row r="84" spans="1:18" ht="15" customHeight="1" x14ac:dyDescent="0.3">
      <c r="A84" s="3" t="s">
        <v>657</v>
      </c>
      <c r="B84" s="3" t="s">
        <v>653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553</v>
      </c>
      <c r="J84" s="3" t="s">
        <v>74</v>
      </c>
      <c r="K84" s="3" t="s">
        <v>74</v>
      </c>
      <c r="L84" s="3" t="s">
        <v>74</v>
      </c>
      <c r="M84" s="3" t="s">
        <v>74</v>
      </c>
      <c r="N84" s="3" t="s">
        <v>74</v>
      </c>
      <c r="O84" s="3" t="s">
        <v>74</v>
      </c>
      <c r="P84" s="3" t="s">
        <v>74</v>
      </c>
      <c r="Q84" s="3" t="s">
        <v>74</v>
      </c>
      <c r="R84" s="3" t="s">
        <v>658</v>
      </c>
    </row>
    <row r="85" spans="1:18" ht="15" customHeight="1" x14ac:dyDescent="0.3">
      <c r="A85" s="3" t="s">
        <v>659</v>
      </c>
      <c r="B85" s="3" t="s">
        <v>660</v>
      </c>
      <c r="C85" s="3" t="s">
        <v>74</v>
      </c>
      <c r="D85" s="3" t="s">
        <v>74</v>
      </c>
      <c r="E85" s="3" t="s">
        <v>74</v>
      </c>
      <c r="F85" s="3" t="s">
        <v>74</v>
      </c>
      <c r="G85" s="3" t="s">
        <v>74</v>
      </c>
      <c r="H85" s="3" t="s">
        <v>74</v>
      </c>
      <c r="I85" s="3" t="s">
        <v>553</v>
      </c>
      <c r="J85" s="3" t="s">
        <v>555</v>
      </c>
      <c r="K85" s="3" t="s">
        <v>74</v>
      </c>
      <c r="L85" s="3" t="s">
        <v>74</v>
      </c>
      <c r="M85" s="3" t="s">
        <v>74</v>
      </c>
      <c r="N85" s="3" t="s">
        <v>74</v>
      </c>
      <c r="O85" s="3" t="s">
        <v>74</v>
      </c>
      <c r="P85" s="3" t="s">
        <v>74</v>
      </c>
      <c r="Q85" s="3" t="s">
        <v>74</v>
      </c>
      <c r="R85" s="3"/>
    </row>
    <row r="86" spans="1:18" ht="15" customHeight="1" x14ac:dyDescent="0.3">
      <c r="A86" s="3" t="s">
        <v>661</v>
      </c>
      <c r="B86" s="3" t="s">
        <v>660</v>
      </c>
      <c r="C86" s="3" t="s">
        <v>74</v>
      </c>
      <c r="D86" s="3" t="s">
        <v>74</v>
      </c>
      <c r="E86" s="3" t="s">
        <v>74</v>
      </c>
      <c r="F86" s="3" t="s">
        <v>74</v>
      </c>
      <c r="G86" s="3" t="s">
        <v>74</v>
      </c>
      <c r="H86" s="3" t="s">
        <v>74</v>
      </c>
      <c r="I86" s="3" t="s">
        <v>553</v>
      </c>
      <c r="J86" s="3" t="s">
        <v>74</v>
      </c>
      <c r="K86" s="3" t="s">
        <v>74</v>
      </c>
      <c r="L86" s="3" t="s">
        <v>74</v>
      </c>
      <c r="M86" s="3" t="s">
        <v>74</v>
      </c>
      <c r="N86" s="3" t="s">
        <v>74</v>
      </c>
      <c r="O86" s="3" t="s">
        <v>74</v>
      </c>
      <c r="P86" s="3" t="s">
        <v>74</v>
      </c>
      <c r="Q86" s="3" t="s">
        <v>74</v>
      </c>
      <c r="R86" s="3"/>
    </row>
    <row r="87" spans="1:18" ht="15" customHeight="1" x14ac:dyDescent="0.3">
      <c r="A87" s="3" t="s">
        <v>662</v>
      </c>
      <c r="B87" s="3" t="s">
        <v>660</v>
      </c>
      <c r="C87" s="3" t="s">
        <v>74</v>
      </c>
      <c r="D87" s="3" t="s">
        <v>74</v>
      </c>
      <c r="E87" s="3" t="s">
        <v>74</v>
      </c>
      <c r="F87" s="3" t="s">
        <v>74</v>
      </c>
      <c r="G87" s="3" t="s">
        <v>74</v>
      </c>
      <c r="H87" s="3" t="s">
        <v>74</v>
      </c>
      <c r="I87" s="3" t="s">
        <v>553</v>
      </c>
      <c r="J87" s="3" t="s">
        <v>74</v>
      </c>
      <c r="K87" s="3" t="s">
        <v>74</v>
      </c>
      <c r="L87" s="3" t="s">
        <v>74</v>
      </c>
      <c r="M87" s="3" t="s">
        <v>74</v>
      </c>
      <c r="N87" s="3" t="s">
        <v>74</v>
      </c>
      <c r="O87" s="3" t="s">
        <v>74</v>
      </c>
      <c r="P87" s="3" t="s">
        <v>74</v>
      </c>
      <c r="Q87" s="3" t="s">
        <v>74</v>
      </c>
      <c r="R87" s="3"/>
    </row>
    <row r="88" spans="1:18" ht="15" customHeight="1" x14ac:dyDescent="0.3">
      <c r="A88" s="3" t="s">
        <v>663</v>
      </c>
      <c r="B88" s="3" t="s">
        <v>660</v>
      </c>
      <c r="C88" s="3" t="s">
        <v>74</v>
      </c>
      <c r="D88" s="3" t="s">
        <v>74</v>
      </c>
      <c r="E88" s="3" t="s">
        <v>74</v>
      </c>
      <c r="F88" s="3" t="s">
        <v>74</v>
      </c>
      <c r="G88" s="3" t="s">
        <v>74</v>
      </c>
      <c r="H88" s="3" t="s">
        <v>74</v>
      </c>
      <c r="I88" s="3" t="s">
        <v>553</v>
      </c>
      <c r="J88" s="3" t="s">
        <v>74</v>
      </c>
      <c r="K88" s="3" t="s">
        <v>74</v>
      </c>
      <c r="L88" s="3" t="s">
        <v>74</v>
      </c>
      <c r="M88" s="3" t="s">
        <v>74</v>
      </c>
      <c r="N88" s="3" t="s">
        <v>74</v>
      </c>
      <c r="O88" s="3" t="s">
        <v>74</v>
      </c>
      <c r="P88" s="3" t="s">
        <v>74</v>
      </c>
      <c r="Q88" s="3" t="s">
        <v>74</v>
      </c>
      <c r="R88" s="3"/>
    </row>
    <row r="89" spans="1:18" ht="15" customHeight="1" x14ac:dyDescent="0.3">
      <c r="A89" s="3" t="s">
        <v>664</v>
      </c>
      <c r="B89" s="3" t="s">
        <v>660</v>
      </c>
      <c r="C89" s="3" t="s">
        <v>74</v>
      </c>
      <c r="D89" s="3" t="s">
        <v>74</v>
      </c>
      <c r="E89" s="3" t="s">
        <v>74</v>
      </c>
      <c r="F89" s="3" t="s">
        <v>74</v>
      </c>
      <c r="G89" s="3" t="s">
        <v>74</v>
      </c>
      <c r="H89" s="3" t="s">
        <v>74</v>
      </c>
      <c r="I89" s="3" t="s">
        <v>553</v>
      </c>
      <c r="J89" s="3" t="s">
        <v>555</v>
      </c>
      <c r="K89" s="3" t="s">
        <v>74</v>
      </c>
      <c r="L89" s="3" t="s">
        <v>74</v>
      </c>
      <c r="M89" s="3" t="s">
        <v>74</v>
      </c>
      <c r="N89" s="3" t="s">
        <v>74</v>
      </c>
      <c r="O89" s="3" t="s">
        <v>74</v>
      </c>
      <c r="P89" s="3" t="s">
        <v>74</v>
      </c>
      <c r="Q89" s="3" t="s">
        <v>74</v>
      </c>
      <c r="R89" s="3"/>
    </row>
    <row r="90" spans="1:18" ht="15" customHeight="1" x14ac:dyDescent="0.3">
      <c r="A90" s="3" t="s">
        <v>665</v>
      </c>
      <c r="B90" s="3" t="s">
        <v>660</v>
      </c>
      <c r="C90" s="3" t="s">
        <v>74</v>
      </c>
      <c r="D90" s="3" t="s">
        <v>74</v>
      </c>
      <c r="E90" s="3" t="s">
        <v>74</v>
      </c>
      <c r="F90" s="3" t="s">
        <v>74</v>
      </c>
      <c r="G90" s="3" t="s">
        <v>74</v>
      </c>
      <c r="H90" s="3" t="s">
        <v>74</v>
      </c>
      <c r="I90" s="3" t="s">
        <v>553</v>
      </c>
      <c r="J90" s="3" t="s">
        <v>74</v>
      </c>
      <c r="K90" s="3" t="s">
        <v>74</v>
      </c>
      <c r="L90" s="3" t="s">
        <v>74</v>
      </c>
      <c r="M90" s="3" t="s">
        <v>74</v>
      </c>
      <c r="N90" s="3" t="s">
        <v>74</v>
      </c>
      <c r="O90" s="3" t="s">
        <v>74</v>
      </c>
      <c r="P90" s="3" t="s">
        <v>74</v>
      </c>
      <c r="Q90" s="3" t="s">
        <v>74</v>
      </c>
      <c r="R90" s="3"/>
    </row>
    <row r="91" spans="1:18" ht="15" customHeight="1" x14ac:dyDescent="0.3">
      <c r="A91" s="3" t="s">
        <v>666</v>
      </c>
      <c r="B91" s="3" t="s">
        <v>660</v>
      </c>
      <c r="C91" s="3" t="s">
        <v>74</v>
      </c>
      <c r="D91" s="3" t="s">
        <v>74</v>
      </c>
      <c r="E91" s="3" t="s">
        <v>74</v>
      </c>
      <c r="F91" s="3" t="s">
        <v>74</v>
      </c>
      <c r="G91" s="3" t="s">
        <v>74</v>
      </c>
      <c r="H91" s="3" t="s">
        <v>74</v>
      </c>
      <c r="I91" s="3" t="s">
        <v>553</v>
      </c>
      <c r="J91" s="3" t="s">
        <v>74</v>
      </c>
      <c r="K91" s="3" t="s">
        <v>74</v>
      </c>
      <c r="L91" s="3" t="s">
        <v>74</v>
      </c>
      <c r="M91" s="3" t="s">
        <v>74</v>
      </c>
      <c r="N91" s="3" t="s">
        <v>74</v>
      </c>
      <c r="O91" s="3" t="s">
        <v>74</v>
      </c>
      <c r="P91" s="3" t="s">
        <v>74</v>
      </c>
      <c r="Q91" s="3" t="s">
        <v>74</v>
      </c>
      <c r="R91" s="3"/>
    </row>
    <row r="92" spans="1:18" ht="15" customHeight="1" x14ac:dyDescent="0.3">
      <c r="A92" s="3" t="s">
        <v>667</v>
      </c>
      <c r="B92" s="3" t="s">
        <v>660</v>
      </c>
      <c r="C92" s="3" t="s">
        <v>74</v>
      </c>
      <c r="D92" s="3" t="s">
        <v>74</v>
      </c>
      <c r="E92" s="3" t="s">
        <v>74</v>
      </c>
      <c r="F92" s="3" t="s">
        <v>74</v>
      </c>
      <c r="G92" s="3" t="s">
        <v>74</v>
      </c>
      <c r="H92" s="3" t="s">
        <v>74</v>
      </c>
      <c r="I92" s="3" t="s">
        <v>553</v>
      </c>
      <c r="J92" s="3" t="s">
        <v>74</v>
      </c>
      <c r="K92" s="3" t="s">
        <v>74</v>
      </c>
      <c r="L92" s="3" t="s">
        <v>74</v>
      </c>
      <c r="M92" s="3" t="s">
        <v>74</v>
      </c>
      <c r="N92" s="3" t="s">
        <v>74</v>
      </c>
      <c r="O92" s="3" t="s">
        <v>74</v>
      </c>
      <c r="P92" s="3" t="s">
        <v>74</v>
      </c>
      <c r="Q92" s="3" t="s">
        <v>74</v>
      </c>
      <c r="R92" s="3"/>
    </row>
    <row r="93" spans="1:18" ht="15" customHeight="1" x14ac:dyDescent="0.3">
      <c r="A93" s="3" t="s">
        <v>668</v>
      </c>
      <c r="B93" s="3" t="s">
        <v>660</v>
      </c>
      <c r="C93" s="3" t="s">
        <v>74</v>
      </c>
      <c r="D93" s="3" t="s">
        <v>74</v>
      </c>
      <c r="E93" s="3" t="s">
        <v>74</v>
      </c>
      <c r="F93" s="3" t="s">
        <v>74</v>
      </c>
      <c r="G93" s="3" t="s">
        <v>74</v>
      </c>
      <c r="H93" s="3" t="s">
        <v>74</v>
      </c>
      <c r="I93" s="3" t="s">
        <v>553</v>
      </c>
      <c r="J93" s="3" t="s">
        <v>74</v>
      </c>
      <c r="K93" s="3" t="s">
        <v>74</v>
      </c>
      <c r="L93" s="3" t="s">
        <v>74</v>
      </c>
      <c r="M93" s="3" t="s">
        <v>74</v>
      </c>
      <c r="N93" s="3" t="s">
        <v>74</v>
      </c>
      <c r="O93" s="3" t="s">
        <v>74</v>
      </c>
      <c r="P93" s="3" t="s">
        <v>74</v>
      </c>
      <c r="Q93" s="3" t="s">
        <v>74</v>
      </c>
      <c r="R93" s="3"/>
    </row>
    <row r="94" spans="1:18" ht="15" customHeight="1" x14ac:dyDescent="0.3">
      <c r="A94" s="3" t="s">
        <v>669</v>
      </c>
      <c r="B94" s="3" t="s">
        <v>670</v>
      </c>
      <c r="C94" s="3" t="s">
        <v>74</v>
      </c>
      <c r="D94" s="3" t="s">
        <v>74</v>
      </c>
      <c r="E94" s="3" t="s">
        <v>74</v>
      </c>
      <c r="F94" s="3" t="s">
        <v>74</v>
      </c>
      <c r="G94" s="3" t="s">
        <v>74</v>
      </c>
      <c r="H94" s="3" t="s">
        <v>74</v>
      </c>
      <c r="I94" s="3" t="s">
        <v>74</v>
      </c>
      <c r="J94" s="3" t="s">
        <v>74</v>
      </c>
      <c r="K94" s="3" t="s">
        <v>74</v>
      </c>
      <c r="L94" s="3" t="s">
        <v>557</v>
      </c>
      <c r="M94" s="3" t="s">
        <v>557</v>
      </c>
      <c r="N94" s="3" t="s">
        <v>557</v>
      </c>
      <c r="O94" s="3" t="s">
        <v>557</v>
      </c>
      <c r="P94" s="3" t="s">
        <v>557</v>
      </c>
      <c r="Q94" s="3" t="s">
        <v>558</v>
      </c>
      <c r="R94" s="3"/>
    </row>
    <row r="95" spans="1:18" ht="23.85" customHeight="1" x14ac:dyDescent="0.3">
      <c r="A95" s="3" t="s">
        <v>671</v>
      </c>
      <c r="B95" s="3" t="s">
        <v>670</v>
      </c>
      <c r="C95" s="3" t="s">
        <v>74</v>
      </c>
      <c r="D95" s="3" t="s">
        <v>74</v>
      </c>
      <c r="E95" s="3" t="s">
        <v>74</v>
      </c>
      <c r="F95" s="3" t="s">
        <v>74</v>
      </c>
      <c r="G95" s="3" t="s">
        <v>74</v>
      </c>
      <c r="H95" s="3" t="s">
        <v>74</v>
      </c>
      <c r="I95" s="3" t="s">
        <v>74</v>
      </c>
      <c r="J95" s="3" t="s">
        <v>74</v>
      </c>
      <c r="K95" s="3" t="s">
        <v>74</v>
      </c>
      <c r="L95" s="3" t="s">
        <v>557</v>
      </c>
      <c r="M95" s="3" t="s">
        <v>557</v>
      </c>
      <c r="N95" s="3" t="s">
        <v>557</v>
      </c>
      <c r="O95" s="3" t="s">
        <v>557</v>
      </c>
      <c r="P95" s="3" t="s">
        <v>557</v>
      </c>
      <c r="Q95" s="3" t="s">
        <v>558</v>
      </c>
      <c r="R95" s="3"/>
    </row>
    <row r="97" spans="1:17" ht="15" customHeight="1" x14ac:dyDescent="0.3">
      <c r="A97" s="9" t="s">
        <v>672</v>
      </c>
      <c r="C97" s="9">
        <f t="shared" ref="C97:Q97" si="0">COUNTA(C2:C95)-COUNTIF(C2:C95,"-")</f>
        <v>26</v>
      </c>
      <c r="D97" s="9">
        <f t="shared" si="0"/>
        <v>70</v>
      </c>
      <c r="E97" s="9">
        <f t="shared" si="0"/>
        <v>70</v>
      </c>
      <c r="F97" s="9">
        <f t="shared" si="0"/>
        <v>70</v>
      </c>
      <c r="G97" s="9">
        <f t="shared" si="0"/>
        <v>70</v>
      </c>
      <c r="H97" s="9">
        <f t="shared" si="0"/>
        <v>73</v>
      </c>
      <c r="I97" s="9">
        <f t="shared" si="0"/>
        <v>75</v>
      </c>
      <c r="J97" s="9">
        <f t="shared" si="0"/>
        <v>25</v>
      </c>
      <c r="K97" s="9">
        <f t="shared" si="0"/>
        <v>7</v>
      </c>
      <c r="L97" s="9">
        <f t="shared" si="0"/>
        <v>39</v>
      </c>
      <c r="M97" s="9">
        <f t="shared" si="0"/>
        <v>33</v>
      </c>
      <c r="N97" s="9">
        <f t="shared" si="0"/>
        <v>18</v>
      </c>
      <c r="O97" s="9">
        <f t="shared" si="0"/>
        <v>21</v>
      </c>
      <c r="P97" s="9">
        <f t="shared" si="0"/>
        <v>18</v>
      </c>
      <c r="Q97" s="9">
        <f t="shared" si="0"/>
        <v>42</v>
      </c>
    </row>
    <row r="98" spans="1:17" ht="15" customHeight="1" x14ac:dyDescent="0.3">
      <c r="A98" s="10" t="s">
        <v>673</v>
      </c>
    </row>
  </sheetData>
  <autoFilter ref="A1:R95" xr:uid="{00000000-0009-0000-0000-000005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1" width="30" customWidth="1"/>
    <col min="2" max="2" width="22" customWidth="1"/>
    <col min="3" max="5" width="9" customWidth="1"/>
    <col min="6" max="6" width="12" customWidth="1"/>
    <col min="7" max="7" width="11" customWidth="1"/>
    <col min="8" max="8" width="9" customWidth="1"/>
    <col min="9" max="9" width="10" customWidth="1"/>
    <col min="10" max="10" width="26" customWidth="1"/>
    <col min="11" max="11" width="10" customWidth="1"/>
    <col min="12" max="17" width="11" customWidth="1"/>
    <col min="18" max="18" width="14" customWidth="1"/>
    <col min="19" max="19" width="44" customWidth="1"/>
  </cols>
  <sheetData>
    <row r="1" spans="1:19" ht="30" customHeight="1" x14ac:dyDescent="0.3">
      <c r="A1" s="4" t="s">
        <v>533</v>
      </c>
      <c r="B1" s="4" t="s">
        <v>534</v>
      </c>
      <c r="C1" s="4" t="s">
        <v>535</v>
      </c>
      <c r="D1" s="4" t="s">
        <v>536</v>
      </c>
      <c r="E1" s="4" t="s">
        <v>537</v>
      </c>
      <c r="F1" s="4" t="s">
        <v>538</v>
      </c>
      <c r="G1" s="4" t="s">
        <v>539</v>
      </c>
      <c r="H1" s="4" t="s">
        <v>540</v>
      </c>
      <c r="I1" s="4" t="s">
        <v>541</v>
      </c>
      <c r="J1" s="4" t="s">
        <v>542</v>
      </c>
      <c r="K1" s="4" t="s">
        <v>543</v>
      </c>
      <c r="L1" s="4" t="s">
        <v>674</v>
      </c>
      <c r="M1" s="4" t="s">
        <v>675</v>
      </c>
      <c r="N1" s="4" t="s">
        <v>676</v>
      </c>
      <c r="O1" s="4" t="s">
        <v>677</v>
      </c>
      <c r="P1" s="4" t="s">
        <v>678</v>
      </c>
      <c r="Q1" s="4" t="s">
        <v>679</v>
      </c>
      <c r="R1" s="4" t="s">
        <v>549</v>
      </c>
      <c r="S1" s="4" t="s">
        <v>550</v>
      </c>
    </row>
    <row r="2" spans="1:19" ht="23.85" customHeight="1" x14ac:dyDescent="0.3">
      <c r="A2" s="3" t="s">
        <v>551</v>
      </c>
      <c r="B2" s="3" t="s">
        <v>552</v>
      </c>
      <c r="C2" s="3" t="s">
        <v>553</v>
      </c>
      <c r="D2" s="3" t="s">
        <v>553</v>
      </c>
      <c r="E2" s="3" t="s">
        <v>553</v>
      </c>
      <c r="F2" s="3" t="s">
        <v>554</v>
      </c>
      <c r="G2" s="3" t="s">
        <v>553</v>
      </c>
      <c r="H2" s="3" t="s">
        <v>553</v>
      </c>
      <c r="I2" s="3" t="s">
        <v>553</v>
      </c>
      <c r="J2" s="3" t="s">
        <v>680</v>
      </c>
      <c r="K2" s="3" t="s">
        <v>74</v>
      </c>
      <c r="L2" s="3" t="s">
        <v>557</v>
      </c>
      <c r="M2" s="3" t="s">
        <v>557</v>
      </c>
      <c r="N2" s="3" t="s">
        <v>556</v>
      </c>
      <c r="O2" s="3" t="s">
        <v>557</v>
      </c>
      <c r="P2" s="3" t="s">
        <v>579</v>
      </c>
      <c r="Q2" s="3" t="s">
        <v>556</v>
      </c>
      <c r="R2" s="3" t="s">
        <v>558</v>
      </c>
      <c r="S2" s="3" t="s">
        <v>559</v>
      </c>
    </row>
    <row r="3" spans="1:19" ht="15" customHeight="1" x14ac:dyDescent="0.3">
      <c r="A3" s="3" t="s">
        <v>560</v>
      </c>
      <c r="B3" s="3" t="s">
        <v>552</v>
      </c>
      <c r="C3" s="3" t="s">
        <v>74</v>
      </c>
      <c r="D3" s="3" t="s">
        <v>553</v>
      </c>
      <c r="E3" s="3" t="s">
        <v>553</v>
      </c>
      <c r="F3" s="3" t="s">
        <v>561</v>
      </c>
      <c r="G3" s="3" t="s">
        <v>553</v>
      </c>
      <c r="H3" s="3" t="s">
        <v>74</v>
      </c>
      <c r="I3" s="3" t="s">
        <v>553</v>
      </c>
      <c r="J3" s="3" t="s">
        <v>74</v>
      </c>
      <c r="K3" s="3" t="s">
        <v>74</v>
      </c>
      <c r="L3" s="3" t="s">
        <v>579</v>
      </c>
      <c r="M3" s="3" t="s">
        <v>579</v>
      </c>
      <c r="N3" s="3" t="s">
        <v>579</v>
      </c>
      <c r="O3" s="3" t="s">
        <v>579</v>
      </c>
      <c r="P3" s="3" t="s">
        <v>579</v>
      </c>
      <c r="Q3" s="3" t="s">
        <v>579</v>
      </c>
      <c r="R3" s="3" t="s">
        <v>558</v>
      </c>
      <c r="S3" s="3" t="s">
        <v>562</v>
      </c>
    </row>
    <row r="4" spans="1:19" ht="15" customHeight="1" x14ac:dyDescent="0.3">
      <c r="A4" s="3" t="s">
        <v>563</v>
      </c>
      <c r="B4" s="3" t="s">
        <v>552</v>
      </c>
      <c r="C4" s="3" t="s">
        <v>74</v>
      </c>
      <c r="D4" s="3" t="s">
        <v>553</v>
      </c>
      <c r="E4" s="3" t="s">
        <v>553</v>
      </c>
      <c r="F4" s="3" t="s">
        <v>561</v>
      </c>
      <c r="G4" s="3" t="s">
        <v>553</v>
      </c>
      <c r="H4" s="3" t="s">
        <v>553</v>
      </c>
      <c r="I4" s="3" t="s">
        <v>553</v>
      </c>
      <c r="J4" s="3" t="s">
        <v>74</v>
      </c>
      <c r="K4" s="3" t="s">
        <v>74</v>
      </c>
      <c r="L4" s="3" t="s">
        <v>557</v>
      </c>
      <c r="M4" s="3" t="s">
        <v>74</v>
      </c>
      <c r="N4" s="3" t="s">
        <v>557</v>
      </c>
      <c r="O4" s="3" t="s">
        <v>74</v>
      </c>
      <c r="P4" s="3" t="s">
        <v>74</v>
      </c>
      <c r="Q4" s="3" t="s">
        <v>557</v>
      </c>
      <c r="R4" s="3" t="s">
        <v>558</v>
      </c>
      <c r="S4" s="3"/>
    </row>
    <row r="5" spans="1:19" ht="15" customHeight="1" x14ac:dyDescent="0.3">
      <c r="A5" s="3" t="s">
        <v>564</v>
      </c>
      <c r="B5" s="3" t="s">
        <v>552</v>
      </c>
      <c r="C5" s="3" t="s">
        <v>74</v>
      </c>
      <c r="D5" s="3" t="s">
        <v>553</v>
      </c>
      <c r="E5" s="3" t="s">
        <v>553</v>
      </c>
      <c r="F5" s="3" t="s">
        <v>561</v>
      </c>
      <c r="G5" s="3" t="s">
        <v>553</v>
      </c>
      <c r="H5" s="3" t="s">
        <v>553</v>
      </c>
      <c r="I5" s="3" t="s">
        <v>553</v>
      </c>
      <c r="J5" s="3" t="s">
        <v>74</v>
      </c>
      <c r="K5" s="3" t="s">
        <v>74</v>
      </c>
      <c r="L5" s="3" t="s">
        <v>74</v>
      </c>
      <c r="M5" s="3" t="s">
        <v>74</v>
      </c>
      <c r="N5" s="3" t="s">
        <v>557</v>
      </c>
      <c r="O5" s="3" t="s">
        <v>74</v>
      </c>
      <c r="P5" s="3" t="s">
        <v>74</v>
      </c>
      <c r="Q5" s="3" t="s">
        <v>557</v>
      </c>
      <c r="R5" s="3" t="s">
        <v>558</v>
      </c>
      <c r="S5" s="3"/>
    </row>
    <row r="6" spans="1:19" ht="23.85" customHeight="1" x14ac:dyDescent="0.3">
      <c r="A6" s="3" t="s">
        <v>565</v>
      </c>
      <c r="B6" s="3" t="s">
        <v>552</v>
      </c>
      <c r="C6" s="3" t="s">
        <v>553</v>
      </c>
      <c r="D6" s="3" t="s">
        <v>553</v>
      </c>
      <c r="E6" s="3" t="s">
        <v>553</v>
      </c>
      <c r="F6" s="3" t="s">
        <v>554</v>
      </c>
      <c r="G6" s="3" t="s">
        <v>553</v>
      </c>
      <c r="H6" s="3" t="s">
        <v>553</v>
      </c>
      <c r="I6" s="3" t="s">
        <v>553</v>
      </c>
      <c r="J6" s="3" t="s">
        <v>680</v>
      </c>
      <c r="K6" s="3" t="s">
        <v>74</v>
      </c>
      <c r="L6" s="3" t="s">
        <v>74</v>
      </c>
      <c r="M6" s="3" t="s">
        <v>74</v>
      </c>
      <c r="N6" s="3" t="s">
        <v>557</v>
      </c>
      <c r="O6" s="3" t="s">
        <v>74</v>
      </c>
      <c r="P6" s="3" t="s">
        <v>557</v>
      </c>
      <c r="Q6" s="3" t="s">
        <v>557</v>
      </c>
      <c r="R6" s="3" t="s">
        <v>558</v>
      </c>
      <c r="S6" s="3"/>
    </row>
    <row r="7" spans="1:19" ht="15" customHeight="1" x14ac:dyDescent="0.3">
      <c r="A7" s="3" t="s">
        <v>566</v>
      </c>
      <c r="B7" s="3" t="s">
        <v>552</v>
      </c>
      <c r="C7" s="3" t="s">
        <v>74</v>
      </c>
      <c r="D7" s="3" t="s">
        <v>553</v>
      </c>
      <c r="E7" s="3" t="s">
        <v>553</v>
      </c>
      <c r="F7" s="3" t="s">
        <v>561</v>
      </c>
      <c r="G7" s="3" t="s">
        <v>553</v>
      </c>
      <c r="H7" s="3" t="s">
        <v>553</v>
      </c>
      <c r="I7" s="3" t="s">
        <v>553</v>
      </c>
      <c r="J7" s="3" t="s">
        <v>74</v>
      </c>
      <c r="K7" s="3" t="s">
        <v>74</v>
      </c>
      <c r="L7" s="3" t="s">
        <v>74</v>
      </c>
      <c r="M7" s="3" t="s">
        <v>74</v>
      </c>
      <c r="N7" s="3" t="s">
        <v>557</v>
      </c>
      <c r="O7" s="3" t="s">
        <v>74</v>
      </c>
      <c r="P7" s="3" t="s">
        <v>74</v>
      </c>
      <c r="Q7" s="3" t="s">
        <v>557</v>
      </c>
      <c r="R7" s="3" t="s">
        <v>558</v>
      </c>
      <c r="S7" s="3"/>
    </row>
    <row r="8" spans="1:19" ht="15" customHeight="1" x14ac:dyDescent="0.3">
      <c r="A8" s="3" t="s">
        <v>567</v>
      </c>
      <c r="B8" s="3" t="s">
        <v>552</v>
      </c>
      <c r="C8" s="3" t="s">
        <v>74</v>
      </c>
      <c r="D8" s="3" t="s">
        <v>553</v>
      </c>
      <c r="E8" s="3" t="s">
        <v>553</v>
      </c>
      <c r="F8" s="3" t="s">
        <v>561</v>
      </c>
      <c r="G8" s="3" t="s">
        <v>553</v>
      </c>
      <c r="H8" s="3" t="s">
        <v>553</v>
      </c>
      <c r="I8" s="3" t="s">
        <v>553</v>
      </c>
      <c r="J8" s="3" t="s">
        <v>74</v>
      </c>
      <c r="K8" s="3" t="s">
        <v>74</v>
      </c>
      <c r="L8" s="3" t="s">
        <v>74</v>
      </c>
      <c r="M8" s="3" t="s">
        <v>74</v>
      </c>
      <c r="N8" s="3" t="s">
        <v>557</v>
      </c>
      <c r="O8" s="3" t="s">
        <v>74</v>
      </c>
      <c r="P8" s="3" t="s">
        <v>74</v>
      </c>
      <c r="Q8" s="3" t="s">
        <v>557</v>
      </c>
      <c r="R8" s="3" t="s">
        <v>558</v>
      </c>
      <c r="S8" s="3" t="s">
        <v>568</v>
      </c>
    </row>
    <row r="9" spans="1:19" ht="15" customHeight="1" x14ac:dyDescent="0.3">
      <c r="A9" s="3" t="s">
        <v>569</v>
      </c>
      <c r="B9" s="3" t="s">
        <v>552</v>
      </c>
      <c r="C9" s="3" t="s">
        <v>74</v>
      </c>
      <c r="D9" s="3" t="s">
        <v>553</v>
      </c>
      <c r="E9" s="3" t="s">
        <v>553</v>
      </c>
      <c r="F9" s="3" t="s">
        <v>561</v>
      </c>
      <c r="G9" s="3" t="s">
        <v>553</v>
      </c>
      <c r="H9" s="3" t="s">
        <v>553</v>
      </c>
      <c r="I9" s="3" t="s">
        <v>553</v>
      </c>
      <c r="J9" s="3" t="s">
        <v>74</v>
      </c>
      <c r="K9" s="3" t="s">
        <v>74</v>
      </c>
      <c r="L9" s="3" t="s">
        <v>557</v>
      </c>
      <c r="M9" s="3" t="s">
        <v>557</v>
      </c>
      <c r="N9" s="3" t="s">
        <v>557</v>
      </c>
      <c r="O9" s="3" t="s">
        <v>74</v>
      </c>
      <c r="P9" s="3" t="s">
        <v>74</v>
      </c>
      <c r="Q9" s="3" t="s">
        <v>557</v>
      </c>
      <c r="R9" s="3" t="s">
        <v>558</v>
      </c>
      <c r="S9" s="3"/>
    </row>
    <row r="10" spans="1:19" ht="15" customHeight="1" x14ac:dyDescent="0.3">
      <c r="A10" s="3" t="s">
        <v>570</v>
      </c>
      <c r="B10" s="3" t="s">
        <v>552</v>
      </c>
      <c r="C10" s="3" t="s">
        <v>74</v>
      </c>
      <c r="D10" s="3" t="s">
        <v>553</v>
      </c>
      <c r="E10" s="3" t="s">
        <v>553</v>
      </c>
      <c r="F10" s="3" t="s">
        <v>561</v>
      </c>
      <c r="G10" s="3" t="s">
        <v>553</v>
      </c>
      <c r="H10" s="3" t="s">
        <v>553</v>
      </c>
      <c r="I10" s="3" t="s">
        <v>74</v>
      </c>
      <c r="J10" s="3" t="s">
        <v>74</v>
      </c>
      <c r="K10" s="3" t="s">
        <v>74</v>
      </c>
      <c r="L10" s="3" t="s">
        <v>74</v>
      </c>
      <c r="M10" s="3" t="s">
        <v>74</v>
      </c>
      <c r="N10" s="3" t="s">
        <v>74</v>
      </c>
      <c r="O10" s="3" t="s">
        <v>74</v>
      </c>
      <c r="P10" s="3" t="s">
        <v>74</v>
      </c>
      <c r="Q10" s="3" t="s">
        <v>74</v>
      </c>
      <c r="R10" s="3" t="s">
        <v>74</v>
      </c>
      <c r="S10" s="3"/>
    </row>
    <row r="11" spans="1:19" ht="23.85" customHeight="1" x14ac:dyDescent="0.3">
      <c r="A11" s="3" t="s">
        <v>571</v>
      </c>
      <c r="B11" s="3" t="s">
        <v>552</v>
      </c>
      <c r="C11" s="3" t="s">
        <v>74</v>
      </c>
      <c r="D11" s="3" t="s">
        <v>553</v>
      </c>
      <c r="E11" s="3" t="s">
        <v>553</v>
      </c>
      <c r="F11" s="3" t="s">
        <v>561</v>
      </c>
      <c r="G11" s="3" t="s">
        <v>553</v>
      </c>
      <c r="H11" s="3" t="s">
        <v>74</v>
      </c>
      <c r="I11" s="3" t="s">
        <v>74</v>
      </c>
      <c r="J11" s="3" t="s">
        <v>74</v>
      </c>
      <c r="K11" s="3" t="s">
        <v>74</v>
      </c>
      <c r="L11" s="3" t="s">
        <v>74</v>
      </c>
      <c r="M11" s="3" t="s">
        <v>74</v>
      </c>
      <c r="N11" s="3" t="s">
        <v>74</v>
      </c>
      <c r="O11" s="3" t="s">
        <v>74</v>
      </c>
      <c r="P11" s="3" t="s">
        <v>74</v>
      </c>
      <c r="Q11" s="3" t="s">
        <v>74</v>
      </c>
      <c r="R11" s="3" t="s">
        <v>74</v>
      </c>
      <c r="S11" s="3" t="s">
        <v>572</v>
      </c>
    </row>
    <row r="12" spans="1:19" ht="15" customHeight="1" x14ac:dyDescent="0.3">
      <c r="A12" s="3" t="s">
        <v>681</v>
      </c>
      <c r="B12" s="3" t="s">
        <v>682</v>
      </c>
      <c r="C12" s="3" t="s">
        <v>74</v>
      </c>
      <c r="D12" s="3" t="s">
        <v>553</v>
      </c>
      <c r="E12" s="3" t="s">
        <v>553</v>
      </c>
      <c r="F12" s="3" t="s">
        <v>561</v>
      </c>
      <c r="G12" s="3" t="s">
        <v>553</v>
      </c>
      <c r="H12" s="3" t="s">
        <v>553</v>
      </c>
      <c r="I12" s="3" t="s">
        <v>553</v>
      </c>
      <c r="J12" s="3" t="s">
        <v>74</v>
      </c>
      <c r="K12" s="3" t="s">
        <v>74</v>
      </c>
      <c r="L12" s="3" t="s">
        <v>74</v>
      </c>
      <c r="M12" s="3" t="s">
        <v>74</v>
      </c>
      <c r="N12" s="3" t="s">
        <v>557</v>
      </c>
      <c r="O12" s="3" t="s">
        <v>74</v>
      </c>
      <c r="P12" s="3" t="s">
        <v>557</v>
      </c>
      <c r="Q12" s="3" t="s">
        <v>557</v>
      </c>
      <c r="R12" s="3" t="s">
        <v>558</v>
      </c>
      <c r="S12" s="3"/>
    </row>
    <row r="13" spans="1:19" ht="15" customHeight="1" x14ac:dyDescent="0.3">
      <c r="A13" s="3" t="s">
        <v>683</v>
      </c>
      <c r="B13" s="3" t="s">
        <v>682</v>
      </c>
      <c r="C13" s="3" t="s">
        <v>553</v>
      </c>
      <c r="D13" s="3" t="s">
        <v>553</v>
      </c>
      <c r="E13" s="3" t="s">
        <v>553</v>
      </c>
      <c r="F13" s="3" t="s">
        <v>554</v>
      </c>
      <c r="G13" s="3" t="s">
        <v>553</v>
      </c>
      <c r="H13" s="3" t="s">
        <v>553</v>
      </c>
      <c r="I13" s="3" t="s">
        <v>553</v>
      </c>
      <c r="J13" s="3" t="s">
        <v>555</v>
      </c>
      <c r="K13" s="3" t="s">
        <v>553</v>
      </c>
      <c r="L13" s="3" t="s">
        <v>579</v>
      </c>
      <c r="M13" s="3" t="s">
        <v>579</v>
      </c>
      <c r="N13" s="3" t="s">
        <v>556</v>
      </c>
      <c r="O13" s="3" t="s">
        <v>579</v>
      </c>
      <c r="P13" s="3" t="s">
        <v>579</v>
      </c>
      <c r="Q13" s="3" t="s">
        <v>579</v>
      </c>
      <c r="R13" s="3" t="s">
        <v>558</v>
      </c>
      <c r="S13" s="3"/>
    </row>
    <row r="14" spans="1:19" ht="23.85" customHeight="1" x14ac:dyDescent="0.3">
      <c r="A14" s="3" t="s">
        <v>684</v>
      </c>
      <c r="B14" s="3" t="s">
        <v>682</v>
      </c>
      <c r="C14" s="3" t="s">
        <v>553</v>
      </c>
      <c r="D14" s="3" t="s">
        <v>553</v>
      </c>
      <c r="E14" s="3" t="s">
        <v>553</v>
      </c>
      <c r="F14" s="3" t="s">
        <v>554</v>
      </c>
      <c r="G14" s="3" t="s">
        <v>553</v>
      </c>
      <c r="H14" s="3" t="s">
        <v>553</v>
      </c>
      <c r="I14" s="3" t="s">
        <v>553</v>
      </c>
      <c r="J14" s="3" t="s">
        <v>685</v>
      </c>
      <c r="K14" s="3" t="s">
        <v>74</v>
      </c>
      <c r="L14" s="3" t="s">
        <v>556</v>
      </c>
      <c r="M14" s="3" t="s">
        <v>74</v>
      </c>
      <c r="N14" s="3" t="s">
        <v>557</v>
      </c>
      <c r="O14" s="3" t="s">
        <v>556</v>
      </c>
      <c r="P14" s="3" t="s">
        <v>556</v>
      </c>
      <c r="Q14" s="3" t="s">
        <v>74</v>
      </c>
      <c r="R14" s="3" t="s">
        <v>558</v>
      </c>
      <c r="S14" s="3"/>
    </row>
    <row r="15" spans="1:19" ht="23.85" customHeight="1" x14ac:dyDescent="0.3">
      <c r="A15" s="3" t="s">
        <v>686</v>
      </c>
      <c r="B15" s="3" t="s">
        <v>682</v>
      </c>
      <c r="C15" s="3" t="s">
        <v>553</v>
      </c>
      <c r="D15" s="3" t="s">
        <v>553</v>
      </c>
      <c r="E15" s="3" t="s">
        <v>553</v>
      </c>
      <c r="F15" s="3" t="s">
        <v>554</v>
      </c>
      <c r="G15" s="3" t="s">
        <v>553</v>
      </c>
      <c r="H15" s="3" t="s">
        <v>553</v>
      </c>
      <c r="I15" s="3" t="s">
        <v>553</v>
      </c>
      <c r="J15" s="3" t="s">
        <v>685</v>
      </c>
      <c r="K15" s="3" t="s">
        <v>74</v>
      </c>
      <c r="L15" s="3" t="s">
        <v>74</v>
      </c>
      <c r="M15" s="3" t="s">
        <v>74</v>
      </c>
      <c r="N15" s="3" t="s">
        <v>557</v>
      </c>
      <c r="O15" s="3" t="s">
        <v>74</v>
      </c>
      <c r="P15" s="3" t="s">
        <v>557</v>
      </c>
      <c r="Q15" s="3" t="s">
        <v>557</v>
      </c>
      <c r="R15" s="3" t="s">
        <v>558</v>
      </c>
      <c r="S15" s="3"/>
    </row>
    <row r="16" spans="1:19" ht="23.85" customHeight="1" x14ac:dyDescent="0.3">
      <c r="A16" s="3" t="s">
        <v>687</v>
      </c>
      <c r="B16" s="3" t="s">
        <v>682</v>
      </c>
      <c r="C16" s="3" t="s">
        <v>553</v>
      </c>
      <c r="D16" s="3" t="s">
        <v>553</v>
      </c>
      <c r="E16" s="3" t="s">
        <v>553</v>
      </c>
      <c r="F16" s="3" t="s">
        <v>554</v>
      </c>
      <c r="G16" s="3" t="s">
        <v>553</v>
      </c>
      <c r="H16" s="3" t="s">
        <v>553</v>
      </c>
      <c r="I16" s="3" t="s">
        <v>553</v>
      </c>
      <c r="J16" s="3" t="s">
        <v>680</v>
      </c>
      <c r="K16" s="3" t="s">
        <v>74</v>
      </c>
      <c r="L16" s="3" t="s">
        <v>74</v>
      </c>
      <c r="M16" s="3" t="s">
        <v>74</v>
      </c>
      <c r="N16" s="3" t="s">
        <v>556</v>
      </c>
      <c r="O16" s="3" t="s">
        <v>74</v>
      </c>
      <c r="P16" s="3" t="s">
        <v>557</v>
      </c>
      <c r="Q16" s="3" t="s">
        <v>74</v>
      </c>
      <c r="R16" s="3" t="s">
        <v>558</v>
      </c>
      <c r="S16" s="3"/>
    </row>
    <row r="17" spans="1:19" ht="15" customHeight="1" x14ac:dyDescent="0.3">
      <c r="A17" s="3" t="s">
        <v>688</v>
      </c>
      <c r="B17" s="3" t="s">
        <v>682</v>
      </c>
      <c r="C17" s="3" t="s">
        <v>74</v>
      </c>
      <c r="D17" s="3" t="s">
        <v>553</v>
      </c>
      <c r="E17" s="3" t="s">
        <v>553</v>
      </c>
      <c r="F17" s="3" t="s">
        <v>561</v>
      </c>
      <c r="G17" s="3" t="s">
        <v>553</v>
      </c>
      <c r="H17" s="3" t="s">
        <v>553</v>
      </c>
      <c r="I17" s="3" t="s">
        <v>553</v>
      </c>
      <c r="J17" s="3" t="s">
        <v>520</v>
      </c>
      <c r="K17" s="3" t="s">
        <v>74</v>
      </c>
      <c r="L17" s="3" t="s">
        <v>74</v>
      </c>
      <c r="M17" s="3" t="s">
        <v>74</v>
      </c>
      <c r="N17" s="3" t="s">
        <v>74</v>
      </c>
      <c r="O17" s="3" t="s">
        <v>74</v>
      </c>
      <c r="P17" s="3" t="s">
        <v>556</v>
      </c>
      <c r="Q17" s="3" t="s">
        <v>74</v>
      </c>
      <c r="R17" s="3" t="s">
        <v>558</v>
      </c>
      <c r="S17" s="3"/>
    </row>
    <row r="18" spans="1:19" ht="23.85" customHeight="1" x14ac:dyDescent="0.3">
      <c r="A18" s="3" t="s">
        <v>689</v>
      </c>
      <c r="B18" s="3" t="s">
        <v>682</v>
      </c>
      <c r="C18" s="3" t="s">
        <v>553</v>
      </c>
      <c r="D18" s="3" t="s">
        <v>553</v>
      </c>
      <c r="E18" s="3" t="s">
        <v>553</v>
      </c>
      <c r="F18" s="3" t="s">
        <v>554</v>
      </c>
      <c r="G18" s="3" t="s">
        <v>553</v>
      </c>
      <c r="H18" s="3" t="s">
        <v>553</v>
      </c>
      <c r="I18" s="3" t="s">
        <v>553</v>
      </c>
      <c r="J18" s="3" t="s">
        <v>680</v>
      </c>
      <c r="K18" s="3" t="s">
        <v>553</v>
      </c>
      <c r="L18" s="3" t="s">
        <v>74</v>
      </c>
      <c r="M18" s="3" t="s">
        <v>74</v>
      </c>
      <c r="N18" s="3" t="s">
        <v>74</v>
      </c>
      <c r="O18" s="3" t="s">
        <v>74</v>
      </c>
      <c r="P18" s="3" t="s">
        <v>74</v>
      </c>
      <c r="Q18" s="3" t="s">
        <v>556</v>
      </c>
      <c r="R18" s="3" t="s">
        <v>558</v>
      </c>
      <c r="S18" s="3"/>
    </row>
    <row r="19" spans="1:19" ht="15" customHeight="1" x14ac:dyDescent="0.3">
      <c r="A19" s="3" t="s">
        <v>690</v>
      </c>
      <c r="B19" s="3" t="s">
        <v>682</v>
      </c>
      <c r="C19" s="3" t="s">
        <v>74</v>
      </c>
      <c r="D19" s="3" t="s">
        <v>553</v>
      </c>
      <c r="E19" s="3" t="s">
        <v>553</v>
      </c>
      <c r="F19" s="3" t="s">
        <v>561</v>
      </c>
      <c r="G19" s="3" t="s">
        <v>553</v>
      </c>
      <c r="H19" s="3" t="s">
        <v>553</v>
      </c>
      <c r="I19" s="3" t="s">
        <v>553</v>
      </c>
      <c r="J19" s="3" t="s">
        <v>74</v>
      </c>
      <c r="K19" s="3" t="s">
        <v>74</v>
      </c>
      <c r="L19" s="3" t="s">
        <v>74</v>
      </c>
      <c r="M19" s="3" t="s">
        <v>74</v>
      </c>
      <c r="N19" s="3" t="s">
        <v>74</v>
      </c>
      <c r="O19" s="3" t="s">
        <v>74</v>
      </c>
      <c r="P19" s="3" t="s">
        <v>74</v>
      </c>
      <c r="Q19" s="3" t="s">
        <v>74</v>
      </c>
      <c r="R19" s="3" t="s">
        <v>74</v>
      </c>
      <c r="S19" s="3"/>
    </row>
    <row r="20" spans="1:19" ht="15" customHeight="1" x14ac:dyDescent="0.3">
      <c r="A20" s="3" t="s">
        <v>595</v>
      </c>
      <c r="B20" s="3" t="s">
        <v>596</v>
      </c>
      <c r="C20" s="3" t="s">
        <v>74</v>
      </c>
      <c r="D20" s="3" t="s">
        <v>553</v>
      </c>
      <c r="E20" s="3" t="s">
        <v>553</v>
      </c>
      <c r="F20" s="3" t="s">
        <v>561</v>
      </c>
      <c r="G20" s="3" t="s">
        <v>553</v>
      </c>
      <c r="H20" s="3" t="s">
        <v>553</v>
      </c>
      <c r="I20" s="3" t="s">
        <v>553</v>
      </c>
      <c r="J20" s="3" t="s">
        <v>74</v>
      </c>
      <c r="K20" s="3" t="s">
        <v>74</v>
      </c>
      <c r="L20" s="3" t="s">
        <v>74</v>
      </c>
      <c r="M20" s="3" t="s">
        <v>74</v>
      </c>
      <c r="N20" s="3" t="s">
        <v>74</v>
      </c>
      <c r="O20" s="3" t="s">
        <v>74</v>
      </c>
      <c r="P20" s="3" t="s">
        <v>74</v>
      </c>
      <c r="Q20" s="3" t="s">
        <v>74</v>
      </c>
      <c r="R20" s="3" t="s">
        <v>74</v>
      </c>
      <c r="S20" s="3"/>
    </row>
    <row r="21" spans="1:19" ht="15" customHeight="1" x14ac:dyDescent="0.3">
      <c r="A21" s="3" t="s">
        <v>597</v>
      </c>
      <c r="B21" s="3" t="s">
        <v>596</v>
      </c>
      <c r="C21" s="3" t="s">
        <v>74</v>
      </c>
      <c r="D21" s="3" t="s">
        <v>553</v>
      </c>
      <c r="E21" s="3" t="s">
        <v>553</v>
      </c>
      <c r="F21" s="3" t="s">
        <v>561</v>
      </c>
      <c r="G21" s="3" t="s">
        <v>553</v>
      </c>
      <c r="H21" s="3" t="s">
        <v>553</v>
      </c>
      <c r="I21" s="3" t="s">
        <v>553</v>
      </c>
      <c r="J21" s="3" t="s">
        <v>74</v>
      </c>
      <c r="K21" s="3" t="s">
        <v>74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 t="s">
        <v>74</v>
      </c>
      <c r="R21" s="3" t="s">
        <v>74</v>
      </c>
      <c r="S21" s="3"/>
    </row>
    <row r="22" spans="1:19" ht="15" customHeight="1" x14ac:dyDescent="0.3">
      <c r="A22" s="3" t="s">
        <v>598</v>
      </c>
      <c r="B22" s="3" t="s">
        <v>596</v>
      </c>
      <c r="C22" s="3" t="s">
        <v>74</v>
      </c>
      <c r="D22" s="3" t="s">
        <v>553</v>
      </c>
      <c r="E22" s="3" t="s">
        <v>553</v>
      </c>
      <c r="F22" s="3" t="s">
        <v>561</v>
      </c>
      <c r="G22" s="3" t="s">
        <v>553</v>
      </c>
      <c r="H22" s="3" t="s">
        <v>553</v>
      </c>
      <c r="I22" s="3" t="s">
        <v>553</v>
      </c>
      <c r="J22" s="3" t="s">
        <v>74</v>
      </c>
      <c r="K22" s="3" t="s">
        <v>74</v>
      </c>
      <c r="L22" s="3" t="s">
        <v>74</v>
      </c>
      <c r="M22" s="3" t="s">
        <v>74</v>
      </c>
      <c r="N22" s="3" t="s">
        <v>557</v>
      </c>
      <c r="O22" s="3" t="s">
        <v>74</v>
      </c>
      <c r="P22" s="3" t="s">
        <v>557</v>
      </c>
      <c r="Q22" s="3" t="s">
        <v>557</v>
      </c>
      <c r="R22" s="3" t="s">
        <v>558</v>
      </c>
      <c r="S22" s="3"/>
    </row>
    <row r="23" spans="1:19" ht="15" customHeight="1" x14ac:dyDescent="0.3">
      <c r="A23" s="3" t="s">
        <v>599</v>
      </c>
      <c r="B23" s="3" t="s">
        <v>596</v>
      </c>
      <c r="C23" s="3" t="s">
        <v>74</v>
      </c>
      <c r="D23" s="3" t="s">
        <v>553</v>
      </c>
      <c r="E23" s="3" t="s">
        <v>553</v>
      </c>
      <c r="F23" s="3" t="s">
        <v>561</v>
      </c>
      <c r="G23" s="3" t="s">
        <v>553</v>
      </c>
      <c r="H23" s="3" t="s">
        <v>553</v>
      </c>
      <c r="I23" s="3" t="s">
        <v>553</v>
      </c>
      <c r="J23" s="3" t="s">
        <v>74</v>
      </c>
      <c r="K23" s="3" t="s">
        <v>74</v>
      </c>
      <c r="L23" s="3" t="s">
        <v>74</v>
      </c>
      <c r="M23" s="3" t="s">
        <v>74</v>
      </c>
      <c r="N23" s="3" t="s">
        <v>557</v>
      </c>
      <c r="O23" s="3" t="s">
        <v>74</v>
      </c>
      <c r="P23" s="3" t="s">
        <v>557</v>
      </c>
      <c r="Q23" s="3" t="s">
        <v>557</v>
      </c>
      <c r="R23" s="3" t="s">
        <v>558</v>
      </c>
      <c r="S23" s="3"/>
    </row>
    <row r="24" spans="1:19" ht="23.85" customHeight="1" x14ac:dyDescent="0.3">
      <c r="A24" s="3" t="s">
        <v>600</v>
      </c>
      <c r="B24" s="3" t="s">
        <v>596</v>
      </c>
      <c r="C24" s="3" t="s">
        <v>553</v>
      </c>
      <c r="D24" s="3" t="s">
        <v>553</v>
      </c>
      <c r="E24" s="3" t="s">
        <v>553</v>
      </c>
      <c r="F24" s="3" t="s">
        <v>554</v>
      </c>
      <c r="G24" s="3" t="s">
        <v>553</v>
      </c>
      <c r="H24" s="3" t="s">
        <v>553</v>
      </c>
      <c r="I24" s="3" t="s">
        <v>553</v>
      </c>
      <c r="J24" s="3" t="s">
        <v>685</v>
      </c>
      <c r="K24" s="3" t="s">
        <v>74</v>
      </c>
      <c r="L24" s="3" t="s">
        <v>557</v>
      </c>
      <c r="M24" s="3" t="s">
        <v>557</v>
      </c>
      <c r="N24" s="3" t="s">
        <v>557</v>
      </c>
      <c r="O24" s="3" t="s">
        <v>557</v>
      </c>
      <c r="P24" s="3" t="s">
        <v>557</v>
      </c>
      <c r="Q24" s="3" t="s">
        <v>557</v>
      </c>
      <c r="R24" s="3" t="s">
        <v>558</v>
      </c>
      <c r="S24" s="3"/>
    </row>
    <row r="25" spans="1:19" ht="15" customHeight="1" x14ac:dyDescent="0.3">
      <c r="A25" s="3" t="s">
        <v>601</v>
      </c>
      <c r="B25" s="3" t="s">
        <v>596</v>
      </c>
      <c r="C25" s="3" t="s">
        <v>74</v>
      </c>
      <c r="D25" s="3" t="s">
        <v>553</v>
      </c>
      <c r="E25" s="3" t="s">
        <v>553</v>
      </c>
      <c r="F25" s="3" t="s">
        <v>561</v>
      </c>
      <c r="G25" s="3" t="s">
        <v>553</v>
      </c>
      <c r="H25" s="3" t="s">
        <v>553</v>
      </c>
      <c r="I25" s="3" t="s">
        <v>553</v>
      </c>
      <c r="J25" s="3" t="s">
        <v>74</v>
      </c>
      <c r="K25" s="3" t="s">
        <v>74</v>
      </c>
      <c r="L25" s="3" t="s">
        <v>74</v>
      </c>
      <c r="M25" s="3" t="s">
        <v>74</v>
      </c>
      <c r="N25" s="3" t="s">
        <v>74</v>
      </c>
      <c r="O25" s="3" t="s">
        <v>74</v>
      </c>
      <c r="P25" s="3" t="s">
        <v>74</v>
      </c>
      <c r="Q25" s="3" t="s">
        <v>74</v>
      </c>
      <c r="R25" s="3" t="s">
        <v>74</v>
      </c>
      <c r="S25" s="3"/>
    </row>
    <row r="26" spans="1:19" ht="15" customHeight="1" x14ac:dyDescent="0.3">
      <c r="A26" s="3" t="s">
        <v>602</v>
      </c>
      <c r="B26" s="3" t="s">
        <v>596</v>
      </c>
      <c r="C26" s="3" t="s">
        <v>74</v>
      </c>
      <c r="D26" s="3" t="s">
        <v>553</v>
      </c>
      <c r="E26" s="3" t="s">
        <v>553</v>
      </c>
      <c r="F26" s="3" t="s">
        <v>561</v>
      </c>
      <c r="G26" s="3" t="s">
        <v>553</v>
      </c>
      <c r="H26" s="3" t="s">
        <v>553</v>
      </c>
      <c r="I26" s="3" t="s">
        <v>553</v>
      </c>
      <c r="J26" s="3" t="s">
        <v>74</v>
      </c>
      <c r="K26" s="3" t="s">
        <v>74</v>
      </c>
      <c r="L26" s="3" t="s">
        <v>74</v>
      </c>
      <c r="M26" s="3" t="s">
        <v>74</v>
      </c>
      <c r="N26" s="3" t="s">
        <v>557</v>
      </c>
      <c r="O26" s="3" t="s">
        <v>74</v>
      </c>
      <c r="P26" s="3" t="s">
        <v>74</v>
      </c>
      <c r="Q26" s="3" t="s">
        <v>557</v>
      </c>
      <c r="R26" s="3" t="s">
        <v>558</v>
      </c>
      <c r="S26" s="3"/>
    </row>
    <row r="27" spans="1:19" ht="15" customHeight="1" x14ac:dyDescent="0.3">
      <c r="A27" s="3" t="s">
        <v>603</v>
      </c>
      <c r="B27" s="3" t="s">
        <v>596</v>
      </c>
      <c r="C27" s="3" t="s">
        <v>74</v>
      </c>
      <c r="D27" s="3" t="s">
        <v>553</v>
      </c>
      <c r="E27" s="3" t="s">
        <v>553</v>
      </c>
      <c r="F27" s="3" t="s">
        <v>561</v>
      </c>
      <c r="G27" s="3" t="s">
        <v>553</v>
      </c>
      <c r="H27" s="3" t="s">
        <v>74</v>
      </c>
      <c r="I27" s="3" t="s">
        <v>553</v>
      </c>
      <c r="J27" s="3" t="s">
        <v>74</v>
      </c>
      <c r="K27" s="3" t="s">
        <v>74</v>
      </c>
      <c r="L27" s="3" t="s">
        <v>74</v>
      </c>
      <c r="M27" s="3" t="s">
        <v>74</v>
      </c>
      <c r="N27" s="3" t="s">
        <v>74</v>
      </c>
      <c r="O27" s="3" t="s">
        <v>74</v>
      </c>
      <c r="P27" s="3" t="s">
        <v>74</v>
      </c>
      <c r="Q27" s="3" t="s">
        <v>74</v>
      </c>
      <c r="R27" s="3" t="s">
        <v>74</v>
      </c>
      <c r="S27" s="3" t="s">
        <v>604</v>
      </c>
    </row>
    <row r="28" spans="1:19" ht="15" customHeight="1" x14ac:dyDescent="0.3">
      <c r="A28" s="3" t="s">
        <v>605</v>
      </c>
      <c r="B28" s="3" t="s">
        <v>596</v>
      </c>
      <c r="C28" s="3" t="s">
        <v>74</v>
      </c>
      <c r="D28" s="3" t="s">
        <v>553</v>
      </c>
      <c r="E28" s="3" t="s">
        <v>553</v>
      </c>
      <c r="F28" s="3" t="s">
        <v>561</v>
      </c>
      <c r="G28" s="3" t="s">
        <v>553</v>
      </c>
      <c r="H28" s="3" t="s">
        <v>553</v>
      </c>
      <c r="I28" s="3" t="s">
        <v>74</v>
      </c>
      <c r="J28" s="3" t="s">
        <v>74</v>
      </c>
      <c r="K28" s="3" t="s">
        <v>74</v>
      </c>
      <c r="L28" s="3" t="s">
        <v>74</v>
      </c>
      <c r="M28" s="3" t="s">
        <v>74</v>
      </c>
      <c r="N28" s="3" t="s">
        <v>74</v>
      </c>
      <c r="O28" s="3" t="s">
        <v>74</v>
      </c>
      <c r="P28" s="3" t="s">
        <v>74</v>
      </c>
      <c r="Q28" s="3" t="s">
        <v>74</v>
      </c>
      <c r="R28" s="3" t="s">
        <v>74</v>
      </c>
      <c r="S28" s="3"/>
    </row>
    <row r="29" spans="1:19" ht="15" customHeight="1" x14ac:dyDescent="0.3">
      <c r="A29" s="3" t="s">
        <v>606</v>
      </c>
      <c r="B29" s="3" t="s">
        <v>596</v>
      </c>
      <c r="C29" s="3" t="s">
        <v>74</v>
      </c>
      <c r="D29" s="3" t="s">
        <v>553</v>
      </c>
      <c r="E29" s="3" t="s">
        <v>553</v>
      </c>
      <c r="F29" s="3" t="s">
        <v>561</v>
      </c>
      <c r="G29" s="3" t="s">
        <v>553</v>
      </c>
      <c r="H29" s="3" t="s">
        <v>553</v>
      </c>
      <c r="I29" s="3" t="s">
        <v>74</v>
      </c>
      <c r="J29" s="3" t="s">
        <v>74</v>
      </c>
      <c r="K29" s="3" t="s">
        <v>74</v>
      </c>
      <c r="L29" s="3" t="s">
        <v>74</v>
      </c>
      <c r="M29" s="3" t="s">
        <v>74</v>
      </c>
      <c r="N29" s="3" t="s">
        <v>74</v>
      </c>
      <c r="O29" s="3" t="s">
        <v>74</v>
      </c>
      <c r="P29" s="3" t="s">
        <v>74</v>
      </c>
      <c r="Q29" s="3" t="s">
        <v>74</v>
      </c>
      <c r="R29" s="3" t="s">
        <v>74</v>
      </c>
      <c r="S29" s="3"/>
    </row>
    <row r="30" spans="1:19" ht="15" customHeight="1" x14ac:dyDescent="0.3">
      <c r="A30" s="3" t="s">
        <v>607</v>
      </c>
      <c r="B30" s="3" t="s">
        <v>596</v>
      </c>
      <c r="C30" s="3" t="s">
        <v>74</v>
      </c>
      <c r="D30" s="3" t="s">
        <v>553</v>
      </c>
      <c r="E30" s="3" t="s">
        <v>553</v>
      </c>
      <c r="F30" s="3" t="s">
        <v>561</v>
      </c>
      <c r="G30" s="3" t="s">
        <v>553</v>
      </c>
      <c r="H30" s="3" t="s">
        <v>553</v>
      </c>
      <c r="I30" s="3" t="s">
        <v>74</v>
      </c>
      <c r="J30" s="3" t="s">
        <v>74</v>
      </c>
      <c r="K30" s="3" t="s">
        <v>74</v>
      </c>
      <c r="L30" s="3" t="s">
        <v>74</v>
      </c>
      <c r="M30" s="3" t="s">
        <v>74</v>
      </c>
      <c r="N30" s="3" t="s">
        <v>74</v>
      </c>
      <c r="O30" s="3" t="s">
        <v>74</v>
      </c>
      <c r="P30" s="3" t="s">
        <v>74</v>
      </c>
      <c r="Q30" s="3" t="s">
        <v>74</v>
      </c>
      <c r="R30" s="3" t="s">
        <v>74</v>
      </c>
      <c r="S30" s="3"/>
    </row>
    <row r="31" spans="1:19" ht="15" customHeight="1" x14ac:dyDescent="0.3">
      <c r="A31" s="3" t="s">
        <v>608</v>
      </c>
      <c r="B31" s="3" t="s">
        <v>596</v>
      </c>
      <c r="C31" s="3" t="s">
        <v>74</v>
      </c>
      <c r="D31" s="3" t="s">
        <v>553</v>
      </c>
      <c r="E31" s="3" t="s">
        <v>553</v>
      </c>
      <c r="F31" s="3" t="s">
        <v>561</v>
      </c>
      <c r="G31" s="3" t="s">
        <v>553</v>
      </c>
      <c r="H31" s="3" t="s">
        <v>553</v>
      </c>
      <c r="I31" s="3" t="s">
        <v>553</v>
      </c>
      <c r="J31" s="3" t="s">
        <v>74</v>
      </c>
      <c r="K31" s="3" t="s">
        <v>74</v>
      </c>
      <c r="L31" s="3" t="s">
        <v>74</v>
      </c>
      <c r="M31" s="3" t="s">
        <v>74</v>
      </c>
      <c r="N31" s="3" t="s">
        <v>74</v>
      </c>
      <c r="O31" s="3" t="s">
        <v>74</v>
      </c>
      <c r="P31" s="3" t="s">
        <v>74</v>
      </c>
      <c r="Q31" s="3" t="s">
        <v>74</v>
      </c>
      <c r="R31" s="3" t="s">
        <v>74</v>
      </c>
      <c r="S31" s="3"/>
    </row>
    <row r="32" spans="1:19" ht="15" customHeight="1" x14ac:dyDescent="0.3">
      <c r="A32" s="3" t="s">
        <v>609</v>
      </c>
      <c r="B32" s="3" t="s">
        <v>596</v>
      </c>
      <c r="C32" s="3" t="s">
        <v>74</v>
      </c>
      <c r="D32" s="3" t="s">
        <v>553</v>
      </c>
      <c r="E32" s="3" t="s">
        <v>553</v>
      </c>
      <c r="F32" s="3" t="s">
        <v>561</v>
      </c>
      <c r="G32" s="3" t="s">
        <v>553</v>
      </c>
      <c r="H32" s="3" t="s">
        <v>74</v>
      </c>
      <c r="I32" s="3" t="s">
        <v>74</v>
      </c>
      <c r="J32" s="3" t="s">
        <v>74</v>
      </c>
      <c r="K32" s="3" t="s">
        <v>74</v>
      </c>
      <c r="L32" s="3" t="s">
        <v>74</v>
      </c>
      <c r="M32" s="3" t="s">
        <v>74</v>
      </c>
      <c r="N32" s="3" t="s">
        <v>74</v>
      </c>
      <c r="O32" s="3" t="s">
        <v>74</v>
      </c>
      <c r="P32" s="3" t="s">
        <v>74</v>
      </c>
      <c r="Q32" s="3" t="s">
        <v>74</v>
      </c>
      <c r="R32" s="3" t="s">
        <v>74</v>
      </c>
      <c r="S32" s="3" t="s">
        <v>610</v>
      </c>
    </row>
    <row r="33" spans="1:19" ht="15" customHeight="1" x14ac:dyDescent="0.3">
      <c r="A33" s="3" t="s">
        <v>611</v>
      </c>
      <c r="B33" s="3" t="s">
        <v>596</v>
      </c>
      <c r="C33" s="3" t="s">
        <v>74</v>
      </c>
      <c r="D33" s="3" t="s">
        <v>553</v>
      </c>
      <c r="E33" s="3" t="s">
        <v>553</v>
      </c>
      <c r="F33" s="3" t="s">
        <v>561</v>
      </c>
      <c r="G33" s="3" t="s">
        <v>553</v>
      </c>
      <c r="H33" s="3" t="s">
        <v>553</v>
      </c>
      <c r="I33" s="3" t="s">
        <v>74</v>
      </c>
      <c r="J33" s="3" t="s">
        <v>74</v>
      </c>
      <c r="K33" s="3" t="s">
        <v>74</v>
      </c>
      <c r="L33" s="3" t="s">
        <v>74</v>
      </c>
      <c r="M33" s="3" t="s">
        <v>74</v>
      </c>
      <c r="N33" s="3" t="s">
        <v>74</v>
      </c>
      <c r="O33" s="3" t="s">
        <v>74</v>
      </c>
      <c r="P33" s="3" t="s">
        <v>74</v>
      </c>
      <c r="Q33" s="3" t="s">
        <v>74</v>
      </c>
      <c r="R33" s="3" t="s">
        <v>74</v>
      </c>
      <c r="S33" s="3"/>
    </row>
    <row r="34" spans="1:19" ht="15" customHeight="1" x14ac:dyDescent="0.3">
      <c r="A34" s="3" t="s">
        <v>612</v>
      </c>
      <c r="B34" s="3" t="s">
        <v>596</v>
      </c>
      <c r="C34" s="3" t="s">
        <v>74</v>
      </c>
      <c r="D34" s="3" t="s">
        <v>553</v>
      </c>
      <c r="E34" s="3" t="s">
        <v>553</v>
      </c>
      <c r="F34" s="3" t="s">
        <v>561</v>
      </c>
      <c r="G34" s="3" t="s">
        <v>553</v>
      </c>
      <c r="H34" s="3" t="s">
        <v>553</v>
      </c>
      <c r="I34" s="3" t="s">
        <v>74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74</v>
      </c>
      <c r="Q34" s="3" t="s">
        <v>74</v>
      </c>
      <c r="R34" s="3" t="s">
        <v>74</v>
      </c>
      <c r="S34" s="3"/>
    </row>
    <row r="35" spans="1:19" ht="15" customHeight="1" x14ac:dyDescent="0.3">
      <c r="A35" s="3" t="s">
        <v>613</v>
      </c>
      <c r="B35" s="3" t="s">
        <v>614</v>
      </c>
      <c r="C35" s="3" t="s">
        <v>553</v>
      </c>
      <c r="D35" s="3" t="s">
        <v>553</v>
      </c>
      <c r="E35" s="3" t="s">
        <v>553</v>
      </c>
      <c r="F35" s="3" t="s">
        <v>554</v>
      </c>
      <c r="G35" s="3" t="s">
        <v>553</v>
      </c>
      <c r="H35" s="3" t="s">
        <v>553</v>
      </c>
      <c r="I35" s="3" t="s">
        <v>553</v>
      </c>
      <c r="J35" s="3" t="s">
        <v>555</v>
      </c>
      <c r="K35" s="3" t="s">
        <v>553</v>
      </c>
      <c r="L35" s="3" t="s">
        <v>556</v>
      </c>
      <c r="M35" s="3" t="s">
        <v>556</v>
      </c>
      <c r="N35" s="3" t="s">
        <v>556</v>
      </c>
      <c r="O35" s="3" t="s">
        <v>556</v>
      </c>
      <c r="P35" s="3" t="s">
        <v>556</v>
      </c>
      <c r="Q35" s="3" t="s">
        <v>556</v>
      </c>
      <c r="R35" s="3" t="s">
        <v>558</v>
      </c>
      <c r="S35" s="3"/>
    </row>
    <row r="36" spans="1:19" ht="23.85" customHeight="1" x14ac:dyDescent="0.3">
      <c r="A36" s="3" t="s">
        <v>615</v>
      </c>
      <c r="B36" s="3" t="s">
        <v>614</v>
      </c>
      <c r="C36" s="3" t="s">
        <v>553</v>
      </c>
      <c r="D36" s="3" t="s">
        <v>553</v>
      </c>
      <c r="E36" s="3" t="s">
        <v>553</v>
      </c>
      <c r="F36" s="3" t="s">
        <v>554</v>
      </c>
      <c r="G36" s="3" t="s">
        <v>553</v>
      </c>
      <c r="H36" s="3" t="s">
        <v>553</v>
      </c>
      <c r="I36" s="3" t="s">
        <v>553</v>
      </c>
      <c r="J36" s="3" t="s">
        <v>685</v>
      </c>
      <c r="K36" s="3" t="s">
        <v>74</v>
      </c>
      <c r="L36" s="3" t="s">
        <v>557</v>
      </c>
      <c r="M36" s="3" t="s">
        <v>74</v>
      </c>
      <c r="N36" s="3" t="s">
        <v>557</v>
      </c>
      <c r="O36" s="3" t="s">
        <v>74</v>
      </c>
      <c r="P36" s="3" t="s">
        <v>557</v>
      </c>
      <c r="Q36" s="3" t="s">
        <v>557</v>
      </c>
      <c r="R36" s="3" t="s">
        <v>558</v>
      </c>
      <c r="S36" s="3"/>
    </row>
    <row r="37" spans="1:19" ht="23.85" customHeight="1" x14ac:dyDescent="0.3">
      <c r="A37" s="3" t="s">
        <v>616</v>
      </c>
      <c r="B37" s="3" t="s">
        <v>614</v>
      </c>
      <c r="C37" s="3" t="s">
        <v>553</v>
      </c>
      <c r="D37" s="3" t="s">
        <v>553</v>
      </c>
      <c r="E37" s="3" t="s">
        <v>553</v>
      </c>
      <c r="F37" s="3" t="s">
        <v>554</v>
      </c>
      <c r="G37" s="3" t="s">
        <v>553</v>
      </c>
      <c r="H37" s="3" t="s">
        <v>553</v>
      </c>
      <c r="I37" s="3" t="s">
        <v>553</v>
      </c>
      <c r="J37" s="3" t="s">
        <v>691</v>
      </c>
      <c r="K37" s="3" t="s">
        <v>553</v>
      </c>
      <c r="L37" s="3" t="s">
        <v>74</v>
      </c>
      <c r="M37" s="3" t="s">
        <v>556</v>
      </c>
      <c r="N37" s="3" t="s">
        <v>74</v>
      </c>
      <c r="O37" s="3" t="s">
        <v>74</v>
      </c>
      <c r="P37" s="3" t="s">
        <v>74</v>
      </c>
      <c r="Q37" s="3" t="s">
        <v>74</v>
      </c>
      <c r="R37" s="3" t="s">
        <v>558</v>
      </c>
      <c r="S37" s="3"/>
    </row>
    <row r="38" spans="1:19" ht="23.85" customHeight="1" x14ac:dyDescent="0.3">
      <c r="A38" s="3" t="s">
        <v>617</v>
      </c>
      <c r="B38" s="3" t="s">
        <v>614</v>
      </c>
      <c r="C38" s="3" t="s">
        <v>553</v>
      </c>
      <c r="D38" s="3" t="s">
        <v>553</v>
      </c>
      <c r="E38" s="3" t="s">
        <v>553</v>
      </c>
      <c r="F38" s="3" t="s">
        <v>554</v>
      </c>
      <c r="G38" s="3" t="s">
        <v>553</v>
      </c>
      <c r="H38" s="3" t="s">
        <v>553</v>
      </c>
      <c r="I38" s="3" t="s">
        <v>553</v>
      </c>
      <c r="J38" s="3" t="s">
        <v>691</v>
      </c>
      <c r="K38" s="3" t="s">
        <v>74</v>
      </c>
      <c r="L38" s="3" t="s">
        <v>74</v>
      </c>
      <c r="M38" s="3" t="s">
        <v>556</v>
      </c>
      <c r="N38" s="3" t="s">
        <v>74</v>
      </c>
      <c r="O38" s="3" t="s">
        <v>74</v>
      </c>
      <c r="P38" s="3" t="s">
        <v>74</v>
      </c>
      <c r="Q38" s="3" t="s">
        <v>74</v>
      </c>
      <c r="R38" s="3" t="s">
        <v>558</v>
      </c>
      <c r="S38" s="3"/>
    </row>
    <row r="39" spans="1:19" ht="23.85" customHeight="1" x14ac:dyDescent="0.3">
      <c r="A39" s="3" t="s">
        <v>618</v>
      </c>
      <c r="B39" s="3" t="s">
        <v>614</v>
      </c>
      <c r="C39" s="3" t="s">
        <v>553</v>
      </c>
      <c r="D39" s="3" t="s">
        <v>553</v>
      </c>
      <c r="E39" s="3" t="s">
        <v>553</v>
      </c>
      <c r="F39" s="3" t="s">
        <v>554</v>
      </c>
      <c r="G39" s="3" t="s">
        <v>553</v>
      </c>
      <c r="H39" s="3" t="s">
        <v>553</v>
      </c>
      <c r="I39" s="3" t="s">
        <v>553</v>
      </c>
      <c r="J39" s="3" t="s">
        <v>691</v>
      </c>
      <c r="K39" s="3" t="s">
        <v>74</v>
      </c>
      <c r="L39" s="3" t="s">
        <v>74</v>
      </c>
      <c r="M39" s="3" t="s">
        <v>556</v>
      </c>
      <c r="N39" s="3" t="s">
        <v>74</v>
      </c>
      <c r="O39" s="3" t="s">
        <v>74</v>
      </c>
      <c r="P39" s="3" t="s">
        <v>74</v>
      </c>
      <c r="Q39" s="3" t="s">
        <v>74</v>
      </c>
      <c r="R39" s="3" t="s">
        <v>558</v>
      </c>
      <c r="S39" s="3"/>
    </row>
    <row r="40" spans="1:19" ht="35.1" customHeight="1" x14ac:dyDescent="0.3">
      <c r="A40" s="3" t="s">
        <v>619</v>
      </c>
      <c r="B40" s="3" t="s">
        <v>614</v>
      </c>
      <c r="C40" s="3" t="s">
        <v>553</v>
      </c>
      <c r="D40" s="3" t="s">
        <v>553</v>
      </c>
      <c r="E40" s="3" t="s">
        <v>553</v>
      </c>
      <c r="F40" s="3" t="s">
        <v>554</v>
      </c>
      <c r="G40" s="3" t="s">
        <v>553</v>
      </c>
      <c r="H40" s="3" t="s">
        <v>553</v>
      </c>
      <c r="I40" s="3" t="s">
        <v>553</v>
      </c>
      <c r="J40" s="3" t="s">
        <v>692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556</v>
      </c>
      <c r="P40" s="3" t="s">
        <v>74</v>
      </c>
      <c r="Q40" s="3" t="s">
        <v>74</v>
      </c>
      <c r="R40" s="3" t="s">
        <v>558</v>
      </c>
      <c r="S40" s="3"/>
    </row>
    <row r="41" spans="1:19" ht="15" customHeight="1" x14ac:dyDescent="0.3">
      <c r="A41" s="3" t="s">
        <v>620</v>
      </c>
      <c r="B41" s="3" t="s">
        <v>614</v>
      </c>
      <c r="C41" s="3" t="s">
        <v>553</v>
      </c>
      <c r="D41" s="3" t="s">
        <v>553</v>
      </c>
      <c r="E41" s="3" t="s">
        <v>553</v>
      </c>
      <c r="F41" s="3" t="s">
        <v>554</v>
      </c>
      <c r="G41" s="3" t="s">
        <v>553</v>
      </c>
      <c r="H41" s="3" t="s">
        <v>553</v>
      </c>
      <c r="I41" s="3" t="s">
        <v>553</v>
      </c>
      <c r="J41" s="3" t="s">
        <v>74</v>
      </c>
      <c r="K41" s="3" t="s">
        <v>74</v>
      </c>
      <c r="L41" s="3" t="s">
        <v>556</v>
      </c>
      <c r="M41" s="3" t="s">
        <v>74</v>
      </c>
      <c r="N41" s="3" t="s">
        <v>556</v>
      </c>
      <c r="O41" s="3" t="s">
        <v>556</v>
      </c>
      <c r="P41" s="3" t="s">
        <v>557</v>
      </c>
      <c r="Q41" s="3" t="s">
        <v>557</v>
      </c>
      <c r="R41" s="3" t="s">
        <v>558</v>
      </c>
      <c r="S41" s="3"/>
    </row>
    <row r="42" spans="1:19" ht="23.85" customHeight="1" x14ac:dyDescent="0.3">
      <c r="A42" s="3" t="s">
        <v>621</v>
      </c>
      <c r="B42" s="3" t="s">
        <v>614</v>
      </c>
      <c r="C42" s="3" t="s">
        <v>553</v>
      </c>
      <c r="D42" s="3" t="s">
        <v>553</v>
      </c>
      <c r="E42" s="3" t="s">
        <v>553</v>
      </c>
      <c r="F42" s="3" t="s">
        <v>554</v>
      </c>
      <c r="G42" s="3" t="s">
        <v>553</v>
      </c>
      <c r="H42" s="3" t="s">
        <v>553</v>
      </c>
      <c r="I42" s="3" t="s">
        <v>553</v>
      </c>
      <c r="J42" s="3" t="s">
        <v>685</v>
      </c>
      <c r="K42" s="3" t="s">
        <v>553</v>
      </c>
      <c r="L42" s="3" t="s">
        <v>556</v>
      </c>
      <c r="M42" s="3" t="s">
        <v>556</v>
      </c>
      <c r="N42" s="3" t="s">
        <v>556</v>
      </c>
      <c r="O42" s="3" t="s">
        <v>556</v>
      </c>
      <c r="P42" s="3" t="s">
        <v>556</v>
      </c>
      <c r="Q42" s="3" t="s">
        <v>557</v>
      </c>
      <c r="R42" s="3" t="s">
        <v>558</v>
      </c>
      <c r="S42" s="3"/>
    </row>
    <row r="43" spans="1:19" ht="23.85" customHeight="1" x14ac:dyDescent="0.3">
      <c r="A43" s="3" t="s">
        <v>622</v>
      </c>
      <c r="B43" s="3" t="s">
        <v>614</v>
      </c>
      <c r="C43" s="3" t="s">
        <v>553</v>
      </c>
      <c r="D43" s="3" t="s">
        <v>553</v>
      </c>
      <c r="E43" s="3" t="s">
        <v>553</v>
      </c>
      <c r="F43" s="3" t="s">
        <v>554</v>
      </c>
      <c r="G43" s="3" t="s">
        <v>553</v>
      </c>
      <c r="H43" s="3" t="s">
        <v>553</v>
      </c>
      <c r="I43" s="3" t="s">
        <v>553</v>
      </c>
      <c r="J43" s="3" t="s">
        <v>680</v>
      </c>
      <c r="K43" s="3" t="s">
        <v>74</v>
      </c>
      <c r="L43" s="3" t="s">
        <v>556</v>
      </c>
      <c r="M43" s="3" t="s">
        <v>74</v>
      </c>
      <c r="N43" s="3" t="s">
        <v>557</v>
      </c>
      <c r="O43" s="3" t="s">
        <v>74</v>
      </c>
      <c r="P43" s="3" t="s">
        <v>74</v>
      </c>
      <c r="Q43" s="3" t="s">
        <v>74</v>
      </c>
      <c r="R43" s="3" t="s">
        <v>558</v>
      </c>
      <c r="S43" s="3"/>
    </row>
    <row r="44" spans="1:19" ht="23.85" customHeight="1" x14ac:dyDescent="0.3">
      <c r="A44" s="3" t="s">
        <v>623</v>
      </c>
      <c r="B44" s="3" t="s">
        <v>614</v>
      </c>
      <c r="C44" s="3" t="s">
        <v>553</v>
      </c>
      <c r="D44" s="3" t="s">
        <v>553</v>
      </c>
      <c r="E44" s="3" t="s">
        <v>553</v>
      </c>
      <c r="F44" s="3" t="s">
        <v>554</v>
      </c>
      <c r="G44" s="3" t="s">
        <v>553</v>
      </c>
      <c r="H44" s="3" t="s">
        <v>553</v>
      </c>
      <c r="I44" s="3" t="s">
        <v>553</v>
      </c>
      <c r="J44" s="3" t="s">
        <v>691</v>
      </c>
      <c r="K44" s="3" t="s">
        <v>74</v>
      </c>
      <c r="L44" s="3" t="s">
        <v>74</v>
      </c>
      <c r="M44" s="3" t="s">
        <v>556</v>
      </c>
      <c r="N44" s="3" t="s">
        <v>557</v>
      </c>
      <c r="O44" s="3" t="s">
        <v>557</v>
      </c>
      <c r="P44" s="3" t="s">
        <v>74</v>
      </c>
      <c r="Q44" s="3" t="s">
        <v>74</v>
      </c>
      <c r="R44" s="3" t="s">
        <v>558</v>
      </c>
      <c r="S44" s="3"/>
    </row>
    <row r="45" spans="1:19" ht="35.1" customHeight="1" x14ac:dyDescent="0.3">
      <c r="A45" s="3" t="s">
        <v>624</v>
      </c>
      <c r="B45" s="3" t="s">
        <v>614</v>
      </c>
      <c r="C45" s="3" t="s">
        <v>553</v>
      </c>
      <c r="D45" s="3" t="s">
        <v>553</v>
      </c>
      <c r="E45" s="3" t="s">
        <v>553</v>
      </c>
      <c r="F45" s="3" t="s">
        <v>554</v>
      </c>
      <c r="G45" s="3" t="s">
        <v>553</v>
      </c>
      <c r="H45" s="3" t="s">
        <v>553</v>
      </c>
      <c r="I45" s="3" t="s">
        <v>553</v>
      </c>
      <c r="J45" s="3" t="s">
        <v>692</v>
      </c>
      <c r="K45" s="3" t="s">
        <v>74</v>
      </c>
      <c r="L45" s="3" t="s">
        <v>557</v>
      </c>
      <c r="M45" s="3" t="s">
        <v>74</v>
      </c>
      <c r="N45" s="3" t="s">
        <v>74</v>
      </c>
      <c r="O45" s="3" t="s">
        <v>556</v>
      </c>
      <c r="P45" s="3" t="s">
        <v>74</v>
      </c>
      <c r="Q45" s="3" t="s">
        <v>74</v>
      </c>
      <c r="R45" s="3" t="s">
        <v>558</v>
      </c>
      <c r="S45" s="3"/>
    </row>
    <row r="46" spans="1:19" ht="23.85" customHeight="1" x14ac:dyDescent="0.3">
      <c r="A46" s="3" t="s">
        <v>625</v>
      </c>
      <c r="B46" s="3" t="s">
        <v>614</v>
      </c>
      <c r="C46" s="3" t="s">
        <v>553</v>
      </c>
      <c r="D46" s="3" t="s">
        <v>553</v>
      </c>
      <c r="E46" s="3" t="s">
        <v>553</v>
      </c>
      <c r="F46" s="3" t="s">
        <v>554</v>
      </c>
      <c r="G46" s="3" t="s">
        <v>553</v>
      </c>
      <c r="H46" s="3" t="s">
        <v>553</v>
      </c>
      <c r="I46" s="3" t="s">
        <v>553</v>
      </c>
      <c r="J46" s="3" t="s">
        <v>685</v>
      </c>
      <c r="K46" s="3" t="s">
        <v>74</v>
      </c>
      <c r="L46" s="3" t="s">
        <v>579</v>
      </c>
      <c r="M46" s="3" t="s">
        <v>74</v>
      </c>
      <c r="N46" s="3" t="s">
        <v>579</v>
      </c>
      <c r="O46" s="3" t="s">
        <v>579</v>
      </c>
      <c r="P46" s="3" t="s">
        <v>579</v>
      </c>
      <c r="Q46" s="3" t="s">
        <v>74</v>
      </c>
      <c r="R46" s="3" t="s">
        <v>558</v>
      </c>
      <c r="S46" s="3"/>
    </row>
    <row r="47" spans="1:19" ht="23.85" customHeight="1" x14ac:dyDescent="0.3">
      <c r="A47" s="3" t="s">
        <v>626</v>
      </c>
      <c r="B47" s="3" t="s">
        <v>614</v>
      </c>
      <c r="C47" s="3" t="s">
        <v>553</v>
      </c>
      <c r="D47" s="3" t="s">
        <v>553</v>
      </c>
      <c r="E47" s="3" t="s">
        <v>553</v>
      </c>
      <c r="F47" s="3" t="s">
        <v>554</v>
      </c>
      <c r="G47" s="3" t="s">
        <v>553</v>
      </c>
      <c r="H47" s="3" t="s">
        <v>553</v>
      </c>
      <c r="I47" s="3" t="s">
        <v>553</v>
      </c>
      <c r="J47" s="3" t="s">
        <v>680</v>
      </c>
      <c r="K47" s="3" t="s">
        <v>74</v>
      </c>
      <c r="L47" s="3" t="s">
        <v>579</v>
      </c>
      <c r="M47" s="3" t="s">
        <v>579</v>
      </c>
      <c r="N47" s="3" t="s">
        <v>579</v>
      </c>
      <c r="O47" s="3" t="s">
        <v>579</v>
      </c>
      <c r="P47" s="3" t="s">
        <v>579</v>
      </c>
      <c r="Q47" s="3" t="s">
        <v>557</v>
      </c>
      <c r="R47" s="3" t="s">
        <v>558</v>
      </c>
      <c r="S47" s="3"/>
    </row>
    <row r="48" spans="1:19" ht="15" customHeight="1" x14ac:dyDescent="0.3">
      <c r="A48" s="3" t="s">
        <v>627</v>
      </c>
      <c r="B48" s="3" t="s">
        <v>614</v>
      </c>
      <c r="C48" s="3" t="s">
        <v>553</v>
      </c>
      <c r="D48" s="3" t="s">
        <v>553</v>
      </c>
      <c r="E48" s="3" t="s">
        <v>553</v>
      </c>
      <c r="F48" s="3" t="s">
        <v>554</v>
      </c>
      <c r="G48" s="3" t="s">
        <v>553</v>
      </c>
      <c r="H48" s="3" t="s">
        <v>553</v>
      </c>
      <c r="I48" s="3" t="s">
        <v>553</v>
      </c>
      <c r="J48" s="3" t="s">
        <v>74</v>
      </c>
      <c r="K48" s="3" t="s">
        <v>74</v>
      </c>
      <c r="L48" s="3" t="s">
        <v>74</v>
      </c>
      <c r="M48" s="3" t="s">
        <v>74</v>
      </c>
      <c r="N48" s="3" t="s">
        <v>557</v>
      </c>
      <c r="O48" s="3" t="s">
        <v>74</v>
      </c>
      <c r="P48" s="3" t="s">
        <v>557</v>
      </c>
      <c r="Q48" s="3" t="s">
        <v>74</v>
      </c>
      <c r="R48" s="3" t="s">
        <v>558</v>
      </c>
      <c r="S48" s="3"/>
    </row>
    <row r="49" spans="1:19" ht="15" customHeight="1" x14ac:dyDescent="0.3">
      <c r="A49" s="3" t="s">
        <v>628</v>
      </c>
      <c r="B49" s="3" t="s">
        <v>614</v>
      </c>
      <c r="C49" s="3" t="s">
        <v>74</v>
      </c>
      <c r="D49" s="3" t="s">
        <v>553</v>
      </c>
      <c r="E49" s="3" t="s">
        <v>553</v>
      </c>
      <c r="F49" s="3" t="s">
        <v>561</v>
      </c>
      <c r="G49" s="3" t="s">
        <v>553</v>
      </c>
      <c r="H49" s="3" t="s">
        <v>553</v>
      </c>
      <c r="I49" s="3" t="s">
        <v>553</v>
      </c>
      <c r="J49" s="3" t="s">
        <v>74</v>
      </c>
      <c r="K49" s="3" t="s">
        <v>74</v>
      </c>
      <c r="L49" s="3" t="s">
        <v>579</v>
      </c>
      <c r="M49" s="3" t="s">
        <v>74</v>
      </c>
      <c r="N49" s="3" t="s">
        <v>74</v>
      </c>
      <c r="O49" s="3" t="s">
        <v>74</v>
      </c>
      <c r="P49" s="3" t="s">
        <v>557</v>
      </c>
      <c r="Q49" s="3" t="s">
        <v>74</v>
      </c>
      <c r="R49" s="3" t="s">
        <v>558</v>
      </c>
      <c r="S49" s="3"/>
    </row>
    <row r="50" spans="1:19" ht="23.85" customHeight="1" x14ac:dyDescent="0.3">
      <c r="A50" s="3" t="s">
        <v>629</v>
      </c>
      <c r="B50" s="3" t="s">
        <v>630</v>
      </c>
      <c r="C50" s="3" t="s">
        <v>553</v>
      </c>
      <c r="D50" s="3" t="s">
        <v>553</v>
      </c>
      <c r="E50" s="3" t="s">
        <v>553</v>
      </c>
      <c r="F50" s="3" t="s">
        <v>554</v>
      </c>
      <c r="G50" s="3" t="s">
        <v>553</v>
      </c>
      <c r="H50" s="3" t="s">
        <v>553</v>
      </c>
      <c r="I50" s="3" t="s">
        <v>553</v>
      </c>
      <c r="J50" s="3" t="s">
        <v>680</v>
      </c>
      <c r="K50" s="3" t="s">
        <v>74</v>
      </c>
      <c r="L50" s="3" t="s">
        <v>557</v>
      </c>
      <c r="M50" s="3" t="s">
        <v>74</v>
      </c>
      <c r="N50" s="3" t="s">
        <v>74</v>
      </c>
      <c r="O50" s="3" t="s">
        <v>74</v>
      </c>
      <c r="P50" s="3" t="s">
        <v>74</v>
      </c>
      <c r="Q50" s="3" t="s">
        <v>74</v>
      </c>
      <c r="R50" s="3" t="s">
        <v>558</v>
      </c>
      <c r="S50" s="3"/>
    </row>
    <row r="51" spans="1:19" ht="23.85" customHeight="1" x14ac:dyDescent="0.3">
      <c r="A51" s="3" t="s">
        <v>631</v>
      </c>
      <c r="B51" s="3" t="s">
        <v>630</v>
      </c>
      <c r="C51" s="3" t="s">
        <v>553</v>
      </c>
      <c r="D51" s="3" t="s">
        <v>553</v>
      </c>
      <c r="E51" s="3" t="s">
        <v>553</v>
      </c>
      <c r="F51" s="3" t="s">
        <v>554</v>
      </c>
      <c r="G51" s="3" t="s">
        <v>553</v>
      </c>
      <c r="H51" s="3" t="s">
        <v>553</v>
      </c>
      <c r="I51" s="3" t="s">
        <v>553</v>
      </c>
      <c r="J51" s="3" t="s">
        <v>680</v>
      </c>
      <c r="K51" s="3" t="s">
        <v>74</v>
      </c>
      <c r="L51" s="3" t="s">
        <v>556</v>
      </c>
      <c r="M51" s="3" t="s">
        <v>74</v>
      </c>
      <c r="N51" s="3" t="s">
        <v>74</v>
      </c>
      <c r="O51" s="3" t="s">
        <v>74</v>
      </c>
      <c r="P51" s="3" t="s">
        <v>74</v>
      </c>
      <c r="Q51" s="3" t="s">
        <v>74</v>
      </c>
      <c r="R51" s="3" t="s">
        <v>558</v>
      </c>
      <c r="S51" s="3"/>
    </row>
    <row r="52" spans="1:19" ht="23.85" customHeight="1" x14ac:dyDescent="0.3">
      <c r="A52" s="3" t="s">
        <v>632</v>
      </c>
      <c r="B52" s="3" t="s">
        <v>630</v>
      </c>
      <c r="C52" s="3" t="s">
        <v>553</v>
      </c>
      <c r="D52" s="3" t="s">
        <v>553</v>
      </c>
      <c r="E52" s="3" t="s">
        <v>553</v>
      </c>
      <c r="F52" s="3" t="s">
        <v>554</v>
      </c>
      <c r="G52" s="3" t="s">
        <v>553</v>
      </c>
      <c r="H52" s="3" t="s">
        <v>553</v>
      </c>
      <c r="I52" s="3" t="s">
        <v>553</v>
      </c>
      <c r="J52" s="3" t="s">
        <v>680</v>
      </c>
      <c r="K52" s="3" t="s">
        <v>74</v>
      </c>
      <c r="L52" s="3" t="s">
        <v>74</v>
      </c>
      <c r="M52" s="3" t="s">
        <v>74</v>
      </c>
      <c r="N52" s="3" t="s">
        <v>556</v>
      </c>
      <c r="O52" s="3" t="s">
        <v>74</v>
      </c>
      <c r="P52" s="3" t="s">
        <v>74</v>
      </c>
      <c r="Q52" s="3" t="s">
        <v>74</v>
      </c>
      <c r="R52" s="3" t="s">
        <v>558</v>
      </c>
      <c r="S52" s="3"/>
    </row>
    <row r="53" spans="1:19" ht="35.1" customHeight="1" x14ac:dyDescent="0.3">
      <c r="A53" s="3" t="s">
        <v>633</v>
      </c>
      <c r="B53" s="3" t="s">
        <v>630</v>
      </c>
      <c r="C53" s="3" t="s">
        <v>553</v>
      </c>
      <c r="D53" s="3" t="s">
        <v>553</v>
      </c>
      <c r="E53" s="3" t="s">
        <v>553</v>
      </c>
      <c r="F53" s="3" t="s">
        <v>554</v>
      </c>
      <c r="G53" s="3" t="s">
        <v>553</v>
      </c>
      <c r="H53" s="3" t="s">
        <v>553</v>
      </c>
      <c r="I53" s="3" t="s">
        <v>553</v>
      </c>
      <c r="J53" s="3" t="s">
        <v>692</v>
      </c>
      <c r="K53" s="3" t="s">
        <v>74</v>
      </c>
      <c r="L53" s="3" t="s">
        <v>74</v>
      </c>
      <c r="M53" s="3" t="s">
        <v>74</v>
      </c>
      <c r="N53" s="3" t="s">
        <v>74</v>
      </c>
      <c r="O53" s="3" t="s">
        <v>556</v>
      </c>
      <c r="P53" s="3" t="s">
        <v>557</v>
      </c>
      <c r="Q53" s="3" t="s">
        <v>74</v>
      </c>
      <c r="R53" s="3" t="s">
        <v>558</v>
      </c>
      <c r="S53" s="3"/>
    </row>
    <row r="54" spans="1:19" ht="15" customHeight="1" x14ac:dyDescent="0.3">
      <c r="A54" s="3" t="s">
        <v>634</v>
      </c>
      <c r="B54" s="3" t="s">
        <v>630</v>
      </c>
      <c r="C54" s="3" t="s">
        <v>74</v>
      </c>
      <c r="D54" s="3" t="s">
        <v>553</v>
      </c>
      <c r="E54" s="3" t="s">
        <v>553</v>
      </c>
      <c r="F54" s="3" t="s">
        <v>561</v>
      </c>
      <c r="G54" s="3" t="s">
        <v>553</v>
      </c>
      <c r="H54" s="3" t="s">
        <v>553</v>
      </c>
      <c r="I54" s="3" t="s">
        <v>553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557</v>
      </c>
      <c r="Q54" s="3" t="s">
        <v>74</v>
      </c>
      <c r="R54" s="3" t="s">
        <v>558</v>
      </c>
      <c r="S54" s="3"/>
    </row>
    <row r="55" spans="1:19" ht="23.85" customHeight="1" x14ac:dyDescent="0.3">
      <c r="A55" s="3" t="s">
        <v>635</v>
      </c>
      <c r="B55" s="3" t="s">
        <v>630</v>
      </c>
      <c r="C55" s="3" t="s">
        <v>553</v>
      </c>
      <c r="D55" s="3" t="s">
        <v>553</v>
      </c>
      <c r="E55" s="3" t="s">
        <v>553</v>
      </c>
      <c r="F55" s="3" t="s">
        <v>554</v>
      </c>
      <c r="G55" s="3" t="s">
        <v>553</v>
      </c>
      <c r="H55" s="3" t="s">
        <v>553</v>
      </c>
      <c r="I55" s="3" t="s">
        <v>553</v>
      </c>
      <c r="J55" s="3" t="s">
        <v>691</v>
      </c>
      <c r="K55" s="3" t="s">
        <v>74</v>
      </c>
      <c r="L55" s="3" t="s">
        <v>557</v>
      </c>
      <c r="M55" s="3" t="s">
        <v>556</v>
      </c>
      <c r="N55" s="3" t="s">
        <v>74</v>
      </c>
      <c r="O55" s="3" t="s">
        <v>557</v>
      </c>
      <c r="P55" s="3" t="s">
        <v>74</v>
      </c>
      <c r="Q55" s="3" t="s">
        <v>74</v>
      </c>
      <c r="R55" s="3" t="s">
        <v>558</v>
      </c>
      <c r="S55" s="3"/>
    </row>
    <row r="56" spans="1:19" ht="15" customHeight="1" x14ac:dyDescent="0.3">
      <c r="A56" s="3" t="s">
        <v>636</v>
      </c>
      <c r="B56" s="3" t="s">
        <v>630</v>
      </c>
      <c r="C56" s="3" t="s">
        <v>74</v>
      </c>
      <c r="D56" s="3" t="s">
        <v>553</v>
      </c>
      <c r="E56" s="3" t="s">
        <v>553</v>
      </c>
      <c r="F56" s="3" t="s">
        <v>561</v>
      </c>
      <c r="G56" s="3" t="s">
        <v>553</v>
      </c>
      <c r="H56" s="3" t="s">
        <v>553</v>
      </c>
      <c r="I56" s="3" t="s">
        <v>553</v>
      </c>
      <c r="J56" s="3" t="s">
        <v>74</v>
      </c>
      <c r="K56" s="3" t="s">
        <v>74</v>
      </c>
      <c r="L56" s="3" t="s">
        <v>74</v>
      </c>
      <c r="M56" s="3" t="s">
        <v>74</v>
      </c>
      <c r="N56" s="3" t="s">
        <v>557</v>
      </c>
      <c r="O56" s="3" t="s">
        <v>557</v>
      </c>
      <c r="P56" s="3" t="s">
        <v>74</v>
      </c>
      <c r="Q56" s="3" t="s">
        <v>74</v>
      </c>
      <c r="R56" s="3" t="s">
        <v>558</v>
      </c>
      <c r="S56" s="3"/>
    </row>
    <row r="57" spans="1:19" ht="15" customHeight="1" x14ac:dyDescent="0.3">
      <c r="A57" s="3" t="s">
        <v>637</v>
      </c>
      <c r="B57" s="3" t="s">
        <v>638</v>
      </c>
      <c r="C57" s="3" t="s">
        <v>74</v>
      </c>
      <c r="D57" s="3" t="s">
        <v>553</v>
      </c>
      <c r="E57" s="3" t="s">
        <v>553</v>
      </c>
      <c r="F57" s="3" t="s">
        <v>561</v>
      </c>
      <c r="G57" s="3" t="s">
        <v>553</v>
      </c>
      <c r="H57" s="3" t="s">
        <v>553</v>
      </c>
      <c r="I57" s="3" t="s">
        <v>553</v>
      </c>
      <c r="J57" s="3" t="s">
        <v>74</v>
      </c>
      <c r="K57" s="3" t="s">
        <v>74</v>
      </c>
      <c r="L57" s="3" t="s">
        <v>74</v>
      </c>
      <c r="M57" s="3" t="s">
        <v>74</v>
      </c>
      <c r="N57" s="3" t="s">
        <v>74</v>
      </c>
      <c r="O57" s="3" t="s">
        <v>74</v>
      </c>
      <c r="P57" s="3" t="s">
        <v>74</v>
      </c>
      <c r="Q57" s="3" t="s">
        <v>74</v>
      </c>
      <c r="R57" s="3" t="s">
        <v>74</v>
      </c>
      <c r="S57" s="3"/>
    </row>
    <row r="58" spans="1:19" ht="15" customHeight="1" x14ac:dyDescent="0.3">
      <c r="A58" s="3" t="s">
        <v>639</v>
      </c>
      <c r="B58" s="3" t="s">
        <v>638</v>
      </c>
      <c r="C58" s="3" t="s">
        <v>74</v>
      </c>
      <c r="D58" s="3" t="s">
        <v>553</v>
      </c>
      <c r="E58" s="3" t="s">
        <v>553</v>
      </c>
      <c r="F58" s="3" t="s">
        <v>561</v>
      </c>
      <c r="G58" s="3" t="s">
        <v>553</v>
      </c>
      <c r="H58" s="3" t="s">
        <v>553</v>
      </c>
      <c r="I58" s="3" t="s">
        <v>553</v>
      </c>
      <c r="J58" s="3" t="s">
        <v>74</v>
      </c>
      <c r="K58" s="3" t="s">
        <v>74</v>
      </c>
      <c r="L58" s="3" t="s">
        <v>557</v>
      </c>
      <c r="M58" s="3" t="s">
        <v>557</v>
      </c>
      <c r="N58" s="3" t="s">
        <v>557</v>
      </c>
      <c r="O58" s="3" t="s">
        <v>557</v>
      </c>
      <c r="P58" s="3" t="s">
        <v>557</v>
      </c>
      <c r="Q58" s="3" t="s">
        <v>74</v>
      </c>
      <c r="R58" s="3" t="s">
        <v>558</v>
      </c>
      <c r="S58" s="3"/>
    </row>
    <row r="59" spans="1:19" ht="15" customHeight="1" x14ac:dyDescent="0.3">
      <c r="A59" s="3" t="s">
        <v>640</v>
      </c>
      <c r="B59" s="3" t="s">
        <v>638</v>
      </c>
      <c r="C59" s="3" t="s">
        <v>74</v>
      </c>
      <c r="D59" s="3" t="s">
        <v>553</v>
      </c>
      <c r="E59" s="3" t="s">
        <v>553</v>
      </c>
      <c r="F59" s="3" t="s">
        <v>561</v>
      </c>
      <c r="G59" s="3" t="s">
        <v>553</v>
      </c>
      <c r="H59" s="3" t="s">
        <v>74</v>
      </c>
      <c r="I59" s="3" t="s">
        <v>553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  <c r="O59" s="3" t="s">
        <v>74</v>
      </c>
      <c r="P59" s="3" t="s">
        <v>74</v>
      </c>
      <c r="Q59" s="3" t="s">
        <v>74</v>
      </c>
      <c r="R59" s="3" t="s">
        <v>74</v>
      </c>
      <c r="S59" s="3" t="s">
        <v>641</v>
      </c>
    </row>
    <row r="60" spans="1:19" ht="23.85" customHeight="1" x14ac:dyDescent="0.3">
      <c r="A60" s="3" t="s">
        <v>642</v>
      </c>
      <c r="B60" s="3" t="s">
        <v>643</v>
      </c>
      <c r="C60" s="3" t="s">
        <v>74</v>
      </c>
      <c r="D60" s="3" t="s">
        <v>74</v>
      </c>
      <c r="E60" s="3" t="s">
        <v>74</v>
      </c>
      <c r="F60" s="3" t="s">
        <v>74</v>
      </c>
      <c r="G60" s="3" t="s">
        <v>74</v>
      </c>
      <c r="H60" s="3" t="s">
        <v>553</v>
      </c>
      <c r="I60" s="3" t="s">
        <v>74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74</v>
      </c>
      <c r="Q60" s="3" t="s">
        <v>74</v>
      </c>
      <c r="R60" s="3" t="s">
        <v>74</v>
      </c>
      <c r="S60" s="3" t="s">
        <v>644</v>
      </c>
    </row>
    <row r="61" spans="1:19" ht="23.85" customHeight="1" x14ac:dyDescent="0.3">
      <c r="A61" s="3" t="s">
        <v>645</v>
      </c>
      <c r="B61" s="3" t="s">
        <v>643</v>
      </c>
      <c r="C61" s="3" t="s">
        <v>74</v>
      </c>
      <c r="D61" s="3" t="s">
        <v>74</v>
      </c>
      <c r="E61" s="3" t="s">
        <v>74</v>
      </c>
      <c r="F61" s="3" t="s">
        <v>74</v>
      </c>
      <c r="G61" s="3" t="s">
        <v>74</v>
      </c>
      <c r="H61" s="3" t="s">
        <v>553</v>
      </c>
      <c r="I61" s="3" t="s">
        <v>74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74</v>
      </c>
      <c r="Q61" s="3" t="s">
        <v>74</v>
      </c>
      <c r="R61" s="3" t="s">
        <v>74</v>
      </c>
      <c r="S61" s="3"/>
    </row>
    <row r="62" spans="1:19" ht="23.85" customHeight="1" x14ac:dyDescent="0.3">
      <c r="A62" s="3" t="s">
        <v>646</v>
      </c>
      <c r="B62" s="3" t="s">
        <v>643</v>
      </c>
      <c r="C62" s="3" t="s">
        <v>74</v>
      </c>
      <c r="D62" s="3" t="s">
        <v>74</v>
      </c>
      <c r="E62" s="3" t="s">
        <v>74</v>
      </c>
      <c r="F62" s="3" t="s">
        <v>74</v>
      </c>
      <c r="G62" s="3" t="s">
        <v>74</v>
      </c>
      <c r="H62" s="3" t="s">
        <v>553</v>
      </c>
      <c r="I62" s="3" t="s">
        <v>74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74</v>
      </c>
      <c r="Q62" s="3" t="s">
        <v>74</v>
      </c>
      <c r="R62" s="3" t="s">
        <v>74</v>
      </c>
      <c r="S62" s="3"/>
    </row>
    <row r="63" spans="1:19" ht="23.85" customHeight="1" x14ac:dyDescent="0.3">
      <c r="A63" s="3" t="s">
        <v>647</v>
      </c>
      <c r="B63" s="3" t="s">
        <v>643</v>
      </c>
      <c r="C63" s="3" t="s">
        <v>74</v>
      </c>
      <c r="D63" s="3" t="s">
        <v>74</v>
      </c>
      <c r="E63" s="3" t="s">
        <v>74</v>
      </c>
      <c r="F63" s="3" t="s">
        <v>74</v>
      </c>
      <c r="G63" s="3" t="s">
        <v>74</v>
      </c>
      <c r="H63" s="3" t="s">
        <v>553</v>
      </c>
      <c r="I63" s="3" t="s">
        <v>74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74</v>
      </c>
      <c r="Q63" s="3" t="s">
        <v>74</v>
      </c>
      <c r="R63" s="3" t="s">
        <v>74</v>
      </c>
      <c r="S63" s="3"/>
    </row>
    <row r="64" spans="1:19" ht="23.85" customHeight="1" x14ac:dyDescent="0.3">
      <c r="A64" s="3" t="s">
        <v>648</v>
      </c>
      <c r="B64" s="3" t="s">
        <v>643</v>
      </c>
      <c r="C64" s="3" t="s">
        <v>74</v>
      </c>
      <c r="D64" s="3" t="s">
        <v>74</v>
      </c>
      <c r="E64" s="3" t="s">
        <v>74</v>
      </c>
      <c r="F64" s="3" t="s">
        <v>74</v>
      </c>
      <c r="G64" s="3" t="s">
        <v>74</v>
      </c>
      <c r="H64" s="3" t="s">
        <v>553</v>
      </c>
      <c r="I64" s="3" t="s">
        <v>74</v>
      </c>
      <c r="J64" s="3" t="s">
        <v>74</v>
      </c>
      <c r="K64" s="3" t="s">
        <v>74</v>
      </c>
      <c r="L64" s="3" t="s">
        <v>74</v>
      </c>
      <c r="M64" s="3" t="s">
        <v>74</v>
      </c>
      <c r="N64" s="3" t="s">
        <v>74</v>
      </c>
      <c r="O64" s="3" t="s">
        <v>74</v>
      </c>
      <c r="P64" s="3" t="s">
        <v>74</v>
      </c>
      <c r="Q64" s="3" t="s">
        <v>74</v>
      </c>
      <c r="R64" s="3" t="s">
        <v>74</v>
      </c>
      <c r="S64" s="3"/>
    </row>
    <row r="65" spans="1:19" ht="23.85" customHeight="1" x14ac:dyDescent="0.3">
      <c r="A65" s="3" t="s">
        <v>649</v>
      </c>
      <c r="B65" s="3" t="s">
        <v>643</v>
      </c>
      <c r="C65" s="3" t="s">
        <v>74</v>
      </c>
      <c r="D65" s="3" t="s">
        <v>74</v>
      </c>
      <c r="E65" s="3" t="s">
        <v>74</v>
      </c>
      <c r="F65" s="3" t="s">
        <v>74</v>
      </c>
      <c r="G65" s="3" t="s">
        <v>74</v>
      </c>
      <c r="H65" s="3" t="s">
        <v>553</v>
      </c>
      <c r="I65" s="3" t="s">
        <v>74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74</v>
      </c>
      <c r="Q65" s="3" t="s">
        <v>74</v>
      </c>
      <c r="R65" s="3" t="s">
        <v>74</v>
      </c>
      <c r="S65" s="3"/>
    </row>
    <row r="66" spans="1:19" ht="23.85" customHeight="1" x14ac:dyDescent="0.3">
      <c r="A66" s="3" t="s">
        <v>650</v>
      </c>
      <c r="B66" s="3" t="s">
        <v>643</v>
      </c>
      <c r="C66" s="3" t="s">
        <v>74</v>
      </c>
      <c r="D66" s="3" t="s">
        <v>74</v>
      </c>
      <c r="E66" s="3" t="s">
        <v>74</v>
      </c>
      <c r="F66" s="3" t="s">
        <v>74</v>
      </c>
      <c r="G66" s="3" t="s">
        <v>74</v>
      </c>
      <c r="H66" s="3" t="s">
        <v>553</v>
      </c>
      <c r="I66" s="3" t="s">
        <v>74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74</v>
      </c>
      <c r="Q66" s="3" t="s">
        <v>74</v>
      </c>
      <c r="R66" s="3" t="s">
        <v>74</v>
      </c>
      <c r="S66" s="3"/>
    </row>
    <row r="67" spans="1:19" ht="23.85" customHeight="1" x14ac:dyDescent="0.3">
      <c r="A67" s="3" t="s">
        <v>651</v>
      </c>
      <c r="B67" s="3" t="s">
        <v>643</v>
      </c>
      <c r="C67" s="3" t="s">
        <v>74</v>
      </c>
      <c r="D67" s="3" t="s">
        <v>74</v>
      </c>
      <c r="E67" s="3" t="s">
        <v>74</v>
      </c>
      <c r="F67" s="3" t="s">
        <v>74</v>
      </c>
      <c r="G67" s="3" t="s">
        <v>74</v>
      </c>
      <c r="H67" s="3" t="s">
        <v>553</v>
      </c>
      <c r="I67" s="3" t="s">
        <v>74</v>
      </c>
      <c r="J67" s="3" t="s">
        <v>74</v>
      </c>
      <c r="K67" s="3" t="s">
        <v>74</v>
      </c>
      <c r="L67" s="3" t="s">
        <v>74</v>
      </c>
      <c r="M67" s="3" t="s">
        <v>74</v>
      </c>
      <c r="N67" s="3" t="s">
        <v>74</v>
      </c>
      <c r="O67" s="3" t="s">
        <v>74</v>
      </c>
      <c r="P67" s="3" t="s">
        <v>74</v>
      </c>
      <c r="Q67" s="3" t="s">
        <v>74</v>
      </c>
      <c r="R67" s="3" t="s">
        <v>74</v>
      </c>
      <c r="S67" s="3"/>
    </row>
    <row r="68" spans="1:19" ht="15" customHeight="1" x14ac:dyDescent="0.3">
      <c r="A68" s="3" t="s">
        <v>693</v>
      </c>
      <c r="B68" s="3" t="s">
        <v>653</v>
      </c>
      <c r="C68" s="3" t="s">
        <v>74</v>
      </c>
      <c r="D68" s="3" t="s">
        <v>74</v>
      </c>
      <c r="E68" s="3" t="s">
        <v>74</v>
      </c>
      <c r="F68" s="3" t="s">
        <v>74</v>
      </c>
      <c r="G68" s="3" t="s">
        <v>74</v>
      </c>
      <c r="H68" s="3" t="s">
        <v>74</v>
      </c>
      <c r="I68" s="3" t="s">
        <v>553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74</v>
      </c>
      <c r="Q68" s="3" t="s">
        <v>74</v>
      </c>
      <c r="R68" s="3" t="s">
        <v>74</v>
      </c>
      <c r="S68" s="3"/>
    </row>
    <row r="69" spans="1:19" ht="15" customHeight="1" x14ac:dyDescent="0.3">
      <c r="A69" s="3" t="s">
        <v>694</v>
      </c>
      <c r="B69" s="3" t="s">
        <v>653</v>
      </c>
      <c r="C69" s="3" t="s">
        <v>74</v>
      </c>
      <c r="D69" s="3" t="s">
        <v>74</v>
      </c>
      <c r="E69" s="3" t="s">
        <v>74</v>
      </c>
      <c r="F69" s="3" t="s">
        <v>74</v>
      </c>
      <c r="G69" s="3" t="s">
        <v>74</v>
      </c>
      <c r="H69" s="3" t="s">
        <v>74</v>
      </c>
      <c r="I69" s="3" t="s">
        <v>553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74</v>
      </c>
      <c r="Q69" s="3" t="s">
        <v>74</v>
      </c>
      <c r="R69" s="3" t="s">
        <v>74</v>
      </c>
      <c r="S69" s="3"/>
    </row>
    <row r="70" spans="1:19" ht="35.1" customHeight="1" x14ac:dyDescent="0.3">
      <c r="A70" s="3" t="s">
        <v>695</v>
      </c>
      <c r="B70" s="3" t="s">
        <v>653</v>
      </c>
      <c r="C70" s="3" t="s">
        <v>74</v>
      </c>
      <c r="D70" s="3" t="s">
        <v>74</v>
      </c>
      <c r="E70" s="3" t="s">
        <v>74</v>
      </c>
      <c r="F70" s="3" t="s">
        <v>74</v>
      </c>
      <c r="G70" s="3" t="s">
        <v>74</v>
      </c>
      <c r="H70" s="3" t="s">
        <v>74</v>
      </c>
      <c r="I70" s="3" t="s">
        <v>553</v>
      </c>
      <c r="J70" s="3" t="s">
        <v>692</v>
      </c>
      <c r="K70" s="3" t="s">
        <v>553</v>
      </c>
      <c r="L70" s="3" t="s">
        <v>74</v>
      </c>
      <c r="M70" s="3" t="s">
        <v>74</v>
      </c>
      <c r="N70" s="3" t="s">
        <v>74</v>
      </c>
      <c r="O70" s="3" t="s">
        <v>74</v>
      </c>
      <c r="P70" s="3" t="s">
        <v>74</v>
      </c>
      <c r="Q70" s="3" t="s">
        <v>74</v>
      </c>
      <c r="R70" s="3" t="s">
        <v>74</v>
      </c>
      <c r="S70" s="3"/>
    </row>
    <row r="71" spans="1:19" ht="15" customHeight="1" x14ac:dyDescent="0.3">
      <c r="A71" s="3" t="s">
        <v>696</v>
      </c>
      <c r="B71" s="3" t="s">
        <v>653</v>
      </c>
      <c r="C71" s="3" t="s">
        <v>74</v>
      </c>
      <c r="D71" s="3" t="s">
        <v>74</v>
      </c>
      <c r="E71" s="3" t="s">
        <v>74</v>
      </c>
      <c r="F71" s="3" t="s">
        <v>74</v>
      </c>
      <c r="G71" s="3" t="s">
        <v>74</v>
      </c>
      <c r="H71" s="3" t="s">
        <v>74</v>
      </c>
      <c r="I71" s="3" t="s">
        <v>553</v>
      </c>
      <c r="J71" s="3" t="s">
        <v>74</v>
      </c>
      <c r="K71" s="3" t="s">
        <v>74</v>
      </c>
      <c r="L71" s="3" t="s">
        <v>74</v>
      </c>
      <c r="M71" s="3" t="s">
        <v>74</v>
      </c>
      <c r="N71" s="3" t="s">
        <v>74</v>
      </c>
      <c r="O71" s="3" t="s">
        <v>74</v>
      </c>
      <c r="P71" s="3" t="s">
        <v>74</v>
      </c>
      <c r="Q71" s="3" t="s">
        <v>74</v>
      </c>
      <c r="R71" s="3" t="s">
        <v>74</v>
      </c>
      <c r="S71" s="3"/>
    </row>
    <row r="72" spans="1:19" ht="15" customHeight="1" x14ac:dyDescent="0.3">
      <c r="A72" s="3" t="s">
        <v>697</v>
      </c>
      <c r="B72" s="3" t="s">
        <v>653</v>
      </c>
      <c r="C72" s="3" t="s">
        <v>74</v>
      </c>
      <c r="D72" s="3" t="s">
        <v>74</v>
      </c>
      <c r="E72" s="3" t="s">
        <v>74</v>
      </c>
      <c r="F72" s="3" t="s">
        <v>74</v>
      </c>
      <c r="G72" s="3" t="s">
        <v>74</v>
      </c>
      <c r="H72" s="3" t="s">
        <v>74</v>
      </c>
      <c r="I72" s="3" t="s">
        <v>553</v>
      </c>
      <c r="J72" s="3" t="s">
        <v>74</v>
      </c>
      <c r="K72" s="3" t="s">
        <v>74</v>
      </c>
      <c r="L72" s="3" t="s">
        <v>74</v>
      </c>
      <c r="M72" s="3" t="s">
        <v>74</v>
      </c>
      <c r="N72" s="3" t="s">
        <v>74</v>
      </c>
      <c r="O72" s="3" t="s">
        <v>74</v>
      </c>
      <c r="P72" s="3" t="s">
        <v>74</v>
      </c>
      <c r="Q72" s="3" t="s">
        <v>74</v>
      </c>
      <c r="R72" s="3" t="s">
        <v>74</v>
      </c>
      <c r="S72" s="3"/>
    </row>
    <row r="73" spans="1:19" ht="15" customHeight="1" x14ac:dyDescent="0.3">
      <c r="A73" s="3" t="s">
        <v>657</v>
      </c>
      <c r="B73" s="3" t="s">
        <v>653</v>
      </c>
      <c r="C73" s="3" t="s">
        <v>74</v>
      </c>
      <c r="D73" s="3" t="s">
        <v>74</v>
      </c>
      <c r="E73" s="3" t="s">
        <v>74</v>
      </c>
      <c r="F73" s="3" t="s">
        <v>74</v>
      </c>
      <c r="G73" s="3" t="s">
        <v>74</v>
      </c>
      <c r="H73" s="3" t="s">
        <v>74</v>
      </c>
      <c r="I73" s="3" t="s">
        <v>553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74</v>
      </c>
      <c r="Q73" s="3" t="s">
        <v>74</v>
      </c>
      <c r="R73" s="3" t="s">
        <v>74</v>
      </c>
      <c r="S73" s="3" t="s">
        <v>658</v>
      </c>
    </row>
    <row r="74" spans="1:19" ht="23.85" customHeight="1" x14ac:dyDescent="0.3">
      <c r="A74" s="3" t="s">
        <v>659</v>
      </c>
      <c r="B74" s="3" t="s">
        <v>660</v>
      </c>
      <c r="C74" s="3" t="s">
        <v>74</v>
      </c>
      <c r="D74" s="3" t="s">
        <v>74</v>
      </c>
      <c r="E74" s="3" t="s">
        <v>74</v>
      </c>
      <c r="F74" s="3" t="s">
        <v>74</v>
      </c>
      <c r="G74" s="3" t="s">
        <v>74</v>
      </c>
      <c r="H74" s="3" t="s">
        <v>74</v>
      </c>
      <c r="I74" s="3" t="s">
        <v>553</v>
      </c>
      <c r="J74" s="3" t="s">
        <v>685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74</v>
      </c>
      <c r="Q74" s="3" t="s">
        <v>74</v>
      </c>
      <c r="R74" s="3" t="s">
        <v>74</v>
      </c>
      <c r="S74" s="3"/>
    </row>
    <row r="75" spans="1:19" ht="15" customHeight="1" x14ac:dyDescent="0.3">
      <c r="A75" s="3" t="s">
        <v>661</v>
      </c>
      <c r="B75" s="3" t="s">
        <v>660</v>
      </c>
      <c r="C75" s="3" t="s">
        <v>74</v>
      </c>
      <c r="D75" s="3" t="s">
        <v>74</v>
      </c>
      <c r="E75" s="3" t="s">
        <v>74</v>
      </c>
      <c r="F75" s="3" t="s">
        <v>74</v>
      </c>
      <c r="G75" s="3" t="s">
        <v>74</v>
      </c>
      <c r="H75" s="3" t="s">
        <v>74</v>
      </c>
      <c r="I75" s="3" t="s">
        <v>553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74</v>
      </c>
      <c r="Q75" s="3" t="s">
        <v>74</v>
      </c>
      <c r="R75" s="3" t="s">
        <v>74</v>
      </c>
      <c r="S75" s="3"/>
    </row>
    <row r="76" spans="1:19" ht="15" customHeight="1" x14ac:dyDescent="0.3">
      <c r="A76" s="3" t="s">
        <v>662</v>
      </c>
      <c r="B76" s="3" t="s">
        <v>660</v>
      </c>
      <c r="C76" s="3" t="s">
        <v>74</v>
      </c>
      <c r="D76" s="3" t="s">
        <v>74</v>
      </c>
      <c r="E76" s="3" t="s">
        <v>74</v>
      </c>
      <c r="F76" s="3" t="s">
        <v>74</v>
      </c>
      <c r="G76" s="3" t="s">
        <v>74</v>
      </c>
      <c r="H76" s="3" t="s">
        <v>74</v>
      </c>
      <c r="I76" s="3" t="s">
        <v>553</v>
      </c>
      <c r="J76" s="3" t="s">
        <v>74</v>
      </c>
      <c r="K76" s="3" t="s">
        <v>74</v>
      </c>
      <c r="L76" s="3" t="s">
        <v>74</v>
      </c>
      <c r="M76" s="3" t="s">
        <v>74</v>
      </c>
      <c r="N76" s="3" t="s">
        <v>74</v>
      </c>
      <c r="O76" s="3" t="s">
        <v>74</v>
      </c>
      <c r="P76" s="3" t="s">
        <v>74</v>
      </c>
      <c r="Q76" s="3" t="s">
        <v>74</v>
      </c>
      <c r="R76" s="3" t="s">
        <v>74</v>
      </c>
      <c r="S76" s="3"/>
    </row>
    <row r="77" spans="1:19" ht="15" customHeight="1" x14ac:dyDescent="0.3">
      <c r="A77" s="3" t="s">
        <v>663</v>
      </c>
      <c r="B77" s="3" t="s">
        <v>660</v>
      </c>
      <c r="C77" s="3" t="s">
        <v>74</v>
      </c>
      <c r="D77" s="3" t="s">
        <v>74</v>
      </c>
      <c r="E77" s="3" t="s">
        <v>74</v>
      </c>
      <c r="F77" s="3" t="s">
        <v>74</v>
      </c>
      <c r="G77" s="3" t="s">
        <v>74</v>
      </c>
      <c r="H77" s="3" t="s">
        <v>74</v>
      </c>
      <c r="I77" s="3" t="s">
        <v>553</v>
      </c>
      <c r="J77" s="3" t="s">
        <v>74</v>
      </c>
      <c r="K77" s="3" t="s">
        <v>74</v>
      </c>
      <c r="L77" s="3" t="s">
        <v>74</v>
      </c>
      <c r="M77" s="3" t="s">
        <v>74</v>
      </c>
      <c r="N77" s="3" t="s">
        <v>74</v>
      </c>
      <c r="O77" s="3" t="s">
        <v>74</v>
      </c>
      <c r="P77" s="3" t="s">
        <v>74</v>
      </c>
      <c r="Q77" s="3" t="s">
        <v>74</v>
      </c>
      <c r="R77" s="3" t="s">
        <v>74</v>
      </c>
      <c r="S77" s="3"/>
    </row>
    <row r="78" spans="1:19" ht="15" customHeight="1" x14ac:dyDescent="0.3">
      <c r="A78" s="3" t="s">
        <v>664</v>
      </c>
      <c r="B78" s="3" t="s">
        <v>660</v>
      </c>
      <c r="C78" s="3" t="s">
        <v>74</v>
      </c>
      <c r="D78" s="3" t="s">
        <v>74</v>
      </c>
      <c r="E78" s="3" t="s">
        <v>74</v>
      </c>
      <c r="F78" s="3" t="s">
        <v>74</v>
      </c>
      <c r="G78" s="3" t="s">
        <v>74</v>
      </c>
      <c r="H78" s="3" t="s">
        <v>74</v>
      </c>
      <c r="I78" s="3" t="s">
        <v>553</v>
      </c>
      <c r="J78" s="3" t="s">
        <v>74</v>
      </c>
      <c r="K78" s="3" t="s">
        <v>74</v>
      </c>
      <c r="L78" s="3" t="s">
        <v>74</v>
      </c>
      <c r="M78" s="3" t="s">
        <v>74</v>
      </c>
      <c r="N78" s="3" t="s">
        <v>74</v>
      </c>
      <c r="O78" s="3" t="s">
        <v>74</v>
      </c>
      <c r="P78" s="3" t="s">
        <v>74</v>
      </c>
      <c r="Q78" s="3" t="s">
        <v>74</v>
      </c>
      <c r="R78" s="3" t="s">
        <v>74</v>
      </c>
      <c r="S78" s="3"/>
    </row>
    <row r="79" spans="1:19" ht="23.85" customHeight="1" x14ac:dyDescent="0.3">
      <c r="A79" s="3" t="s">
        <v>665</v>
      </c>
      <c r="B79" s="3" t="s">
        <v>660</v>
      </c>
      <c r="C79" s="3" t="s">
        <v>74</v>
      </c>
      <c r="D79" s="3" t="s">
        <v>74</v>
      </c>
      <c r="E79" s="3" t="s">
        <v>74</v>
      </c>
      <c r="F79" s="3" t="s">
        <v>74</v>
      </c>
      <c r="G79" s="3" t="s">
        <v>74</v>
      </c>
      <c r="H79" s="3" t="s">
        <v>74</v>
      </c>
      <c r="I79" s="3" t="s">
        <v>553</v>
      </c>
      <c r="J79" s="3" t="s">
        <v>691</v>
      </c>
      <c r="K79" s="3" t="s">
        <v>74</v>
      </c>
      <c r="L79" s="3" t="s">
        <v>74</v>
      </c>
      <c r="M79" s="3" t="s">
        <v>74</v>
      </c>
      <c r="N79" s="3" t="s">
        <v>74</v>
      </c>
      <c r="O79" s="3" t="s">
        <v>74</v>
      </c>
      <c r="P79" s="3" t="s">
        <v>74</v>
      </c>
      <c r="Q79" s="3" t="s">
        <v>74</v>
      </c>
      <c r="R79" s="3" t="s">
        <v>74</v>
      </c>
      <c r="S79" s="3"/>
    </row>
    <row r="80" spans="1:19" ht="23.85" customHeight="1" x14ac:dyDescent="0.3">
      <c r="A80" s="3" t="s">
        <v>666</v>
      </c>
      <c r="B80" s="3" t="s">
        <v>660</v>
      </c>
      <c r="C80" s="3" t="s">
        <v>74</v>
      </c>
      <c r="D80" s="3" t="s">
        <v>74</v>
      </c>
      <c r="E80" s="3" t="s">
        <v>74</v>
      </c>
      <c r="F80" s="3" t="s">
        <v>74</v>
      </c>
      <c r="G80" s="3" t="s">
        <v>74</v>
      </c>
      <c r="H80" s="3" t="s">
        <v>74</v>
      </c>
      <c r="I80" s="3" t="s">
        <v>553</v>
      </c>
      <c r="J80" s="3" t="s">
        <v>680</v>
      </c>
      <c r="K80" s="3" t="s">
        <v>74</v>
      </c>
      <c r="L80" s="3" t="s">
        <v>74</v>
      </c>
      <c r="M80" s="3" t="s">
        <v>74</v>
      </c>
      <c r="N80" s="3" t="s">
        <v>74</v>
      </c>
      <c r="O80" s="3" t="s">
        <v>74</v>
      </c>
      <c r="P80" s="3" t="s">
        <v>74</v>
      </c>
      <c r="Q80" s="3" t="s">
        <v>74</v>
      </c>
      <c r="R80" s="3" t="s">
        <v>74</v>
      </c>
      <c r="S80" s="3"/>
    </row>
    <row r="81" spans="1:19" ht="35.1" customHeight="1" x14ac:dyDescent="0.3">
      <c r="A81" s="3" t="s">
        <v>667</v>
      </c>
      <c r="B81" s="3" t="s">
        <v>660</v>
      </c>
      <c r="C81" s="3" t="s">
        <v>74</v>
      </c>
      <c r="D81" s="3" t="s">
        <v>74</v>
      </c>
      <c r="E81" s="3" t="s">
        <v>74</v>
      </c>
      <c r="F81" s="3" t="s">
        <v>74</v>
      </c>
      <c r="G81" s="3" t="s">
        <v>74</v>
      </c>
      <c r="H81" s="3" t="s">
        <v>74</v>
      </c>
      <c r="I81" s="3" t="s">
        <v>553</v>
      </c>
      <c r="J81" s="3" t="s">
        <v>692</v>
      </c>
      <c r="K81" s="3" t="s">
        <v>74</v>
      </c>
      <c r="L81" s="3" t="s">
        <v>74</v>
      </c>
      <c r="M81" s="3" t="s">
        <v>74</v>
      </c>
      <c r="N81" s="3" t="s">
        <v>74</v>
      </c>
      <c r="O81" s="3" t="s">
        <v>74</v>
      </c>
      <c r="P81" s="3" t="s">
        <v>74</v>
      </c>
      <c r="Q81" s="3" t="s">
        <v>74</v>
      </c>
      <c r="R81" s="3" t="s">
        <v>74</v>
      </c>
      <c r="S81" s="3"/>
    </row>
    <row r="82" spans="1:19" ht="23.85" customHeight="1" x14ac:dyDescent="0.3">
      <c r="A82" s="3" t="s">
        <v>668</v>
      </c>
      <c r="B82" s="3" t="s">
        <v>660</v>
      </c>
      <c r="C82" s="3" t="s">
        <v>74</v>
      </c>
      <c r="D82" s="3" t="s">
        <v>74</v>
      </c>
      <c r="E82" s="3" t="s">
        <v>74</v>
      </c>
      <c r="F82" s="3" t="s">
        <v>74</v>
      </c>
      <c r="G82" s="3" t="s">
        <v>74</v>
      </c>
      <c r="H82" s="3" t="s">
        <v>74</v>
      </c>
      <c r="I82" s="3" t="s">
        <v>553</v>
      </c>
      <c r="J82" s="3" t="s">
        <v>680</v>
      </c>
      <c r="K82" s="3" t="s">
        <v>74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74</v>
      </c>
      <c r="Q82" s="3" t="s">
        <v>74</v>
      </c>
      <c r="R82" s="3" t="s">
        <v>74</v>
      </c>
      <c r="S82" s="3"/>
    </row>
    <row r="83" spans="1:19" ht="15" customHeight="1" x14ac:dyDescent="0.3">
      <c r="A83" s="3" t="s">
        <v>669</v>
      </c>
      <c r="B83" s="3" t="s">
        <v>670</v>
      </c>
      <c r="C83" s="3" t="s">
        <v>74</v>
      </c>
      <c r="D83" s="3" t="s">
        <v>74</v>
      </c>
      <c r="E83" s="3" t="s">
        <v>74</v>
      </c>
      <c r="F83" s="3" t="s">
        <v>74</v>
      </c>
      <c r="G83" s="3" t="s">
        <v>74</v>
      </c>
      <c r="H83" s="3" t="s">
        <v>74</v>
      </c>
      <c r="I83" s="3" t="s">
        <v>74</v>
      </c>
      <c r="J83" s="3" t="s">
        <v>74</v>
      </c>
      <c r="K83" s="3" t="s">
        <v>74</v>
      </c>
      <c r="L83" s="3" t="s">
        <v>557</v>
      </c>
      <c r="M83" s="3" t="s">
        <v>557</v>
      </c>
      <c r="N83" s="3" t="s">
        <v>557</v>
      </c>
      <c r="O83" s="3" t="s">
        <v>557</v>
      </c>
      <c r="P83" s="3" t="s">
        <v>557</v>
      </c>
      <c r="Q83" s="3" t="s">
        <v>557</v>
      </c>
      <c r="R83" s="3" t="s">
        <v>558</v>
      </c>
      <c r="S83" s="3"/>
    </row>
    <row r="84" spans="1:19" ht="23.85" customHeight="1" x14ac:dyDescent="0.3">
      <c r="A84" s="3" t="s">
        <v>671</v>
      </c>
      <c r="B84" s="3" t="s">
        <v>670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 t="s">
        <v>74</v>
      </c>
      <c r="K84" s="3" t="s">
        <v>74</v>
      </c>
      <c r="L84" s="3" t="s">
        <v>557</v>
      </c>
      <c r="M84" s="3" t="s">
        <v>74</v>
      </c>
      <c r="N84" s="3" t="s">
        <v>557</v>
      </c>
      <c r="O84" s="3" t="s">
        <v>74</v>
      </c>
      <c r="P84" s="3" t="s">
        <v>74</v>
      </c>
      <c r="Q84" s="3" t="s">
        <v>557</v>
      </c>
      <c r="R84" s="3" t="s">
        <v>558</v>
      </c>
      <c r="S84" s="3"/>
    </row>
    <row r="86" spans="1:19" ht="15" customHeight="1" x14ac:dyDescent="0.3">
      <c r="A86" s="9" t="s">
        <v>672</v>
      </c>
      <c r="C86" s="9">
        <f t="shared" ref="C86:R86" si="0">COUNTA(C2:C84)-COUNTIF(C2:C84,"-")</f>
        <v>27</v>
      </c>
      <c r="D86" s="9">
        <f t="shared" si="0"/>
        <v>58</v>
      </c>
      <c r="E86" s="9">
        <f t="shared" si="0"/>
        <v>58</v>
      </c>
      <c r="F86" s="9">
        <f t="shared" si="0"/>
        <v>58</v>
      </c>
      <c r="G86" s="9">
        <f t="shared" si="0"/>
        <v>58</v>
      </c>
      <c r="H86" s="9">
        <f t="shared" si="0"/>
        <v>61</v>
      </c>
      <c r="I86" s="9">
        <f t="shared" si="0"/>
        <v>65</v>
      </c>
      <c r="J86" s="9">
        <f t="shared" si="0"/>
        <v>32</v>
      </c>
      <c r="K86" s="9">
        <f t="shared" si="0"/>
        <v>6</v>
      </c>
      <c r="L86" s="9">
        <f t="shared" si="0"/>
        <v>22</v>
      </c>
      <c r="M86" s="9">
        <f t="shared" si="0"/>
        <v>15</v>
      </c>
      <c r="N86" s="9">
        <f t="shared" si="0"/>
        <v>31</v>
      </c>
      <c r="O86" s="9">
        <f t="shared" si="0"/>
        <v>18</v>
      </c>
      <c r="P86" s="9">
        <f t="shared" si="0"/>
        <v>24</v>
      </c>
      <c r="Q86" s="9">
        <f t="shared" si="0"/>
        <v>23</v>
      </c>
      <c r="R86" s="9">
        <f t="shared" si="0"/>
        <v>44</v>
      </c>
    </row>
    <row r="87" spans="1:19" ht="15" customHeight="1" x14ac:dyDescent="0.3">
      <c r="A87" s="10" t="s">
        <v>673</v>
      </c>
    </row>
  </sheetData>
  <autoFilter ref="A1:S84" xr:uid="{00000000-0009-0000-0000-000006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1" width="30" customWidth="1"/>
    <col min="2" max="2" width="22" customWidth="1"/>
    <col min="3" max="5" width="9" customWidth="1"/>
    <col min="6" max="6" width="12" customWidth="1"/>
    <col min="7" max="7" width="11" customWidth="1"/>
    <col min="8" max="8" width="9" customWidth="1"/>
    <col min="9" max="9" width="10" customWidth="1"/>
    <col min="10" max="10" width="26" customWidth="1"/>
    <col min="11" max="11" width="10" customWidth="1"/>
    <col min="12" max="15" width="11" customWidth="1"/>
    <col min="16" max="16" width="14" customWidth="1"/>
    <col min="17" max="17" width="44" customWidth="1"/>
  </cols>
  <sheetData>
    <row r="1" spans="1:17" ht="30" customHeight="1" x14ac:dyDescent="0.3">
      <c r="A1" s="4" t="s">
        <v>533</v>
      </c>
      <c r="B1" s="4" t="s">
        <v>534</v>
      </c>
      <c r="C1" s="4" t="s">
        <v>535</v>
      </c>
      <c r="D1" s="4" t="s">
        <v>536</v>
      </c>
      <c r="E1" s="4" t="s">
        <v>537</v>
      </c>
      <c r="F1" s="4" t="s">
        <v>538</v>
      </c>
      <c r="G1" s="4" t="s">
        <v>539</v>
      </c>
      <c r="H1" s="4" t="s">
        <v>540</v>
      </c>
      <c r="I1" s="4" t="s">
        <v>541</v>
      </c>
      <c r="J1" s="4" t="s">
        <v>542</v>
      </c>
      <c r="K1" s="4" t="s">
        <v>543</v>
      </c>
      <c r="L1" s="4" t="s">
        <v>547</v>
      </c>
      <c r="M1" s="4" t="s">
        <v>676</v>
      </c>
      <c r="N1" s="4" t="s">
        <v>679</v>
      </c>
      <c r="O1" s="4" t="s">
        <v>675</v>
      </c>
      <c r="P1" s="4" t="s">
        <v>549</v>
      </c>
      <c r="Q1" s="4" t="s">
        <v>550</v>
      </c>
    </row>
    <row r="2" spans="1:17" ht="23.85" customHeight="1" x14ac:dyDescent="0.3">
      <c r="A2" s="3" t="s">
        <v>551</v>
      </c>
      <c r="B2" s="3" t="s">
        <v>552</v>
      </c>
      <c r="C2" s="3" t="s">
        <v>553</v>
      </c>
      <c r="D2" s="3" t="s">
        <v>553</v>
      </c>
      <c r="E2" s="3" t="s">
        <v>553</v>
      </c>
      <c r="F2" s="3" t="s">
        <v>554</v>
      </c>
      <c r="G2" s="3" t="s">
        <v>553</v>
      </c>
      <c r="H2" s="3" t="s">
        <v>553</v>
      </c>
      <c r="I2" s="3" t="s">
        <v>553</v>
      </c>
      <c r="J2" s="3" t="s">
        <v>698</v>
      </c>
      <c r="K2" s="3" t="s">
        <v>74</v>
      </c>
      <c r="L2" s="3" t="s">
        <v>556</v>
      </c>
      <c r="M2" s="3" t="s">
        <v>556</v>
      </c>
      <c r="N2" s="3" t="s">
        <v>556</v>
      </c>
      <c r="O2" s="3" t="s">
        <v>557</v>
      </c>
      <c r="P2" s="3" t="s">
        <v>558</v>
      </c>
      <c r="Q2" s="3" t="s">
        <v>559</v>
      </c>
    </row>
    <row r="3" spans="1:17" ht="15" customHeight="1" x14ac:dyDescent="0.3">
      <c r="A3" s="3" t="s">
        <v>560</v>
      </c>
      <c r="B3" s="3" t="s">
        <v>552</v>
      </c>
      <c r="C3" s="3" t="s">
        <v>74</v>
      </c>
      <c r="D3" s="3" t="s">
        <v>553</v>
      </c>
      <c r="E3" s="3" t="s">
        <v>553</v>
      </c>
      <c r="F3" s="3" t="s">
        <v>561</v>
      </c>
      <c r="G3" s="3" t="s">
        <v>553</v>
      </c>
      <c r="H3" s="3" t="s">
        <v>74</v>
      </c>
      <c r="I3" s="3" t="s">
        <v>553</v>
      </c>
      <c r="J3" s="3" t="s">
        <v>74</v>
      </c>
      <c r="K3" s="3" t="s">
        <v>74</v>
      </c>
      <c r="L3" s="3" t="s">
        <v>579</v>
      </c>
      <c r="M3" s="3" t="s">
        <v>579</v>
      </c>
      <c r="N3" s="3" t="s">
        <v>579</v>
      </c>
      <c r="O3" s="3" t="s">
        <v>579</v>
      </c>
      <c r="P3" s="3" t="s">
        <v>558</v>
      </c>
      <c r="Q3" s="3" t="s">
        <v>562</v>
      </c>
    </row>
    <row r="4" spans="1:17" ht="15" customHeight="1" x14ac:dyDescent="0.3">
      <c r="A4" s="3" t="s">
        <v>563</v>
      </c>
      <c r="B4" s="3" t="s">
        <v>552</v>
      </c>
      <c r="C4" s="3" t="s">
        <v>74</v>
      </c>
      <c r="D4" s="3" t="s">
        <v>553</v>
      </c>
      <c r="E4" s="3" t="s">
        <v>553</v>
      </c>
      <c r="F4" s="3" t="s">
        <v>561</v>
      </c>
      <c r="G4" s="3" t="s">
        <v>553</v>
      </c>
      <c r="H4" s="3" t="s">
        <v>553</v>
      </c>
      <c r="I4" s="3" t="s">
        <v>553</v>
      </c>
      <c r="J4" s="3" t="s">
        <v>74</v>
      </c>
      <c r="K4" s="3" t="s">
        <v>74</v>
      </c>
      <c r="L4" s="3" t="s">
        <v>557</v>
      </c>
      <c r="M4" s="3" t="s">
        <v>74</v>
      </c>
      <c r="N4" s="3" t="s">
        <v>557</v>
      </c>
      <c r="O4" s="3" t="s">
        <v>74</v>
      </c>
      <c r="P4" s="3" t="s">
        <v>558</v>
      </c>
      <c r="Q4" s="3"/>
    </row>
    <row r="5" spans="1:17" ht="15" customHeight="1" x14ac:dyDescent="0.3">
      <c r="A5" s="3" t="s">
        <v>564</v>
      </c>
      <c r="B5" s="3" t="s">
        <v>552</v>
      </c>
      <c r="C5" s="3" t="s">
        <v>74</v>
      </c>
      <c r="D5" s="3" t="s">
        <v>553</v>
      </c>
      <c r="E5" s="3" t="s">
        <v>553</v>
      </c>
      <c r="F5" s="3" t="s">
        <v>561</v>
      </c>
      <c r="G5" s="3" t="s">
        <v>553</v>
      </c>
      <c r="H5" s="3" t="s">
        <v>553</v>
      </c>
      <c r="I5" s="3" t="s">
        <v>553</v>
      </c>
      <c r="J5" s="3" t="s">
        <v>74</v>
      </c>
      <c r="K5" s="3" t="s">
        <v>74</v>
      </c>
      <c r="L5" s="3" t="s">
        <v>557</v>
      </c>
      <c r="M5" s="3" t="s">
        <v>74</v>
      </c>
      <c r="N5" s="3" t="s">
        <v>557</v>
      </c>
      <c r="O5" s="3" t="s">
        <v>74</v>
      </c>
      <c r="P5" s="3" t="s">
        <v>558</v>
      </c>
      <c r="Q5" s="3"/>
    </row>
    <row r="6" spans="1:17" ht="23.85" customHeight="1" x14ac:dyDescent="0.3">
      <c r="A6" s="3" t="s">
        <v>565</v>
      </c>
      <c r="B6" s="3" t="s">
        <v>552</v>
      </c>
      <c r="C6" s="3" t="s">
        <v>553</v>
      </c>
      <c r="D6" s="3" t="s">
        <v>553</v>
      </c>
      <c r="E6" s="3" t="s">
        <v>553</v>
      </c>
      <c r="F6" s="3" t="s">
        <v>554</v>
      </c>
      <c r="G6" s="3" t="s">
        <v>553</v>
      </c>
      <c r="H6" s="3" t="s">
        <v>553</v>
      </c>
      <c r="I6" s="3" t="s">
        <v>553</v>
      </c>
      <c r="J6" s="3" t="s">
        <v>698</v>
      </c>
      <c r="K6" s="3" t="s">
        <v>74</v>
      </c>
      <c r="L6" s="3" t="s">
        <v>557</v>
      </c>
      <c r="M6" s="3" t="s">
        <v>74</v>
      </c>
      <c r="N6" s="3" t="s">
        <v>557</v>
      </c>
      <c r="O6" s="3" t="s">
        <v>74</v>
      </c>
      <c r="P6" s="3" t="s">
        <v>558</v>
      </c>
      <c r="Q6" s="3"/>
    </row>
    <row r="7" spans="1:17" ht="15" customHeight="1" x14ac:dyDescent="0.3">
      <c r="A7" s="3" t="s">
        <v>566</v>
      </c>
      <c r="B7" s="3" t="s">
        <v>552</v>
      </c>
      <c r="C7" s="3" t="s">
        <v>74</v>
      </c>
      <c r="D7" s="3" t="s">
        <v>553</v>
      </c>
      <c r="E7" s="3" t="s">
        <v>553</v>
      </c>
      <c r="F7" s="3" t="s">
        <v>561</v>
      </c>
      <c r="G7" s="3" t="s">
        <v>553</v>
      </c>
      <c r="H7" s="3" t="s">
        <v>553</v>
      </c>
      <c r="I7" s="3" t="s">
        <v>553</v>
      </c>
      <c r="J7" s="3" t="s">
        <v>74</v>
      </c>
      <c r="K7" s="3" t="s">
        <v>74</v>
      </c>
      <c r="L7" s="3" t="s">
        <v>557</v>
      </c>
      <c r="M7" s="3" t="s">
        <v>557</v>
      </c>
      <c r="N7" s="3" t="s">
        <v>557</v>
      </c>
      <c r="O7" s="3" t="s">
        <v>74</v>
      </c>
      <c r="P7" s="3" t="s">
        <v>558</v>
      </c>
      <c r="Q7" s="3"/>
    </row>
    <row r="8" spans="1:17" ht="15" customHeight="1" x14ac:dyDescent="0.3">
      <c r="A8" s="3" t="s">
        <v>567</v>
      </c>
      <c r="B8" s="3" t="s">
        <v>552</v>
      </c>
      <c r="C8" s="3" t="s">
        <v>74</v>
      </c>
      <c r="D8" s="3" t="s">
        <v>553</v>
      </c>
      <c r="E8" s="3" t="s">
        <v>553</v>
      </c>
      <c r="F8" s="3" t="s">
        <v>561</v>
      </c>
      <c r="G8" s="3" t="s">
        <v>553</v>
      </c>
      <c r="H8" s="3" t="s">
        <v>553</v>
      </c>
      <c r="I8" s="3" t="s">
        <v>553</v>
      </c>
      <c r="J8" s="3" t="s">
        <v>74</v>
      </c>
      <c r="K8" s="3" t="s">
        <v>74</v>
      </c>
      <c r="L8" s="3" t="s">
        <v>557</v>
      </c>
      <c r="M8" s="3" t="s">
        <v>557</v>
      </c>
      <c r="N8" s="3" t="s">
        <v>557</v>
      </c>
      <c r="O8" s="3" t="s">
        <v>74</v>
      </c>
      <c r="P8" s="3" t="s">
        <v>558</v>
      </c>
      <c r="Q8" s="3" t="s">
        <v>568</v>
      </c>
    </row>
    <row r="9" spans="1:17" ht="15" customHeight="1" x14ac:dyDescent="0.3">
      <c r="A9" s="3" t="s">
        <v>569</v>
      </c>
      <c r="B9" s="3" t="s">
        <v>552</v>
      </c>
      <c r="C9" s="3" t="s">
        <v>74</v>
      </c>
      <c r="D9" s="3" t="s">
        <v>553</v>
      </c>
      <c r="E9" s="3" t="s">
        <v>553</v>
      </c>
      <c r="F9" s="3" t="s">
        <v>561</v>
      </c>
      <c r="G9" s="3" t="s">
        <v>553</v>
      </c>
      <c r="H9" s="3" t="s">
        <v>553</v>
      </c>
      <c r="I9" s="3" t="s">
        <v>553</v>
      </c>
      <c r="J9" s="3" t="s">
        <v>74</v>
      </c>
      <c r="K9" s="3" t="s">
        <v>74</v>
      </c>
      <c r="L9" s="3" t="s">
        <v>557</v>
      </c>
      <c r="M9" s="3" t="s">
        <v>74</v>
      </c>
      <c r="N9" s="3" t="s">
        <v>557</v>
      </c>
      <c r="O9" s="3" t="s">
        <v>557</v>
      </c>
      <c r="P9" s="3" t="s">
        <v>558</v>
      </c>
      <c r="Q9" s="3"/>
    </row>
    <row r="10" spans="1:17" ht="15" customHeight="1" x14ac:dyDescent="0.3">
      <c r="A10" s="3" t="s">
        <v>570</v>
      </c>
      <c r="B10" s="3" t="s">
        <v>552</v>
      </c>
      <c r="C10" s="3" t="s">
        <v>74</v>
      </c>
      <c r="D10" s="3" t="s">
        <v>553</v>
      </c>
      <c r="E10" s="3" t="s">
        <v>553</v>
      </c>
      <c r="F10" s="3" t="s">
        <v>561</v>
      </c>
      <c r="G10" s="3" t="s">
        <v>553</v>
      </c>
      <c r="H10" s="3" t="s">
        <v>553</v>
      </c>
      <c r="I10" s="3" t="s">
        <v>74</v>
      </c>
      <c r="J10" s="3" t="s">
        <v>74</v>
      </c>
      <c r="K10" s="3" t="s">
        <v>74</v>
      </c>
      <c r="L10" s="3" t="s">
        <v>74</v>
      </c>
      <c r="M10" s="3" t="s">
        <v>74</v>
      </c>
      <c r="N10" s="3" t="s">
        <v>74</v>
      </c>
      <c r="O10" s="3" t="s">
        <v>74</v>
      </c>
      <c r="P10" s="3" t="s">
        <v>74</v>
      </c>
      <c r="Q10" s="3"/>
    </row>
    <row r="11" spans="1:17" ht="23.85" customHeight="1" x14ac:dyDescent="0.3">
      <c r="A11" s="3" t="s">
        <v>571</v>
      </c>
      <c r="B11" s="3" t="s">
        <v>552</v>
      </c>
      <c r="C11" s="3" t="s">
        <v>74</v>
      </c>
      <c r="D11" s="3" t="s">
        <v>553</v>
      </c>
      <c r="E11" s="3" t="s">
        <v>553</v>
      </c>
      <c r="F11" s="3" t="s">
        <v>561</v>
      </c>
      <c r="G11" s="3" t="s">
        <v>553</v>
      </c>
      <c r="H11" s="3" t="s">
        <v>74</v>
      </c>
      <c r="I11" s="3" t="s">
        <v>74</v>
      </c>
      <c r="J11" s="3" t="s">
        <v>74</v>
      </c>
      <c r="K11" s="3" t="s">
        <v>74</v>
      </c>
      <c r="L11" s="3" t="s">
        <v>74</v>
      </c>
      <c r="M11" s="3" t="s">
        <v>74</v>
      </c>
      <c r="N11" s="3" t="s">
        <v>74</v>
      </c>
      <c r="O11" s="3" t="s">
        <v>74</v>
      </c>
      <c r="P11" s="3" t="s">
        <v>74</v>
      </c>
      <c r="Q11" s="3" t="s">
        <v>572</v>
      </c>
    </row>
    <row r="12" spans="1:17" ht="23.85" customHeight="1" x14ac:dyDescent="0.3">
      <c r="A12" s="3" t="s">
        <v>681</v>
      </c>
      <c r="B12" s="3" t="s">
        <v>699</v>
      </c>
      <c r="C12" s="3" t="s">
        <v>553</v>
      </c>
      <c r="D12" s="3" t="s">
        <v>553</v>
      </c>
      <c r="E12" s="3" t="s">
        <v>553</v>
      </c>
      <c r="F12" s="3" t="s">
        <v>554</v>
      </c>
      <c r="G12" s="3" t="s">
        <v>553</v>
      </c>
      <c r="H12" s="3" t="s">
        <v>553</v>
      </c>
      <c r="I12" s="3" t="s">
        <v>553</v>
      </c>
      <c r="J12" s="3" t="s">
        <v>698</v>
      </c>
      <c r="K12" s="3" t="s">
        <v>74</v>
      </c>
      <c r="L12" s="3" t="s">
        <v>557</v>
      </c>
      <c r="M12" s="3" t="s">
        <v>74</v>
      </c>
      <c r="N12" s="3" t="s">
        <v>557</v>
      </c>
      <c r="O12" s="3" t="s">
        <v>74</v>
      </c>
      <c r="P12" s="3" t="s">
        <v>558</v>
      </c>
      <c r="Q12" s="3"/>
    </row>
    <row r="13" spans="1:17" ht="15" customHeight="1" x14ac:dyDescent="0.3">
      <c r="A13" s="3" t="s">
        <v>683</v>
      </c>
      <c r="B13" s="3" t="s">
        <v>699</v>
      </c>
      <c r="C13" s="3" t="s">
        <v>553</v>
      </c>
      <c r="D13" s="3" t="s">
        <v>553</v>
      </c>
      <c r="E13" s="3" t="s">
        <v>553</v>
      </c>
      <c r="F13" s="3" t="s">
        <v>554</v>
      </c>
      <c r="G13" s="3" t="s">
        <v>553</v>
      </c>
      <c r="H13" s="3" t="s">
        <v>553</v>
      </c>
      <c r="I13" s="3" t="s">
        <v>553</v>
      </c>
      <c r="J13" s="3" t="s">
        <v>555</v>
      </c>
      <c r="K13" s="3" t="s">
        <v>553</v>
      </c>
      <c r="L13" s="3" t="s">
        <v>556</v>
      </c>
      <c r="M13" s="3" t="s">
        <v>579</v>
      </c>
      <c r="N13" s="3" t="s">
        <v>556</v>
      </c>
      <c r="O13" s="3" t="s">
        <v>579</v>
      </c>
      <c r="P13" s="3" t="s">
        <v>558</v>
      </c>
      <c r="Q13" s="3"/>
    </row>
    <row r="14" spans="1:17" ht="23.85" customHeight="1" x14ac:dyDescent="0.3">
      <c r="A14" s="3" t="s">
        <v>700</v>
      </c>
      <c r="B14" s="3" t="s">
        <v>699</v>
      </c>
      <c r="C14" s="3" t="s">
        <v>553</v>
      </c>
      <c r="D14" s="3" t="s">
        <v>553</v>
      </c>
      <c r="E14" s="3" t="s">
        <v>553</v>
      </c>
      <c r="F14" s="3" t="s">
        <v>554</v>
      </c>
      <c r="G14" s="3" t="s">
        <v>553</v>
      </c>
      <c r="H14" s="3" t="s">
        <v>553</v>
      </c>
      <c r="I14" s="3" t="s">
        <v>553</v>
      </c>
      <c r="J14" s="3" t="s">
        <v>698</v>
      </c>
      <c r="K14" s="3" t="s">
        <v>553</v>
      </c>
      <c r="L14" s="3" t="s">
        <v>557</v>
      </c>
      <c r="M14" s="3" t="s">
        <v>557</v>
      </c>
      <c r="N14" s="3" t="s">
        <v>557</v>
      </c>
      <c r="O14" s="3" t="s">
        <v>557</v>
      </c>
      <c r="P14" s="3" t="s">
        <v>558</v>
      </c>
      <c r="Q14" s="3"/>
    </row>
    <row r="15" spans="1:17" ht="23.85" customHeight="1" x14ac:dyDescent="0.3">
      <c r="A15" s="3" t="s">
        <v>701</v>
      </c>
      <c r="B15" s="3" t="s">
        <v>699</v>
      </c>
      <c r="C15" s="3" t="s">
        <v>553</v>
      </c>
      <c r="D15" s="3" t="s">
        <v>553</v>
      </c>
      <c r="E15" s="3" t="s">
        <v>553</v>
      </c>
      <c r="F15" s="3" t="s">
        <v>554</v>
      </c>
      <c r="G15" s="3" t="s">
        <v>553</v>
      </c>
      <c r="H15" s="3" t="s">
        <v>553</v>
      </c>
      <c r="I15" s="3" t="s">
        <v>553</v>
      </c>
      <c r="J15" s="3" t="s">
        <v>698</v>
      </c>
      <c r="K15" s="3" t="s">
        <v>74</v>
      </c>
      <c r="L15" s="3" t="s">
        <v>556</v>
      </c>
      <c r="M15" s="3" t="s">
        <v>74</v>
      </c>
      <c r="N15" s="3" t="s">
        <v>74</v>
      </c>
      <c r="O15" s="3" t="s">
        <v>74</v>
      </c>
      <c r="P15" s="3" t="s">
        <v>558</v>
      </c>
      <c r="Q15" s="3"/>
    </row>
    <row r="16" spans="1:17" ht="23.85" customHeight="1" x14ac:dyDescent="0.3">
      <c r="A16" s="3" t="s">
        <v>702</v>
      </c>
      <c r="B16" s="3" t="s">
        <v>699</v>
      </c>
      <c r="C16" s="3" t="s">
        <v>553</v>
      </c>
      <c r="D16" s="3" t="s">
        <v>553</v>
      </c>
      <c r="E16" s="3" t="s">
        <v>553</v>
      </c>
      <c r="F16" s="3" t="s">
        <v>554</v>
      </c>
      <c r="G16" s="3" t="s">
        <v>553</v>
      </c>
      <c r="H16" s="3" t="s">
        <v>553</v>
      </c>
      <c r="I16" s="3" t="s">
        <v>553</v>
      </c>
      <c r="J16" s="3" t="s">
        <v>698</v>
      </c>
      <c r="K16" s="3" t="s">
        <v>553</v>
      </c>
      <c r="L16" s="3" t="s">
        <v>556</v>
      </c>
      <c r="M16" s="3" t="s">
        <v>74</v>
      </c>
      <c r="N16" s="3" t="s">
        <v>579</v>
      </c>
      <c r="O16" s="3" t="s">
        <v>74</v>
      </c>
      <c r="P16" s="3" t="s">
        <v>558</v>
      </c>
      <c r="Q16" s="3"/>
    </row>
    <row r="17" spans="1:17" ht="23.85" customHeight="1" x14ac:dyDescent="0.3">
      <c r="A17" s="3" t="s">
        <v>689</v>
      </c>
      <c r="B17" s="3" t="s">
        <v>699</v>
      </c>
      <c r="C17" s="3" t="s">
        <v>553</v>
      </c>
      <c r="D17" s="3" t="s">
        <v>553</v>
      </c>
      <c r="E17" s="3" t="s">
        <v>553</v>
      </c>
      <c r="F17" s="3" t="s">
        <v>554</v>
      </c>
      <c r="G17" s="3" t="s">
        <v>553</v>
      </c>
      <c r="H17" s="3" t="s">
        <v>553</v>
      </c>
      <c r="I17" s="3" t="s">
        <v>553</v>
      </c>
      <c r="J17" s="3" t="s">
        <v>698</v>
      </c>
      <c r="K17" s="3" t="s">
        <v>553</v>
      </c>
      <c r="L17" s="3" t="s">
        <v>74</v>
      </c>
      <c r="M17" s="3" t="s">
        <v>74</v>
      </c>
      <c r="N17" s="3" t="s">
        <v>556</v>
      </c>
      <c r="O17" s="3" t="s">
        <v>74</v>
      </c>
      <c r="P17" s="3" t="s">
        <v>558</v>
      </c>
      <c r="Q17" s="3"/>
    </row>
    <row r="18" spans="1:17" ht="23.85" customHeight="1" x14ac:dyDescent="0.3">
      <c r="A18" s="3" t="s">
        <v>703</v>
      </c>
      <c r="B18" s="3" t="s">
        <v>699</v>
      </c>
      <c r="C18" s="3" t="s">
        <v>553</v>
      </c>
      <c r="D18" s="3" t="s">
        <v>553</v>
      </c>
      <c r="E18" s="3" t="s">
        <v>553</v>
      </c>
      <c r="F18" s="3" t="s">
        <v>554</v>
      </c>
      <c r="G18" s="3" t="s">
        <v>553</v>
      </c>
      <c r="H18" s="3" t="s">
        <v>553</v>
      </c>
      <c r="I18" s="3" t="s">
        <v>553</v>
      </c>
      <c r="J18" s="3" t="s">
        <v>698</v>
      </c>
      <c r="K18" s="3" t="s">
        <v>74</v>
      </c>
      <c r="L18" s="3" t="s">
        <v>557</v>
      </c>
      <c r="M18" s="3" t="s">
        <v>557</v>
      </c>
      <c r="N18" s="3" t="s">
        <v>557</v>
      </c>
      <c r="O18" s="3" t="s">
        <v>74</v>
      </c>
      <c r="P18" s="3" t="s">
        <v>558</v>
      </c>
      <c r="Q18" s="3"/>
    </row>
    <row r="19" spans="1:17" ht="23.85" customHeight="1" x14ac:dyDescent="0.3">
      <c r="A19" s="3" t="s">
        <v>704</v>
      </c>
      <c r="B19" s="3" t="s">
        <v>699</v>
      </c>
      <c r="C19" s="3" t="s">
        <v>553</v>
      </c>
      <c r="D19" s="3" t="s">
        <v>553</v>
      </c>
      <c r="E19" s="3" t="s">
        <v>553</v>
      </c>
      <c r="F19" s="3" t="s">
        <v>554</v>
      </c>
      <c r="G19" s="3" t="s">
        <v>553</v>
      </c>
      <c r="H19" s="3" t="s">
        <v>553</v>
      </c>
      <c r="I19" s="3" t="s">
        <v>553</v>
      </c>
      <c r="J19" s="3" t="s">
        <v>698</v>
      </c>
      <c r="K19" s="3" t="s">
        <v>74</v>
      </c>
      <c r="L19" s="3" t="s">
        <v>557</v>
      </c>
      <c r="M19" s="3" t="s">
        <v>74</v>
      </c>
      <c r="N19" s="3" t="s">
        <v>557</v>
      </c>
      <c r="O19" s="3" t="s">
        <v>74</v>
      </c>
      <c r="P19" s="3" t="s">
        <v>558</v>
      </c>
      <c r="Q19" s="3"/>
    </row>
    <row r="20" spans="1:17" ht="23.85" customHeight="1" x14ac:dyDescent="0.3">
      <c r="A20" s="3" t="s">
        <v>705</v>
      </c>
      <c r="B20" s="3" t="s">
        <v>699</v>
      </c>
      <c r="C20" s="3" t="s">
        <v>553</v>
      </c>
      <c r="D20" s="3" t="s">
        <v>553</v>
      </c>
      <c r="E20" s="3" t="s">
        <v>553</v>
      </c>
      <c r="F20" s="3" t="s">
        <v>554</v>
      </c>
      <c r="G20" s="3" t="s">
        <v>553</v>
      </c>
      <c r="H20" s="3" t="s">
        <v>553</v>
      </c>
      <c r="I20" s="3" t="s">
        <v>553</v>
      </c>
      <c r="J20" s="3" t="s">
        <v>698</v>
      </c>
      <c r="K20" s="3" t="s">
        <v>74</v>
      </c>
      <c r="L20" s="3" t="s">
        <v>556</v>
      </c>
      <c r="M20" s="3" t="s">
        <v>74</v>
      </c>
      <c r="N20" s="3" t="s">
        <v>74</v>
      </c>
      <c r="O20" s="3" t="s">
        <v>74</v>
      </c>
      <c r="P20" s="3" t="s">
        <v>558</v>
      </c>
      <c r="Q20" s="3"/>
    </row>
    <row r="21" spans="1:17" ht="15" customHeight="1" x14ac:dyDescent="0.3">
      <c r="A21" s="3" t="s">
        <v>595</v>
      </c>
      <c r="B21" s="3" t="s">
        <v>596</v>
      </c>
      <c r="C21" s="3" t="s">
        <v>74</v>
      </c>
      <c r="D21" s="3" t="s">
        <v>553</v>
      </c>
      <c r="E21" s="3" t="s">
        <v>553</v>
      </c>
      <c r="F21" s="3" t="s">
        <v>561</v>
      </c>
      <c r="G21" s="3" t="s">
        <v>553</v>
      </c>
      <c r="H21" s="3" t="s">
        <v>553</v>
      </c>
      <c r="I21" s="3" t="s">
        <v>553</v>
      </c>
      <c r="J21" s="3" t="s">
        <v>74</v>
      </c>
      <c r="K21" s="3" t="s">
        <v>74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/>
    </row>
    <row r="22" spans="1:17" ht="15" customHeight="1" x14ac:dyDescent="0.3">
      <c r="A22" s="3" t="s">
        <v>597</v>
      </c>
      <c r="B22" s="3" t="s">
        <v>596</v>
      </c>
      <c r="C22" s="3" t="s">
        <v>74</v>
      </c>
      <c r="D22" s="3" t="s">
        <v>553</v>
      </c>
      <c r="E22" s="3" t="s">
        <v>553</v>
      </c>
      <c r="F22" s="3" t="s">
        <v>561</v>
      </c>
      <c r="G22" s="3" t="s">
        <v>553</v>
      </c>
      <c r="H22" s="3" t="s">
        <v>553</v>
      </c>
      <c r="I22" s="3" t="s">
        <v>553</v>
      </c>
      <c r="J22" s="3" t="s">
        <v>74</v>
      </c>
      <c r="K22" s="3" t="s">
        <v>74</v>
      </c>
      <c r="L22" s="3" t="s">
        <v>74</v>
      </c>
      <c r="M22" s="3" t="s">
        <v>74</v>
      </c>
      <c r="N22" s="3" t="s">
        <v>74</v>
      </c>
      <c r="O22" s="3" t="s">
        <v>74</v>
      </c>
      <c r="P22" s="3" t="s">
        <v>74</v>
      </c>
      <c r="Q22" s="3"/>
    </row>
    <row r="23" spans="1:17" ht="23.85" customHeight="1" x14ac:dyDescent="0.3">
      <c r="A23" s="3" t="s">
        <v>598</v>
      </c>
      <c r="B23" s="3" t="s">
        <v>596</v>
      </c>
      <c r="C23" s="3" t="s">
        <v>553</v>
      </c>
      <c r="D23" s="3" t="s">
        <v>553</v>
      </c>
      <c r="E23" s="3" t="s">
        <v>553</v>
      </c>
      <c r="F23" s="3" t="s">
        <v>554</v>
      </c>
      <c r="G23" s="3" t="s">
        <v>553</v>
      </c>
      <c r="H23" s="3" t="s">
        <v>553</v>
      </c>
      <c r="I23" s="3" t="s">
        <v>553</v>
      </c>
      <c r="J23" s="3" t="s">
        <v>698</v>
      </c>
      <c r="K23" s="3" t="s">
        <v>74</v>
      </c>
      <c r="L23" s="3" t="s">
        <v>557</v>
      </c>
      <c r="M23" s="3" t="s">
        <v>557</v>
      </c>
      <c r="N23" s="3" t="s">
        <v>557</v>
      </c>
      <c r="O23" s="3" t="s">
        <v>74</v>
      </c>
      <c r="P23" s="3" t="s">
        <v>558</v>
      </c>
      <c r="Q23" s="3"/>
    </row>
    <row r="24" spans="1:17" ht="15" customHeight="1" x14ac:dyDescent="0.3">
      <c r="A24" s="3" t="s">
        <v>599</v>
      </c>
      <c r="B24" s="3" t="s">
        <v>596</v>
      </c>
      <c r="C24" s="3" t="s">
        <v>74</v>
      </c>
      <c r="D24" s="3" t="s">
        <v>553</v>
      </c>
      <c r="E24" s="3" t="s">
        <v>553</v>
      </c>
      <c r="F24" s="3" t="s">
        <v>561</v>
      </c>
      <c r="G24" s="3" t="s">
        <v>553</v>
      </c>
      <c r="H24" s="3" t="s">
        <v>553</v>
      </c>
      <c r="I24" s="3" t="s">
        <v>553</v>
      </c>
      <c r="J24" s="3" t="s">
        <v>74</v>
      </c>
      <c r="K24" s="3" t="s">
        <v>74</v>
      </c>
      <c r="L24" s="3" t="s">
        <v>557</v>
      </c>
      <c r="M24" s="3" t="s">
        <v>557</v>
      </c>
      <c r="N24" s="3" t="s">
        <v>557</v>
      </c>
      <c r="O24" s="3" t="s">
        <v>74</v>
      </c>
      <c r="P24" s="3" t="s">
        <v>558</v>
      </c>
      <c r="Q24" s="3"/>
    </row>
    <row r="25" spans="1:17" ht="23.85" customHeight="1" x14ac:dyDescent="0.3">
      <c r="A25" s="3" t="s">
        <v>600</v>
      </c>
      <c r="B25" s="3" t="s">
        <v>596</v>
      </c>
      <c r="C25" s="3" t="s">
        <v>553</v>
      </c>
      <c r="D25" s="3" t="s">
        <v>553</v>
      </c>
      <c r="E25" s="3" t="s">
        <v>553</v>
      </c>
      <c r="F25" s="3" t="s">
        <v>554</v>
      </c>
      <c r="G25" s="3" t="s">
        <v>553</v>
      </c>
      <c r="H25" s="3" t="s">
        <v>553</v>
      </c>
      <c r="I25" s="3" t="s">
        <v>553</v>
      </c>
      <c r="J25" s="3" t="s">
        <v>698</v>
      </c>
      <c r="K25" s="3" t="s">
        <v>74</v>
      </c>
      <c r="L25" s="3" t="s">
        <v>557</v>
      </c>
      <c r="M25" s="3" t="s">
        <v>557</v>
      </c>
      <c r="N25" s="3" t="s">
        <v>557</v>
      </c>
      <c r="O25" s="3" t="s">
        <v>557</v>
      </c>
      <c r="P25" s="3" t="s">
        <v>558</v>
      </c>
      <c r="Q25" s="3"/>
    </row>
    <row r="26" spans="1:17" ht="15" customHeight="1" x14ac:dyDescent="0.3">
      <c r="A26" s="3" t="s">
        <v>601</v>
      </c>
      <c r="B26" s="3" t="s">
        <v>596</v>
      </c>
      <c r="C26" s="3" t="s">
        <v>74</v>
      </c>
      <c r="D26" s="3" t="s">
        <v>553</v>
      </c>
      <c r="E26" s="3" t="s">
        <v>553</v>
      </c>
      <c r="F26" s="3" t="s">
        <v>561</v>
      </c>
      <c r="G26" s="3" t="s">
        <v>553</v>
      </c>
      <c r="H26" s="3" t="s">
        <v>553</v>
      </c>
      <c r="I26" s="3" t="s">
        <v>553</v>
      </c>
      <c r="J26" s="3" t="s">
        <v>74</v>
      </c>
      <c r="K26" s="3" t="s">
        <v>74</v>
      </c>
      <c r="L26" s="3" t="s">
        <v>74</v>
      </c>
      <c r="M26" s="3" t="s">
        <v>74</v>
      </c>
      <c r="N26" s="3" t="s">
        <v>74</v>
      </c>
      <c r="O26" s="3" t="s">
        <v>74</v>
      </c>
      <c r="P26" s="3" t="s">
        <v>74</v>
      </c>
      <c r="Q26" s="3"/>
    </row>
    <row r="27" spans="1:17" ht="15" customHeight="1" x14ac:dyDescent="0.3">
      <c r="A27" s="3" t="s">
        <v>602</v>
      </c>
      <c r="B27" s="3" t="s">
        <v>596</v>
      </c>
      <c r="C27" s="3" t="s">
        <v>74</v>
      </c>
      <c r="D27" s="3" t="s">
        <v>553</v>
      </c>
      <c r="E27" s="3" t="s">
        <v>553</v>
      </c>
      <c r="F27" s="3" t="s">
        <v>561</v>
      </c>
      <c r="G27" s="3" t="s">
        <v>553</v>
      </c>
      <c r="H27" s="3" t="s">
        <v>553</v>
      </c>
      <c r="I27" s="3" t="s">
        <v>553</v>
      </c>
      <c r="J27" s="3" t="s">
        <v>74</v>
      </c>
      <c r="K27" s="3" t="s">
        <v>74</v>
      </c>
      <c r="L27" s="3" t="s">
        <v>557</v>
      </c>
      <c r="M27" s="3" t="s">
        <v>557</v>
      </c>
      <c r="N27" s="3" t="s">
        <v>74</v>
      </c>
      <c r="O27" s="3" t="s">
        <v>74</v>
      </c>
      <c r="P27" s="3" t="s">
        <v>558</v>
      </c>
      <c r="Q27" s="3"/>
    </row>
    <row r="28" spans="1:17" ht="15" customHeight="1" x14ac:dyDescent="0.3">
      <c r="A28" s="3" t="s">
        <v>603</v>
      </c>
      <c r="B28" s="3" t="s">
        <v>596</v>
      </c>
      <c r="C28" s="3" t="s">
        <v>74</v>
      </c>
      <c r="D28" s="3" t="s">
        <v>553</v>
      </c>
      <c r="E28" s="3" t="s">
        <v>553</v>
      </c>
      <c r="F28" s="3" t="s">
        <v>561</v>
      </c>
      <c r="G28" s="3" t="s">
        <v>553</v>
      </c>
      <c r="H28" s="3" t="s">
        <v>74</v>
      </c>
      <c r="I28" s="3" t="s">
        <v>553</v>
      </c>
      <c r="J28" s="3" t="s">
        <v>74</v>
      </c>
      <c r="K28" s="3" t="s">
        <v>74</v>
      </c>
      <c r="L28" s="3" t="s">
        <v>74</v>
      </c>
      <c r="M28" s="3" t="s">
        <v>74</v>
      </c>
      <c r="N28" s="3" t="s">
        <v>74</v>
      </c>
      <c r="O28" s="3" t="s">
        <v>74</v>
      </c>
      <c r="P28" s="3" t="s">
        <v>74</v>
      </c>
      <c r="Q28" s="3" t="s">
        <v>604</v>
      </c>
    </row>
    <row r="29" spans="1:17" ht="15" customHeight="1" x14ac:dyDescent="0.3">
      <c r="A29" s="3" t="s">
        <v>605</v>
      </c>
      <c r="B29" s="3" t="s">
        <v>596</v>
      </c>
      <c r="C29" s="3" t="s">
        <v>74</v>
      </c>
      <c r="D29" s="3" t="s">
        <v>553</v>
      </c>
      <c r="E29" s="3" t="s">
        <v>553</v>
      </c>
      <c r="F29" s="3" t="s">
        <v>561</v>
      </c>
      <c r="G29" s="3" t="s">
        <v>553</v>
      </c>
      <c r="H29" s="3" t="s">
        <v>553</v>
      </c>
      <c r="I29" s="3" t="s">
        <v>74</v>
      </c>
      <c r="J29" s="3" t="s">
        <v>74</v>
      </c>
      <c r="K29" s="3" t="s">
        <v>74</v>
      </c>
      <c r="L29" s="3" t="s">
        <v>74</v>
      </c>
      <c r="M29" s="3" t="s">
        <v>74</v>
      </c>
      <c r="N29" s="3" t="s">
        <v>74</v>
      </c>
      <c r="O29" s="3" t="s">
        <v>74</v>
      </c>
      <c r="P29" s="3" t="s">
        <v>74</v>
      </c>
      <c r="Q29" s="3"/>
    </row>
    <row r="30" spans="1:17" ht="15" customHeight="1" x14ac:dyDescent="0.3">
      <c r="A30" s="3" t="s">
        <v>606</v>
      </c>
      <c r="B30" s="3" t="s">
        <v>596</v>
      </c>
      <c r="C30" s="3" t="s">
        <v>74</v>
      </c>
      <c r="D30" s="3" t="s">
        <v>553</v>
      </c>
      <c r="E30" s="3" t="s">
        <v>553</v>
      </c>
      <c r="F30" s="3" t="s">
        <v>561</v>
      </c>
      <c r="G30" s="3" t="s">
        <v>553</v>
      </c>
      <c r="H30" s="3" t="s">
        <v>553</v>
      </c>
      <c r="I30" s="3" t="s">
        <v>74</v>
      </c>
      <c r="J30" s="3" t="s">
        <v>74</v>
      </c>
      <c r="K30" s="3" t="s">
        <v>74</v>
      </c>
      <c r="L30" s="3" t="s">
        <v>74</v>
      </c>
      <c r="M30" s="3" t="s">
        <v>74</v>
      </c>
      <c r="N30" s="3" t="s">
        <v>74</v>
      </c>
      <c r="O30" s="3" t="s">
        <v>74</v>
      </c>
      <c r="P30" s="3" t="s">
        <v>74</v>
      </c>
      <c r="Q30" s="3"/>
    </row>
    <row r="31" spans="1:17" ht="15" customHeight="1" x14ac:dyDescent="0.3">
      <c r="A31" s="3" t="s">
        <v>607</v>
      </c>
      <c r="B31" s="3" t="s">
        <v>596</v>
      </c>
      <c r="C31" s="3" t="s">
        <v>74</v>
      </c>
      <c r="D31" s="3" t="s">
        <v>553</v>
      </c>
      <c r="E31" s="3" t="s">
        <v>553</v>
      </c>
      <c r="F31" s="3" t="s">
        <v>561</v>
      </c>
      <c r="G31" s="3" t="s">
        <v>553</v>
      </c>
      <c r="H31" s="3" t="s">
        <v>553</v>
      </c>
      <c r="I31" s="3" t="s">
        <v>74</v>
      </c>
      <c r="J31" s="3" t="s">
        <v>74</v>
      </c>
      <c r="K31" s="3" t="s">
        <v>74</v>
      </c>
      <c r="L31" s="3" t="s">
        <v>74</v>
      </c>
      <c r="M31" s="3" t="s">
        <v>74</v>
      </c>
      <c r="N31" s="3" t="s">
        <v>74</v>
      </c>
      <c r="O31" s="3" t="s">
        <v>74</v>
      </c>
      <c r="P31" s="3" t="s">
        <v>74</v>
      </c>
      <c r="Q31" s="3"/>
    </row>
    <row r="32" spans="1:17" ht="15" customHeight="1" x14ac:dyDescent="0.3">
      <c r="A32" s="3" t="s">
        <v>608</v>
      </c>
      <c r="B32" s="3" t="s">
        <v>596</v>
      </c>
      <c r="C32" s="3" t="s">
        <v>74</v>
      </c>
      <c r="D32" s="3" t="s">
        <v>553</v>
      </c>
      <c r="E32" s="3" t="s">
        <v>553</v>
      </c>
      <c r="F32" s="3" t="s">
        <v>561</v>
      </c>
      <c r="G32" s="3" t="s">
        <v>553</v>
      </c>
      <c r="H32" s="3" t="s">
        <v>553</v>
      </c>
      <c r="I32" s="3" t="s">
        <v>553</v>
      </c>
      <c r="J32" s="3" t="s">
        <v>74</v>
      </c>
      <c r="K32" s="3" t="s">
        <v>74</v>
      </c>
      <c r="L32" s="3" t="s">
        <v>74</v>
      </c>
      <c r="M32" s="3" t="s">
        <v>74</v>
      </c>
      <c r="N32" s="3" t="s">
        <v>74</v>
      </c>
      <c r="O32" s="3" t="s">
        <v>74</v>
      </c>
      <c r="P32" s="3" t="s">
        <v>74</v>
      </c>
      <c r="Q32" s="3"/>
    </row>
    <row r="33" spans="1:17" ht="15" customHeight="1" x14ac:dyDescent="0.3">
      <c r="A33" s="3" t="s">
        <v>609</v>
      </c>
      <c r="B33" s="3" t="s">
        <v>596</v>
      </c>
      <c r="C33" s="3" t="s">
        <v>74</v>
      </c>
      <c r="D33" s="3" t="s">
        <v>553</v>
      </c>
      <c r="E33" s="3" t="s">
        <v>553</v>
      </c>
      <c r="F33" s="3" t="s">
        <v>561</v>
      </c>
      <c r="G33" s="3" t="s">
        <v>553</v>
      </c>
      <c r="H33" s="3" t="s">
        <v>74</v>
      </c>
      <c r="I33" s="3" t="s">
        <v>74</v>
      </c>
      <c r="J33" s="3" t="s">
        <v>74</v>
      </c>
      <c r="K33" s="3" t="s">
        <v>74</v>
      </c>
      <c r="L33" s="3" t="s">
        <v>74</v>
      </c>
      <c r="M33" s="3" t="s">
        <v>74</v>
      </c>
      <c r="N33" s="3" t="s">
        <v>74</v>
      </c>
      <c r="O33" s="3" t="s">
        <v>74</v>
      </c>
      <c r="P33" s="3" t="s">
        <v>74</v>
      </c>
      <c r="Q33" s="3" t="s">
        <v>610</v>
      </c>
    </row>
    <row r="34" spans="1:17" ht="15" customHeight="1" x14ac:dyDescent="0.3">
      <c r="A34" s="3" t="s">
        <v>611</v>
      </c>
      <c r="B34" s="3" t="s">
        <v>596</v>
      </c>
      <c r="C34" s="3" t="s">
        <v>74</v>
      </c>
      <c r="D34" s="3" t="s">
        <v>553</v>
      </c>
      <c r="E34" s="3" t="s">
        <v>553</v>
      </c>
      <c r="F34" s="3" t="s">
        <v>561</v>
      </c>
      <c r="G34" s="3" t="s">
        <v>553</v>
      </c>
      <c r="H34" s="3" t="s">
        <v>553</v>
      </c>
      <c r="I34" s="3" t="s">
        <v>74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74</v>
      </c>
      <c r="Q34" s="3"/>
    </row>
    <row r="35" spans="1:17" ht="15" customHeight="1" x14ac:dyDescent="0.3">
      <c r="A35" s="3" t="s">
        <v>612</v>
      </c>
      <c r="B35" s="3" t="s">
        <v>596</v>
      </c>
      <c r="C35" s="3" t="s">
        <v>74</v>
      </c>
      <c r="D35" s="3" t="s">
        <v>553</v>
      </c>
      <c r="E35" s="3" t="s">
        <v>553</v>
      </c>
      <c r="F35" s="3" t="s">
        <v>561</v>
      </c>
      <c r="G35" s="3" t="s">
        <v>553</v>
      </c>
      <c r="H35" s="3" t="s">
        <v>553</v>
      </c>
      <c r="I35" s="3" t="s">
        <v>74</v>
      </c>
      <c r="J35" s="3" t="s">
        <v>74</v>
      </c>
      <c r="K35" s="3" t="s">
        <v>74</v>
      </c>
      <c r="L35" s="3" t="s">
        <v>74</v>
      </c>
      <c r="M35" s="3" t="s">
        <v>74</v>
      </c>
      <c r="N35" s="3" t="s">
        <v>74</v>
      </c>
      <c r="O35" s="3" t="s">
        <v>74</v>
      </c>
      <c r="P35" s="3" t="s">
        <v>74</v>
      </c>
      <c r="Q35" s="3"/>
    </row>
    <row r="36" spans="1:17" ht="15" customHeight="1" x14ac:dyDescent="0.3">
      <c r="A36" s="3" t="s">
        <v>613</v>
      </c>
      <c r="B36" s="3" t="s">
        <v>614</v>
      </c>
      <c r="C36" s="3" t="s">
        <v>553</v>
      </c>
      <c r="D36" s="3" t="s">
        <v>553</v>
      </c>
      <c r="E36" s="3" t="s">
        <v>553</v>
      </c>
      <c r="F36" s="3" t="s">
        <v>554</v>
      </c>
      <c r="G36" s="3" t="s">
        <v>553</v>
      </c>
      <c r="H36" s="3" t="s">
        <v>553</v>
      </c>
      <c r="I36" s="3" t="s">
        <v>553</v>
      </c>
      <c r="J36" s="3" t="s">
        <v>555</v>
      </c>
      <c r="K36" s="3" t="s">
        <v>553</v>
      </c>
      <c r="L36" s="3" t="s">
        <v>556</v>
      </c>
      <c r="M36" s="3" t="s">
        <v>556</v>
      </c>
      <c r="N36" s="3" t="s">
        <v>556</v>
      </c>
      <c r="O36" s="3" t="s">
        <v>556</v>
      </c>
      <c r="P36" s="3" t="s">
        <v>558</v>
      </c>
      <c r="Q36" s="3"/>
    </row>
    <row r="37" spans="1:17" ht="23.85" customHeight="1" x14ac:dyDescent="0.3">
      <c r="A37" s="3" t="s">
        <v>615</v>
      </c>
      <c r="B37" s="3" t="s">
        <v>614</v>
      </c>
      <c r="C37" s="3" t="s">
        <v>553</v>
      </c>
      <c r="D37" s="3" t="s">
        <v>553</v>
      </c>
      <c r="E37" s="3" t="s">
        <v>553</v>
      </c>
      <c r="F37" s="3" t="s">
        <v>554</v>
      </c>
      <c r="G37" s="3" t="s">
        <v>553</v>
      </c>
      <c r="H37" s="3" t="s">
        <v>553</v>
      </c>
      <c r="I37" s="3" t="s">
        <v>553</v>
      </c>
      <c r="J37" s="3" t="s">
        <v>698</v>
      </c>
      <c r="K37" s="3" t="s">
        <v>74</v>
      </c>
      <c r="L37" s="3" t="s">
        <v>556</v>
      </c>
      <c r="M37" s="3" t="s">
        <v>74</v>
      </c>
      <c r="N37" s="3" t="s">
        <v>557</v>
      </c>
      <c r="O37" s="3" t="s">
        <v>74</v>
      </c>
      <c r="P37" s="3" t="s">
        <v>558</v>
      </c>
      <c r="Q37" s="3"/>
    </row>
    <row r="38" spans="1:17" ht="15" customHeight="1" x14ac:dyDescent="0.3">
      <c r="A38" s="3" t="s">
        <v>616</v>
      </c>
      <c r="B38" s="3" t="s">
        <v>614</v>
      </c>
      <c r="C38" s="3" t="s">
        <v>553</v>
      </c>
      <c r="D38" s="3" t="s">
        <v>553</v>
      </c>
      <c r="E38" s="3" t="s">
        <v>553</v>
      </c>
      <c r="F38" s="3" t="s">
        <v>554</v>
      </c>
      <c r="G38" s="3" t="s">
        <v>553</v>
      </c>
      <c r="H38" s="3" t="s">
        <v>553</v>
      </c>
      <c r="I38" s="3" t="s">
        <v>553</v>
      </c>
      <c r="J38" s="3" t="s">
        <v>555</v>
      </c>
      <c r="K38" s="3" t="s">
        <v>74</v>
      </c>
      <c r="L38" s="3" t="s">
        <v>74</v>
      </c>
      <c r="M38" s="3" t="s">
        <v>74</v>
      </c>
      <c r="N38" s="3" t="s">
        <v>74</v>
      </c>
      <c r="O38" s="3" t="s">
        <v>556</v>
      </c>
      <c r="P38" s="3" t="s">
        <v>558</v>
      </c>
      <c r="Q38" s="3"/>
    </row>
    <row r="39" spans="1:17" ht="15" customHeight="1" x14ac:dyDescent="0.3">
      <c r="A39" s="3" t="s">
        <v>617</v>
      </c>
      <c r="B39" s="3" t="s">
        <v>614</v>
      </c>
      <c r="C39" s="3" t="s">
        <v>553</v>
      </c>
      <c r="D39" s="3" t="s">
        <v>553</v>
      </c>
      <c r="E39" s="3" t="s">
        <v>553</v>
      </c>
      <c r="F39" s="3" t="s">
        <v>554</v>
      </c>
      <c r="G39" s="3" t="s">
        <v>553</v>
      </c>
      <c r="H39" s="3" t="s">
        <v>553</v>
      </c>
      <c r="I39" s="3" t="s">
        <v>553</v>
      </c>
      <c r="J39" s="3" t="s">
        <v>555</v>
      </c>
      <c r="K39" s="3" t="s">
        <v>74</v>
      </c>
      <c r="L39" s="3" t="s">
        <v>74</v>
      </c>
      <c r="M39" s="3" t="s">
        <v>74</v>
      </c>
      <c r="N39" s="3" t="s">
        <v>74</v>
      </c>
      <c r="O39" s="3" t="s">
        <v>556</v>
      </c>
      <c r="P39" s="3" t="s">
        <v>558</v>
      </c>
      <c r="Q39" s="3"/>
    </row>
    <row r="40" spans="1:17" ht="15" customHeight="1" x14ac:dyDescent="0.3">
      <c r="A40" s="3" t="s">
        <v>618</v>
      </c>
      <c r="B40" s="3" t="s">
        <v>614</v>
      </c>
      <c r="C40" s="3" t="s">
        <v>553</v>
      </c>
      <c r="D40" s="3" t="s">
        <v>553</v>
      </c>
      <c r="E40" s="3" t="s">
        <v>553</v>
      </c>
      <c r="F40" s="3" t="s">
        <v>554</v>
      </c>
      <c r="G40" s="3" t="s">
        <v>553</v>
      </c>
      <c r="H40" s="3" t="s">
        <v>553</v>
      </c>
      <c r="I40" s="3" t="s">
        <v>553</v>
      </c>
      <c r="J40" s="3" t="s">
        <v>555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556</v>
      </c>
      <c r="P40" s="3" t="s">
        <v>558</v>
      </c>
      <c r="Q40" s="3"/>
    </row>
    <row r="41" spans="1:17" ht="15" customHeight="1" x14ac:dyDescent="0.3">
      <c r="A41" s="3" t="s">
        <v>619</v>
      </c>
      <c r="B41" s="3" t="s">
        <v>614</v>
      </c>
      <c r="C41" s="3" t="s">
        <v>74</v>
      </c>
      <c r="D41" s="3" t="s">
        <v>553</v>
      </c>
      <c r="E41" s="3" t="s">
        <v>553</v>
      </c>
      <c r="F41" s="3" t="s">
        <v>561</v>
      </c>
      <c r="G41" s="3" t="s">
        <v>553</v>
      </c>
      <c r="H41" s="3" t="s">
        <v>553</v>
      </c>
      <c r="I41" s="3" t="s">
        <v>553</v>
      </c>
      <c r="J41" s="3" t="s">
        <v>74</v>
      </c>
      <c r="K41" s="3" t="s">
        <v>74</v>
      </c>
      <c r="L41" s="3" t="s">
        <v>74</v>
      </c>
      <c r="M41" s="3" t="s">
        <v>74</v>
      </c>
      <c r="N41" s="3" t="s">
        <v>74</v>
      </c>
      <c r="O41" s="3" t="s">
        <v>74</v>
      </c>
      <c r="P41" s="3" t="s">
        <v>74</v>
      </c>
      <c r="Q41" s="3"/>
    </row>
    <row r="42" spans="1:17" ht="15" customHeight="1" x14ac:dyDescent="0.3">
      <c r="A42" s="3" t="s">
        <v>620</v>
      </c>
      <c r="B42" s="3" t="s">
        <v>614</v>
      </c>
      <c r="C42" s="3" t="s">
        <v>74</v>
      </c>
      <c r="D42" s="3" t="s">
        <v>553</v>
      </c>
      <c r="E42" s="3" t="s">
        <v>553</v>
      </c>
      <c r="F42" s="3" t="s">
        <v>561</v>
      </c>
      <c r="G42" s="3" t="s">
        <v>553</v>
      </c>
      <c r="H42" s="3" t="s">
        <v>553</v>
      </c>
      <c r="I42" s="3" t="s">
        <v>553</v>
      </c>
      <c r="J42" s="3" t="s">
        <v>74</v>
      </c>
      <c r="K42" s="3" t="s">
        <v>74</v>
      </c>
      <c r="L42" s="3" t="s">
        <v>74</v>
      </c>
      <c r="M42" s="3" t="s">
        <v>556</v>
      </c>
      <c r="N42" s="3" t="s">
        <v>74</v>
      </c>
      <c r="O42" s="3" t="s">
        <v>74</v>
      </c>
      <c r="P42" s="3" t="s">
        <v>558</v>
      </c>
      <c r="Q42" s="3"/>
    </row>
    <row r="43" spans="1:17" ht="15" customHeight="1" x14ac:dyDescent="0.3">
      <c r="A43" s="3" t="s">
        <v>621</v>
      </c>
      <c r="B43" s="3" t="s">
        <v>614</v>
      </c>
      <c r="C43" s="3" t="s">
        <v>553</v>
      </c>
      <c r="D43" s="3" t="s">
        <v>553</v>
      </c>
      <c r="E43" s="3" t="s">
        <v>553</v>
      </c>
      <c r="F43" s="3" t="s">
        <v>554</v>
      </c>
      <c r="G43" s="3" t="s">
        <v>553</v>
      </c>
      <c r="H43" s="3" t="s">
        <v>553</v>
      </c>
      <c r="I43" s="3" t="s">
        <v>553</v>
      </c>
      <c r="J43" s="3" t="s">
        <v>555</v>
      </c>
      <c r="K43" s="3" t="s">
        <v>74</v>
      </c>
      <c r="L43" s="3" t="s">
        <v>557</v>
      </c>
      <c r="M43" s="3" t="s">
        <v>556</v>
      </c>
      <c r="N43" s="3" t="s">
        <v>557</v>
      </c>
      <c r="O43" s="3" t="s">
        <v>556</v>
      </c>
      <c r="P43" s="3" t="s">
        <v>558</v>
      </c>
      <c r="Q43" s="3"/>
    </row>
    <row r="44" spans="1:17" ht="15" customHeight="1" x14ac:dyDescent="0.3">
      <c r="A44" s="3" t="s">
        <v>622</v>
      </c>
      <c r="B44" s="3" t="s">
        <v>614</v>
      </c>
      <c r="C44" s="3" t="s">
        <v>74</v>
      </c>
      <c r="D44" s="3" t="s">
        <v>553</v>
      </c>
      <c r="E44" s="3" t="s">
        <v>553</v>
      </c>
      <c r="F44" s="3" t="s">
        <v>561</v>
      </c>
      <c r="G44" s="3" t="s">
        <v>553</v>
      </c>
      <c r="H44" s="3" t="s">
        <v>553</v>
      </c>
      <c r="I44" s="3" t="s">
        <v>553</v>
      </c>
      <c r="J44" s="3" t="s">
        <v>74</v>
      </c>
      <c r="K44" s="3" t="s">
        <v>74</v>
      </c>
      <c r="L44" s="3" t="s">
        <v>74</v>
      </c>
      <c r="M44" s="3" t="s">
        <v>557</v>
      </c>
      <c r="N44" s="3" t="s">
        <v>74</v>
      </c>
      <c r="O44" s="3" t="s">
        <v>74</v>
      </c>
      <c r="P44" s="3" t="s">
        <v>558</v>
      </c>
      <c r="Q44" s="3"/>
    </row>
    <row r="45" spans="1:17" ht="15" customHeight="1" x14ac:dyDescent="0.3">
      <c r="A45" s="3" t="s">
        <v>623</v>
      </c>
      <c r="B45" s="3" t="s">
        <v>614</v>
      </c>
      <c r="C45" s="3" t="s">
        <v>74</v>
      </c>
      <c r="D45" s="3" t="s">
        <v>553</v>
      </c>
      <c r="E45" s="3" t="s">
        <v>553</v>
      </c>
      <c r="F45" s="3" t="s">
        <v>561</v>
      </c>
      <c r="G45" s="3" t="s">
        <v>553</v>
      </c>
      <c r="H45" s="3" t="s">
        <v>553</v>
      </c>
      <c r="I45" s="3" t="s">
        <v>553</v>
      </c>
      <c r="J45" s="3" t="s">
        <v>74</v>
      </c>
      <c r="K45" s="3" t="s">
        <v>74</v>
      </c>
      <c r="L45" s="3" t="s">
        <v>74</v>
      </c>
      <c r="M45" s="3" t="s">
        <v>557</v>
      </c>
      <c r="N45" s="3" t="s">
        <v>74</v>
      </c>
      <c r="O45" s="3" t="s">
        <v>556</v>
      </c>
      <c r="P45" s="3" t="s">
        <v>558</v>
      </c>
      <c r="Q45" s="3"/>
    </row>
    <row r="46" spans="1:17" ht="15" customHeight="1" x14ac:dyDescent="0.3">
      <c r="A46" s="3" t="s">
        <v>624</v>
      </c>
      <c r="B46" s="3" t="s">
        <v>614</v>
      </c>
      <c r="C46" s="3" t="s">
        <v>74</v>
      </c>
      <c r="D46" s="3" t="s">
        <v>553</v>
      </c>
      <c r="E46" s="3" t="s">
        <v>553</v>
      </c>
      <c r="F46" s="3" t="s">
        <v>561</v>
      </c>
      <c r="G46" s="3" t="s">
        <v>553</v>
      </c>
      <c r="H46" s="3" t="s">
        <v>553</v>
      </c>
      <c r="I46" s="3" t="s">
        <v>553</v>
      </c>
      <c r="J46" s="3" t="s">
        <v>74</v>
      </c>
      <c r="K46" s="3" t="s">
        <v>74</v>
      </c>
      <c r="L46" s="3" t="s">
        <v>74</v>
      </c>
      <c r="M46" s="3" t="s">
        <v>74</v>
      </c>
      <c r="N46" s="3" t="s">
        <v>74</v>
      </c>
      <c r="O46" s="3" t="s">
        <v>74</v>
      </c>
      <c r="P46" s="3" t="s">
        <v>74</v>
      </c>
      <c r="Q46" s="3"/>
    </row>
    <row r="47" spans="1:17" ht="15" customHeight="1" x14ac:dyDescent="0.3">
      <c r="A47" s="3" t="s">
        <v>625</v>
      </c>
      <c r="B47" s="3" t="s">
        <v>614</v>
      </c>
      <c r="C47" s="3" t="s">
        <v>74</v>
      </c>
      <c r="D47" s="3" t="s">
        <v>553</v>
      </c>
      <c r="E47" s="3" t="s">
        <v>553</v>
      </c>
      <c r="F47" s="3" t="s">
        <v>561</v>
      </c>
      <c r="G47" s="3" t="s">
        <v>553</v>
      </c>
      <c r="H47" s="3" t="s">
        <v>553</v>
      </c>
      <c r="I47" s="3" t="s">
        <v>553</v>
      </c>
      <c r="J47" s="3" t="s">
        <v>74</v>
      </c>
      <c r="K47" s="3" t="s">
        <v>74</v>
      </c>
      <c r="L47" s="3" t="s">
        <v>74</v>
      </c>
      <c r="M47" s="3" t="s">
        <v>74</v>
      </c>
      <c r="N47" s="3" t="s">
        <v>74</v>
      </c>
      <c r="O47" s="3" t="s">
        <v>74</v>
      </c>
      <c r="P47" s="3" t="s">
        <v>74</v>
      </c>
      <c r="Q47" s="3"/>
    </row>
    <row r="48" spans="1:17" ht="15" customHeight="1" x14ac:dyDescent="0.3">
      <c r="A48" s="3" t="s">
        <v>626</v>
      </c>
      <c r="B48" s="3" t="s">
        <v>614</v>
      </c>
      <c r="C48" s="3" t="s">
        <v>74</v>
      </c>
      <c r="D48" s="3" t="s">
        <v>553</v>
      </c>
      <c r="E48" s="3" t="s">
        <v>553</v>
      </c>
      <c r="F48" s="3" t="s">
        <v>561</v>
      </c>
      <c r="G48" s="3" t="s">
        <v>553</v>
      </c>
      <c r="H48" s="3" t="s">
        <v>553</v>
      </c>
      <c r="I48" s="3" t="s">
        <v>553</v>
      </c>
      <c r="J48" s="3" t="s">
        <v>74</v>
      </c>
      <c r="K48" s="3" t="s">
        <v>74</v>
      </c>
      <c r="L48" s="3" t="s">
        <v>579</v>
      </c>
      <c r="M48" s="3" t="s">
        <v>579</v>
      </c>
      <c r="N48" s="3" t="s">
        <v>579</v>
      </c>
      <c r="O48" s="3" t="s">
        <v>579</v>
      </c>
      <c r="P48" s="3" t="s">
        <v>558</v>
      </c>
      <c r="Q48" s="3"/>
    </row>
    <row r="49" spans="1:17" ht="15" customHeight="1" x14ac:dyDescent="0.3">
      <c r="A49" s="3" t="s">
        <v>627</v>
      </c>
      <c r="B49" s="3" t="s">
        <v>614</v>
      </c>
      <c r="C49" s="3" t="s">
        <v>74</v>
      </c>
      <c r="D49" s="3" t="s">
        <v>553</v>
      </c>
      <c r="E49" s="3" t="s">
        <v>553</v>
      </c>
      <c r="F49" s="3" t="s">
        <v>561</v>
      </c>
      <c r="G49" s="3" t="s">
        <v>553</v>
      </c>
      <c r="H49" s="3" t="s">
        <v>553</v>
      </c>
      <c r="I49" s="3" t="s">
        <v>553</v>
      </c>
      <c r="J49" s="3" t="s">
        <v>74</v>
      </c>
      <c r="K49" s="3" t="s">
        <v>74</v>
      </c>
      <c r="L49" s="3" t="s">
        <v>74</v>
      </c>
      <c r="M49" s="3" t="s">
        <v>74</v>
      </c>
      <c r="N49" s="3" t="s">
        <v>74</v>
      </c>
      <c r="O49" s="3" t="s">
        <v>74</v>
      </c>
      <c r="P49" s="3" t="s">
        <v>74</v>
      </c>
      <c r="Q49" s="3"/>
    </row>
    <row r="50" spans="1:17" ht="15" customHeight="1" x14ac:dyDescent="0.3">
      <c r="A50" s="3" t="s">
        <v>628</v>
      </c>
      <c r="B50" s="3" t="s">
        <v>614</v>
      </c>
      <c r="C50" s="3" t="s">
        <v>74</v>
      </c>
      <c r="D50" s="3" t="s">
        <v>553</v>
      </c>
      <c r="E50" s="3" t="s">
        <v>553</v>
      </c>
      <c r="F50" s="3" t="s">
        <v>561</v>
      </c>
      <c r="G50" s="3" t="s">
        <v>553</v>
      </c>
      <c r="H50" s="3" t="s">
        <v>553</v>
      </c>
      <c r="I50" s="3" t="s">
        <v>553</v>
      </c>
      <c r="J50" s="3" t="s">
        <v>74</v>
      </c>
      <c r="K50" s="3" t="s">
        <v>74</v>
      </c>
      <c r="L50" s="3" t="s">
        <v>74</v>
      </c>
      <c r="M50" s="3" t="s">
        <v>74</v>
      </c>
      <c r="N50" s="3" t="s">
        <v>74</v>
      </c>
      <c r="O50" s="3" t="s">
        <v>74</v>
      </c>
      <c r="P50" s="3" t="s">
        <v>74</v>
      </c>
      <c r="Q50" s="3"/>
    </row>
    <row r="51" spans="1:17" ht="15" customHeight="1" x14ac:dyDescent="0.3">
      <c r="A51" s="3" t="s">
        <v>629</v>
      </c>
      <c r="B51" s="3" t="s">
        <v>630</v>
      </c>
      <c r="C51" s="3" t="s">
        <v>74</v>
      </c>
      <c r="D51" s="3" t="s">
        <v>553</v>
      </c>
      <c r="E51" s="3" t="s">
        <v>553</v>
      </c>
      <c r="F51" s="3" t="s">
        <v>561</v>
      </c>
      <c r="G51" s="3" t="s">
        <v>553</v>
      </c>
      <c r="H51" s="3" t="s">
        <v>553</v>
      </c>
      <c r="I51" s="3" t="s">
        <v>553</v>
      </c>
      <c r="J51" s="3" t="s">
        <v>74</v>
      </c>
      <c r="K51" s="3" t="s">
        <v>74</v>
      </c>
      <c r="L51" s="3" t="s">
        <v>74</v>
      </c>
      <c r="M51" s="3" t="s">
        <v>74</v>
      </c>
      <c r="N51" s="3" t="s">
        <v>74</v>
      </c>
      <c r="O51" s="3" t="s">
        <v>74</v>
      </c>
      <c r="P51" s="3" t="s">
        <v>74</v>
      </c>
      <c r="Q51" s="3"/>
    </row>
    <row r="52" spans="1:17" ht="15" customHeight="1" x14ac:dyDescent="0.3">
      <c r="A52" s="3" t="s">
        <v>631</v>
      </c>
      <c r="B52" s="3" t="s">
        <v>630</v>
      </c>
      <c r="C52" s="3" t="s">
        <v>74</v>
      </c>
      <c r="D52" s="3" t="s">
        <v>553</v>
      </c>
      <c r="E52" s="3" t="s">
        <v>553</v>
      </c>
      <c r="F52" s="3" t="s">
        <v>561</v>
      </c>
      <c r="G52" s="3" t="s">
        <v>553</v>
      </c>
      <c r="H52" s="3" t="s">
        <v>553</v>
      </c>
      <c r="I52" s="3" t="s">
        <v>553</v>
      </c>
      <c r="J52" s="3" t="s">
        <v>74</v>
      </c>
      <c r="K52" s="3" t="s">
        <v>74</v>
      </c>
      <c r="L52" s="3" t="s">
        <v>74</v>
      </c>
      <c r="M52" s="3" t="s">
        <v>74</v>
      </c>
      <c r="N52" s="3" t="s">
        <v>74</v>
      </c>
      <c r="O52" s="3" t="s">
        <v>74</v>
      </c>
      <c r="P52" s="3" t="s">
        <v>74</v>
      </c>
      <c r="Q52" s="3"/>
    </row>
    <row r="53" spans="1:17" ht="15" customHeight="1" x14ac:dyDescent="0.3">
      <c r="A53" s="3" t="s">
        <v>632</v>
      </c>
      <c r="B53" s="3" t="s">
        <v>630</v>
      </c>
      <c r="C53" s="3" t="s">
        <v>74</v>
      </c>
      <c r="D53" s="3" t="s">
        <v>553</v>
      </c>
      <c r="E53" s="3" t="s">
        <v>553</v>
      </c>
      <c r="F53" s="3" t="s">
        <v>561</v>
      </c>
      <c r="G53" s="3" t="s">
        <v>553</v>
      </c>
      <c r="H53" s="3" t="s">
        <v>553</v>
      </c>
      <c r="I53" s="3" t="s">
        <v>553</v>
      </c>
      <c r="J53" s="3" t="s">
        <v>74</v>
      </c>
      <c r="K53" s="3" t="s">
        <v>74</v>
      </c>
      <c r="L53" s="3" t="s">
        <v>74</v>
      </c>
      <c r="M53" s="3" t="s">
        <v>556</v>
      </c>
      <c r="N53" s="3" t="s">
        <v>74</v>
      </c>
      <c r="O53" s="3" t="s">
        <v>74</v>
      </c>
      <c r="P53" s="3" t="s">
        <v>558</v>
      </c>
      <c r="Q53" s="3"/>
    </row>
    <row r="54" spans="1:17" ht="15" customHeight="1" x14ac:dyDescent="0.3">
      <c r="A54" s="3" t="s">
        <v>633</v>
      </c>
      <c r="B54" s="3" t="s">
        <v>630</v>
      </c>
      <c r="C54" s="3" t="s">
        <v>74</v>
      </c>
      <c r="D54" s="3" t="s">
        <v>553</v>
      </c>
      <c r="E54" s="3" t="s">
        <v>553</v>
      </c>
      <c r="F54" s="3" t="s">
        <v>561</v>
      </c>
      <c r="G54" s="3" t="s">
        <v>553</v>
      </c>
      <c r="H54" s="3" t="s">
        <v>553</v>
      </c>
      <c r="I54" s="3" t="s">
        <v>553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74</v>
      </c>
      <c r="Q54" s="3"/>
    </row>
    <row r="55" spans="1:17" ht="15" customHeight="1" x14ac:dyDescent="0.3">
      <c r="A55" s="3" t="s">
        <v>634</v>
      </c>
      <c r="B55" s="3" t="s">
        <v>630</v>
      </c>
      <c r="C55" s="3" t="s">
        <v>74</v>
      </c>
      <c r="D55" s="3" t="s">
        <v>553</v>
      </c>
      <c r="E55" s="3" t="s">
        <v>553</v>
      </c>
      <c r="F55" s="3" t="s">
        <v>561</v>
      </c>
      <c r="G55" s="3" t="s">
        <v>553</v>
      </c>
      <c r="H55" s="3" t="s">
        <v>553</v>
      </c>
      <c r="I55" s="3" t="s">
        <v>553</v>
      </c>
      <c r="J55" s="3" t="s">
        <v>74</v>
      </c>
      <c r="K55" s="3" t="s">
        <v>74</v>
      </c>
      <c r="L55" s="3" t="s">
        <v>74</v>
      </c>
      <c r="M55" s="3" t="s">
        <v>74</v>
      </c>
      <c r="N55" s="3" t="s">
        <v>74</v>
      </c>
      <c r="O55" s="3" t="s">
        <v>74</v>
      </c>
      <c r="P55" s="3" t="s">
        <v>74</v>
      </c>
      <c r="Q55" s="3"/>
    </row>
    <row r="56" spans="1:17" ht="15" customHeight="1" x14ac:dyDescent="0.3">
      <c r="A56" s="3" t="s">
        <v>635</v>
      </c>
      <c r="B56" s="3" t="s">
        <v>630</v>
      </c>
      <c r="C56" s="3" t="s">
        <v>74</v>
      </c>
      <c r="D56" s="3" t="s">
        <v>553</v>
      </c>
      <c r="E56" s="3" t="s">
        <v>553</v>
      </c>
      <c r="F56" s="3" t="s">
        <v>561</v>
      </c>
      <c r="G56" s="3" t="s">
        <v>553</v>
      </c>
      <c r="H56" s="3" t="s">
        <v>553</v>
      </c>
      <c r="I56" s="3" t="s">
        <v>553</v>
      </c>
      <c r="J56" s="3" t="s">
        <v>509</v>
      </c>
      <c r="K56" s="3" t="s">
        <v>74</v>
      </c>
      <c r="L56" s="3" t="s">
        <v>74</v>
      </c>
      <c r="M56" s="3" t="s">
        <v>74</v>
      </c>
      <c r="N56" s="3" t="s">
        <v>74</v>
      </c>
      <c r="O56" s="3" t="s">
        <v>556</v>
      </c>
      <c r="P56" s="3" t="s">
        <v>558</v>
      </c>
      <c r="Q56" s="3"/>
    </row>
    <row r="57" spans="1:17" ht="15" customHeight="1" x14ac:dyDescent="0.3">
      <c r="A57" s="3" t="s">
        <v>636</v>
      </c>
      <c r="B57" s="3" t="s">
        <v>630</v>
      </c>
      <c r="C57" s="3" t="s">
        <v>74</v>
      </c>
      <c r="D57" s="3" t="s">
        <v>553</v>
      </c>
      <c r="E57" s="3" t="s">
        <v>553</v>
      </c>
      <c r="F57" s="3" t="s">
        <v>561</v>
      </c>
      <c r="G57" s="3" t="s">
        <v>553</v>
      </c>
      <c r="H57" s="3" t="s">
        <v>553</v>
      </c>
      <c r="I57" s="3" t="s">
        <v>553</v>
      </c>
      <c r="J57" s="3" t="s">
        <v>74</v>
      </c>
      <c r="K57" s="3" t="s">
        <v>74</v>
      </c>
      <c r="L57" s="3" t="s">
        <v>74</v>
      </c>
      <c r="M57" s="3" t="s">
        <v>557</v>
      </c>
      <c r="N57" s="3" t="s">
        <v>74</v>
      </c>
      <c r="O57" s="3" t="s">
        <v>74</v>
      </c>
      <c r="P57" s="3" t="s">
        <v>558</v>
      </c>
      <c r="Q57" s="3"/>
    </row>
    <row r="58" spans="1:17" ht="15" customHeight="1" x14ac:dyDescent="0.3">
      <c r="A58" s="3" t="s">
        <v>637</v>
      </c>
      <c r="B58" s="3" t="s">
        <v>638</v>
      </c>
      <c r="C58" s="3" t="s">
        <v>74</v>
      </c>
      <c r="D58" s="3" t="s">
        <v>553</v>
      </c>
      <c r="E58" s="3" t="s">
        <v>553</v>
      </c>
      <c r="F58" s="3" t="s">
        <v>561</v>
      </c>
      <c r="G58" s="3" t="s">
        <v>553</v>
      </c>
      <c r="H58" s="3" t="s">
        <v>553</v>
      </c>
      <c r="I58" s="3" t="s">
        <v>553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 t="s">
        <v>74</v>
      </c>
      <c r="Q58" s="3"/>
    </row>
    <row r="59" spans="1:17" ht="15" customHeight="1" x14ac:dyDescent="0.3">
      <c r="A59" s="3" t="s">
        <v>639</v>
      </c>
      <c r="B59" s="3" t="s">
        <v>638</v>
      </c>
      <c r="C59" s="3" t="s">
        <v>74</v>
      </c>
      <c r="D59" s="3" t="s">
        <v>553</v>
      </c>
      <c r="E59" s="3" t="s">
        <v>553</v>
      </c>
      <c r="F59" s="3" t="s">
        <v>561</v>
      </c>
      <c r="G59" s="3" t="s">
        <v>553</v>
      </c>
      <c r="H59" s="3" t="s">
        <v>553</v>
      </c>
      <c r="I59" s="3" t="s">
        <v>553</v>
      </c>
      <c r="J59" s="3" t="s">
        <v>74</v>
      </c>
      <c r="K59" s="3" t="s">
        <v>74</v>
      </c>
      <c r="L59" s="3" t="s">
        <v>557</v>
      </c>
      <c r="M59" s="3" t="s">
        <v>557</v>
      </c>
      <c r="N59" s="3" t="s">
        <v>74</v>
      </c>
      <c r="O59" s="3" t="s">
        <v>557</v>
      </c>
      <c r="P59" s="3" t="s">
        <v>558</v>
      </c>
      <c r="Q59" s="3"/>
    </row>
    <row r="60" spans="1:17" ht="15" customHeight="1" x14ac:dyDescent="0.3">
      <c r="A60" s="3" t="s">
        <v>640</v>
      </c>
      <c r="B60" s="3" t="s">
        <v>638</v>
      </c>
      <c r="C60" s="3" t="s">
        <v>74</v>
      </c>
      <c r="D60" s="3" t="s">
        <v>553</v>
      </c>
      <c r="E60" s="3" t="s">
        <v>553</v>
      </c>
      <c r="F60" s="3" t="s">
        <v>561</v>
      </c>
      <c r="G60" s="3" t="s">
        <v>553</v>
      </c>
      <c r="H60" s="3" t="s">
        <v>74</v>
      </c>
      <c r="I60" s="3" t="s">
        <v>553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74</v>
      </c>
      <c r="Q60" s="3" t="s">
        <v>641</v>
      </c>
    </row>
    <row r="61" spans="1:17" ht="23.85" customHeight="1" x14ac:dyDescent="0.3">
      <c r="A61" s="3" t="s">
        <v>642</v>
      </c>
      <c r="B61" s="3" t="s">
        <v>643</v>
      </c>
      <c r="C61" s="3" t="s">
        <v>74</v>
      </c>
      <c r="D61" s="3" t="s">
        <v>74</v>
      </c>
      <c r="E61" s="3" t="s">
        <v>74</v>
      </c>
      <c r="F61" s="3" t="s">
        <v>74</v>
      </c>
      <c r="G61" s="3" t="s">
        <v>74</v>
      </c>
      <c r="H61" s="3" t="s">
        <v>553</v>
      </c>
      <c r="I61" s="3" t="s">
        <v>74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74</v>
      </c>
      <c r="Q61" s="3" t="s">
        <v>644</v>
      </c>
    </row>
    <row r="62" spans="1:17" ht="23.85" customHeight="1" x14ac:dyDescent="0.3">
      <c r="A62" s="3" t="s">
        <v>645</v>
      </c>
      <c r="B62" s="3" t="s">
        <v>643</v>
      </c>
      <c r="C62" s="3" t="s">
        <v>74</v>
      </c>
      <c r="D62" s="3" t="s">
        <v>74</v>
      </c>
      <c r="E62" s="3" t="s">
        <v>74</v>
      </c>
      <c r="F62" s="3" t="s">
        <v>74</v>
      </c>
      <c r="G62" s="3" t="s">
        <v>74</v>
      </c>
      <c r="H62" s="3" t="s">
        <v>553</v>
      </c>
      <c r="I62" s="3" t="s">
        <v>74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74</v>
      </c>
      <c r="Q62" s="3"/>
    </row>
    <row r="63" spans="1:17" ht="23.85" customHeight="1" x14ac:dyDescent="0.3">
      <c r="A63" s="3" t="s">
        <v>646</v>
      </c>
      <c r="B63" s="3" t="s">
        <v>643</v>
      </c>
      <c r="C63" s="3" t="s">
        <v>74</v>
      </c>
      <c r="D63" s="3" t="s">
        <v>74</v>
      </c>
      <c r="E63" s="3" t="s">
        <v>74</v>
      </c>
      <c r="F63" s="3" t="s">
        <v>74</v>
      </c>
      <c r="G63" s="3" t="s">
        <v>74</v>
      </c>
      <c r="H63" s="3" t="s">
        <v>553</v>
      </c>
      <c r="I63" s="3" t="s">
        <v>74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74</v>
      </c>
      <c r="Q63" s="3"/>
    </row>
    <row r="64" spans="1:17" ht="23.85" customHeight="1" x14ac:dyDescent="0.3">
      <c r="A64" s="3" t="s">
        <v>647</v>
      </c>
      <c r="B64" s="3" t="s">
        <v>643</v>
      </c>
      <c r="C64" s="3" t="s">
        <v>74</v>
      </c>
      <c r="D64" s="3" t="s">
        <v>74</v>
      </c>
      <c r="E64" s="3" t="s">
        <v>74</v>
      </c>
      <c r="F64" s="3" t="s">
        <v>74</v>
      </c>
      <c r="G64" s="3" t="s">
        <v>74</v>
      </c>
      <c r="H64" s="3" t="s">
        <v>553</v>
      </c>
      <c r="I64" s="3" t="s">
        <v>74</v>
      </c>
      <c r="J64" s="3" t="s">
        <v>74</v>
      </c>
      <c r="K64" s="3" t="s">
        <v>74</v>
      </c>
      <c r="L64" s="3" t="s">
        <v>74</v>
      </c>
      <c r="M64" s="3" t="s">
        <v>74</v>
      </c>
      <c r="N64" s="3" t="s">
        <v>74</v>
      </c>
      <c r="O64" s="3" t="s">
        <v>74</v>
      </c>
      <c r="P64" s="3" t="s">
        <v>74</v>
      </c>
      <c r="Q64" s="3"/>
    </row>
    <row r="65" spans="1:17" ht="23.85" customHeight="1" x14ac:dyDescent="0.3">
      <c r="A65" s="3" t="s">
        <v>648</v>
      </c>
      <c r="B65" s="3" t="s">
        <v>643</v>
      </c>
      <c r="C65" s="3" t="s">
        <v>74</v>
      </c>
      <c r="D65" s="3" t="s">
        <v>74</v>
      </c>
      <c r="E65" s="3" t="s">
        <v>74</v>
      </c>
      <c r="F65" s="3" t="s">
        <v>74</v>
      </c>
      <c r="G65" s="3" t="s">
        <v>74</v>
      </c>
      <c r="H65" s="3" t="s">
        <v>553</v>
      </c>
      <c r="I65" s="3" t="s">
        <v>74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74</v>
      </c>
      <c r="Q65" s="3"/>
    </row>
    <row r="66" spans="1:17" ht="23.85" customHeight="1" x14ac:dyDescent="0.3">
      <c r="A66" s="3" t="s">
        <v>649</v>
      </c>
      <c r="B66" s="3" t="s">
        <v>643</v>
      </c>
      <c r="C66" s="3" t="s">
        <v>74</v>
      </c>
      <c r="D66" s="3" t="s">
        <v>74</v>
      </c>
      <c r="E66" s="3" t="s">
        <v>74</v>
      </c>
      <c r="F66" s="3" t="s">
        <v>74</v>
      </c>
      <c r="G66" s="3" t="s">
        <v>74</v>
      </c>
      <c r="H66" s="3" t="s">
        <v>553</v>
      </c>
      <c r="I66" s="3" t="s">
        <v>74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74</v>
      </c>
      <c r="Q66" s="3"/>
    </row>
    <row r="67" spans="1:17" ht="23.85" customHeight="1" x14ac:dyDescent="0.3">
      <c r="A67" s="3" t="s">
        <v>650</v>
      </c>
      <c r="B67" s="3" t="s">
        <v>643</v>
      </c>
      <c r="C67" s="3" t="s">
        <v>74</v>
      </c>
      <c r="D67" s="3" t="s">
        <v>74</v>
      </c>
      <c r="E67" s="3" t="s">
        <v>74</v>
      </c>
      <c r="F67" s="3" t="s">
        <v>74</v>
      </c>
      <c r="G67" s="3" t="s">
        <v>74</v>
      </c>
      <c r="H67" s="3" t="s">
        <v>553</v>
      </c>
      <c r="I67" s="3" t="s">
        <v>74</v>
      </c>
      <c r="J67" s="3" t="s">
        <v>74</v>
      </c>
      <c r="K67" s="3" t="s">
        <v>74</v>
      </c>
      <c r="L67" s="3" t="s">
        <v>74</v>
      </c>
      <c r="M67" s="3" t="s">
        <v>74</v>
      </c>
      <c r="N67" s="3" t="s">
        <v>74</v>
      </c>
      <c r="O67" s="3" t="s">
        <v>74</v>
      </c>
      <c r="P67" s="3" t="s">
        <v>74</v>
      </c>
      <c r="Q67" s="3"/>
    </row>
    <row r="68" spans="1:17" ht="23.85" customHeight="1" x14ac:dyDescent="0.3">
      <c r="A68" s="3" t="s">
        <v>651</v>
      </c>
      <c r="B68" s="3" t="s">
        <v>643</v>
      </c>
      <c r="C68" s="3" t="s">
        <v>74</v>
      </c>
      <c r="D68" s="3" t="s">
        <v>74</v>
      </c>
      <c r="E68" s="3" t="s">
        <v>74</v>
      </c>
      <c r="F68" s="3" t="s">
        <v>74</v>
      </c>
      <c r="G68" s="3" t="s">
        <v>74</v>
      </c>
      <c r="H68" s="3" t="s">
        <v>553</v>
      </c>
      <c r="I68" s="3" t="s">
        <v>74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74</v>
      </c>
      <c r="Q68" s="3"/>
    </row>
    <row r="69" spans="1:17" ht="15" customHeight="1" x14ac:dyDescent="0.3">
      <c r="A69" s="3" t="s">
        <v>693</v>
      </c>
      <c r="B69" s="3" t="s">
        <v>653</v>
      </c>
      <c r="C69" s="3" t="s">
        <v>74</v>
      </c>
      <c r="D69" s="3" t="s">
        <v>74</v>
      </c>
      <c r="E69" s="3" t="s">
        <v>74</v>
      </c>
      <c r="F69" s="3" t="s">
        <v>74</v>
      </c>
      <c r="G69" s="3" t="s">
        <v>74</v>
      </c>
      <c r="H69" s="3" t="s">
        <v>74</v>
      </c>
      <c r="I69" s="3" t="s">
        <v>553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74</v>
      </c>
      <c r="Q69" s="3"/>
    </row>
    <row r="70" spans="1:17" ht="15" customHeight="1" x14ac:dyDescent="0.3">
      <c r="A70" s="3" t="s">
        <v>694</v>
      </c>
      <c r="B70" s="3" t="s">
        <v>653</v>
      </c>
      <c r="C70" s="3" t="s">
        <v>74</v>
      </c>
      <c r="D70" s="3" t="s">
        <v>74</v>
      </c>
      <c r="E70" s="3" t="s">
        <v>74</v>
      </c>
      <c r="F70" s="3" t="s">
        <v>74</v>
      </c>
      <c r="G70" s="3" t="s">
        <v>74</v>
      </c>
      <c r="H70" s="3" t="s">
        <v>74</v>
      </c>
      <c r="I70" s="3" t="s">
        <v>553</v>
      </c>
      <c r="J70" s="3" t="s">
        <v>74</v>
      </c>
      <c r="K70" s="3" t="s">
        <v>74</v>
      </c>
      <c r="L70" s="3" t="s">
        <v>74</v>
      </c>
      <c r="M70" s="3" t="s">
        <v>74</v>
      </c>
      <c r="N70" s="3" t="s">
        <v>74</v>
      </c>
      <c r="O70" s="3" t="s">
        <v>74</v>
      </c>
      <c r="P70" s="3" t="s">
        <v>74</v>
      </c>
      <c r="Q70" s="3"/>
    </row>
    <row r="71" spans="1:17" ht="15" customHeight="1" x14ac:dyDescent="0.3">
      <c r="A71" s="3" t="s">
        <v>706</v>
      </c>
      <c r="B71" s="3" t="s">
        <v>653</v>
      </c>
      <c r="C71" s="3" t="s">
        <v>74</v>
      </c>
      <c r="D71" s="3" t="s">
        <v>74</v>
      </c>
      <c r="E71" s="3" t="s">
        <v>74</v>
      </c>
      <c r="F71" s="3" t="s">
        <v>74</v>
      </c>
      <c r="G71" s="3" t="s">
        <v>74</v>
      </c>
      <c r="H71" s="3" t="s">
        <v>74</v>
      </c>
      <c r="I71" s="3" t="s">
        <v>553</v>
      </c>
      <c r="J71" s="3" t="s">
        <v>74</v>
      </c>
      <c r="K71" s="3" t="s">
        <v>74</v>
      </c>
      <c r="L71" s="3" t="s">
        <v>74</v>
      </c>
      <c r="M71" s="3" t="s">
        <v>74</v>
      </c>
      <c r="N71" s="3" t="s">
        <v>74</v>
      </c>
      <c r="O71" s="3" t="s">
        <v>74</v>
      </c>
      <c r="P71" s="3" t="s">
        <v>74</v>
      </c>
      <c r="Q71" s="3"/>
    </row>
    <row r="72" spans="1:17" ht="15" customHeight="1" x14ac:dyDescent="0.3">
      <c r="A72" s="3" t="s">
        <v>707</v>
      </c>
      <c r="B72" s="3" t="s">
        <v>653</v>
      </c>
      <c r="C72" s="3" t="s">
        <v>74</v>
      </c>
      <c r="D72" s="3" t="s">
        <v>74</v>
      </c>
      <c r="E72" s="3" t="s">
        <v>74</v>
      </c>
      <c r="F72" s="3" t="s">
        <v>74</v>
      </c>
      <c r="G72" s="3" t="s">
        <v>74</v>
      </c>
      <c r="H72" s="3" t="s">
        <v>74</v>
      </c>
      <c r="I72" s="3" t="s">
        <v>553</v>
      </c>
      <c r="J72" s="3" t="s">
        <v>74</v>
      </c>
      <c r="K72" s="3" t="s">
        <v>74</v>
      </c>
      <c r="L72" s="3" t="s">
        <v>74</v>
      </c>
      <c r="M72" s="3" t="s">
        <v>74</v>
      </c>
      <c r="N72" s="3" t="s">
        <v>74</v>
      </c>
      <c r="O72" s="3" t="s">
        <v>74</v>
      </c>
      <c r="P72" s="3" t="s">
        <v>74</v>
      </c>
      <c r="Q72" s="3"/>
    </row>
    <row r="73" spans="1:17" ht="15" customHeight="1" x14ac:dyDescent="0.3">
      <c r="A73" s="3" t="s">
        <v>657</v>
      </c>
      <c r="B73" s="3" t="s">
        <v>653</v>
      </c>
      <c r="C73" s="3" t="s">
        <v>74</v>
      </c>
      <c r="D73" s="3" t="s">
        <v>74</v>
      </c>
      <c r="E73" s="3" t="s">
        <v>74</v>
      </c>
      <c r="F73" s="3" t="s">
        <v>74</v>
      </c>
      <c r="G73" s="3" t="s">
        <v>74</v>
      </c>
      <c r="H73" s="3" t="s">
        <v>74</v>
      </c>
      <c r="I73" s="3" t="s">
        <v>553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74</v>
      </c>
      <c r="Q73" s="3" t="s">
        <v>658</v>
      </c>
    </row>
    <row r="74" spans="1:17" ht="23.85" customHeight="1" x14ac:dyDescent="0.3">
      <c r="A74" s="3" t="s">
        <v>659</v>
      </c>
      <c r="B74" s="3" t="s">
        <v>660</v>
      </c>
      <c r="C74" s="3" t="s">
        <v>74</v>
      </c>
      <c r="D74" s="3" t="s">
        <v>74</v>
      </c>
      <c r="E74" s="3" t="s">
        <v>74</v>
      </c>
      <c r="F74" s="3" t="s">
        <v>74</v>
      </c>
      <c r="G74" s="3" t="s">
        <v>74</v>
      </c>
      <c r="H74" s="3" t="s">
        <v>74</v>
      </c>
      <c r="I74" s="3" t="s">
        <v>553</v>
      </c>
      <c r="J74" s="3" t="s">
        <v>698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74</v>
      </c>
      <c r="Q74" s="3"/>
    </row>
    <row r="75" spans="1:17" ht="15" customHeight="1" x14ac:dyDescent="0.3">
      <c r="A75" s="3" t="s">
        <v>661</v>
      </c>
      <c r="B75" s="3" t="s">
        <v>660</v>
      </c>
      <c r="C75" s="3" t="s">
        <v>74</v>
      </c>
      <c r="D75" s="3" t="s">
        <v>74</v>
      </c>
      <c r="E75" s="3" t="s">
        <v>74</v>
      </c>
      <c r="F75" s="3" t="s">
        <v>74</v>
      </c>
      <c r="G75" s="3" t="s">
        <v>74</v>
      </c>
      <c r="H75" s="3" t="s">
        <v>74</v>
      </c>
      <c r="I75" s="3" t="s">
        <v>553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74</v>
      </c>
      <c r="Q75" s="3"/>
    </row>
    <row r="76" spans="1:17" ht="15" customHeight="1" x14ac:dyDescent="0.3">
      <c r="A76" s="3" t="s">
        <v>662</v>
      </c>
      <c r="B76" s="3" t="s">
        <v>660</v>
      </c>
      <c r="C76" s="3" t="s">
        <v>74</v>
      </c>
      <c r="D76" s="3" t="s">
        <v>74</v>
      </c>
      <c r="E76" s="3" t="s">
        <v>74</v>
      </c>
      <c r="F76" s="3" t="s">
        <v>74</v>
      </c>
      <c r="G76" s="3" t="s">
        <v>74</v>
      </c>
      <c r="H76" s="3" t="s">
        <v>74</v>
      </c>
      <c r="I76" s="3" t="s">
        <v>553</v>
      </c>
      <c r="J76" s="3" t="s">
        <v>74</v>
      </c>
      <c r="K76" s="3" t="s">
        <v>74</v>
      </c>
      <c r="L76" s="3" t="s">
        <v>74</v>
      </c>
      <c r="M76" s="3" t="s">
        <v>74</v>
      </c>
      <c r="N76" s="3" t="s">
        <v>74</v>
      </c>
      <c r="O76" s="3" t="s">
        <v>74</v>
      </c>
      <c r="P76" s="3" t="s">
        <v>74</v>
      </c>
      <c r="Q76" s="3"/>
    </row>
    <row r="77" spans="1:17" ht="15" customHeight="1" x14ac:dyDescent="0.3">
      <c r="A77" s="3" t="s">
        <v>663</v>
      </c>
      <c r="B77" s="3" t="s">
        <v>660</v>
      </c>
      <c r="C77" s="3" t="s">
        <v>74</v>
      </c>
      <c r="D77" s="3" t="s">
        <v>74</v>
      </c>
      <c r="E77" s="3" t="s">
        <v>74</v>
      </c>
      <c r="F77" s="3" t="s">
        <v>74</v>
      </c>
      <c r="G77" s="3" t="s">
        <v>74</v>
      </c>
      <c r="H77" s="3" t="s">
        <v>74</v>
      </c>
      <c r="I77" s="3" t="s">
        <v>553</v>
      </c>
      <c r="J77" s="3" t="s">
        <v>74</v>
      </c>
      <c r="K77" s="3" t="s">
        <v>74</v>
      </c>
      <c r="L77" s="3" t="s">
        <v>74</v>
      </c>
      <c r="M77" s="3" t="s">
        <v>74</v>
      </c>
      <c r="N77" s="3" t="s">
        <v>74</v>
      </c>
      <c r="O77" s="3" t="s">
        <v>74</v>
      </c>
      <c r="P77" s="3" t="s">
        <v>74</v>
      </c>
      <c r="Q77" s="3"/>
    </row>
    <row r="78" spans="1:17" ht="23.85" customHeight="1" x14ac:dyDescent="0.3">
      <c r="A78" s="3" t="s">
        <v>664</v>
      </c>
      <c r="B78" s="3" t="s">
        <v>660</v>
      </c>
      <c r="C78" s="3" t="s">
        <v>74</v>
      </c>
      <c r="D78" s="3" t="s">
        <v>74</v>
      </c>
      <c r="E78" s="3" t="s">
        <v>74</v>
      </c>
      <c r="F78" s="3" t="s">
        <v>74</v>
      </c>
      <c r="G78" s="3" t="s">
        <v>74</v>
      </c>
      <c r="H78" s="3" t="s">
        <v>74</v>
      </c>
      <c r="I78" s="3" t="s">
        <v>553</v>
      </c>
      <c r="J78" s="3" t="s">
        <v>698</v>
      </c>
      <c r="K78" s="3" t="s">
        <v>74</v>
      </c>
      <c r="L78" s="3" t="s">
        <v>74</v>
      </c>
      <c r="M78" s="3" t="s">
        <v>74</v>
      </c>
      <c r="N78" s="3" t="s">
        <v>74</v>
      </c>
      <c r="O78" s="3" t="s">
        <v>74</v>
      </c>
      <c r="P78" s="3" t="s">
        <v>74</v>
      </c>
      <c r="Q78" s="3"/>
    </row>
    <row r="79" spans="1:17" ht="15" customHeight="1" x14ac:dyDescent="0.3">
      <c r="A79" s="3" t="s">
        <v>665</v>
      </c>
      <c r="B79" s="3" t="s">
        <v>660</v>
      </c>
      <c r="C79" s="3" t="s">
        <v>74</v>
      </c>
      <c r="D79" s="3" t="s">
        <v>74</v>
      </c>
      <c r="E79" s="3" t="s">
        <v>74</v>
      </c>
      <c r="F79" s="3" t="s">
        <v>74</v>
      </c>
      <c r="G79" s="3" t="s">
        <v>74</v>
      </c>
      <c r="H79" s="3" t="s">
        <v>74</v>
      </c>
      <c r="I79" s="3" t="s">
        <v>553</v>
      </c>
      <c r="J79" s="3" t="s">
        <v>555</v>
      </c>
      <c r="K79" s="3" t="s">
        <v>74</v>
      </c>
      <c r="L79" s="3" t="s">
        <v>74</v>
      </c>
      <c r="M79" s="3" t="s">
        <v>74</v>
      </c>
      <c r="N79" s="3" t="s">
        <v>74</v>
      </c>
      <c r="O79" s="3" t="s">
        <v>74</v>
      </c>
      <c r="P79" s="3" t="s">
        <v>74</v>
      </c>
      <c r="Q79" s="3"/>
    </row>
    <row r="80" spans="1:17" ht="23.85" customHeight="1" x14ac:dyDescent="0.3">
      <c r="A80" s="3" t="s">
        <v>666</v>
      </c>
      <c r="B80" s="3" t="s">
        <v>660</v>
      </c>
      <c r="C80" s="3" t="s">
        <v>74</v>
      </c>
      <c r="D80" s="3" t="s">
        <v>74</v>
      </c>
      <c r="E80" s="3" t="s">
        <v>74</v>
      </c>
      <c r="F80" s="3" t="s">
        <v>74</v>
      </c>
      <c r="G80" s="3" t="s">
        <v>74</v>
      </c>
      <c r="H80" s="3" t="s">
        <v>74</v>
      </c>
      <c r="I80" s="3" t="s">
        <v>553</v>
      </c>
      <c r="J80" s="3" t="s">
        <v>698</v>
      </c>
      <c r="K80" s="3" t="s">
        <v>74</v>
      </c>
      <c r="L80" s="3" t="s">
        <v>74</v>
      </c>
      <c r="M80" s="3" t="s">
        <v>74</v>
      </c>
      <c r="N80" s="3" t="s">
        <v>74</v>
      </c>
      <c r="O80" s="3" t="s">
        <v>74</v>
      </c>
      <c r="P80" s="3" t="s">
        <v>74</v>
      </c>
      <c r="Q80" s="3"/>
    </row>
    <row r="81" spans="1:17" ht="15" customHeight="1" x14ac:dyDescent="0.3">
      <c r="A81" s="3" t="s">
        <v>667</v>
      </c>
      <c r="B81" s="3" t="s">
        <v>660</v>
      </c>
      <c r="C81" s="3" t="s">
        <v>74</v>
      </c>
      <c r="D81" s="3" t="s">
        <v>74</v>
      </c>
      <c r="E81" s="3" t="s">
        <v>74</v>
      </c>
      <c r="F81" s="3" t="s">
        <v>74</v>
      </c>
      <c r="G81" s="3" t="s">
        <v>74</v>
      </c>
      <c r="H81" s="3" t="s">
        <v>74</v>
      </c>
      <c r="I81" s="3" t="s">
        <v>553</v>
      </c>
      <c r="J81" s="3" t="s">
        <v>74</v>
      </c>
      <c r="K81" s="3" t="s">
        <v>74</v>
      </c>
      <c r="L81" s="3" t="s">
        <v>74</v>
      </c>
      <c r="M81" s="3" t="s">
        <v>74</v>
      </c>
      <c r="N81" s="3" t="s">
        <v>74</v>
      </c>
      <c r="O81" s="3" t="s">
        <v>74</v>
      </c>
      <c r="P81" s="3" t="s">
        <v>74</v>
      </c>
      <c r="Q81" s="3"/>
    </row>
    <row r="82" spans="1:17" ht="15" customHeight="1" x14ac:dyDescent="0.3">
      <c r="A82" s="3" t="s">
        <v>668</v>
      </c>
      <c r="B82" s="3" t="s">
        <v>660</v>
      </c>
      <c r="C82" s="3" t="s">
        <v>74</v>
      </c>
      <c r="D82" s="3" t="s">
        <v>74</v>
      </c>
      <c r="E82" s="3" t="s">
        <v>74</v>
      </c>
      <c r="F82" s="3" t="s">
        <v>74</v>
      </c>
      <c r="G82" s="3" t="s">
        <v>74</v>
      </c>
      <c r="H82" s="3" t="s">
        <v>74</v>
      </c>
      <c r="I82" s="3" t="s">
        <v>553</v>
      </c>
      <c r="J82" s="3" t="s">
        <v>74</v>
      </c>
      <c r="K82" s="3" t="s">
        <v>74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74</v>
      </c>
      <c r="Q82" s="3"/>
    </row>
    <row r="83" spans="1:17" ht="15" customHeight="1" x14ac:dyDescent="0.3">
      <c r="A83" s="3" t="s">
        <v>669</v>
      </c>
      <c r="B83" s="3" t="s">
        <v>670</v>
      </c>
      <c r="C83" s="3" t="s">
        <v>74</v>
      </c>
      <c r="D83" s="3" t="s">
        <v>74</v>
      </c>
      <c r="E83" s="3" t="s">
        <v>74</v>
      </c>
      <c r="F83" s="3" t="s">
        <v>74</v>
      </c>
      <c r="G83" s="3" t="s">
        <v>74</v>
      </c>
      <c r="H83" s="3" t="s">
        <v>74</v>
      </c>
      <c r="I83" s="3" t="s">
        <v>74</v>
      </c>
      <c r="J83" s="3" t="s">
        <v>74</v>
      </c>
      <c r="K83" s="3" t="s">
        <v>74</v>
      </c>
      <c r="L83" s="3" t="s">
        <v>557</v>
      </c>
      <c r="M83" s="3" t="s">
        <v>557</v>
      </c>
      <c r="N83" s="3" t="s">
        <v>557</v>
      </c>
      <c r="O83" s="3" t="s">
        <v>557</v>
      </c>
      <c r="P83" s="3" t="s">
        <v>558</v>
      </c>
      <c r="Q83" s="3"/>
    </row>
    <row r="84" spans="1:17" ht="23.85" customHeight="1" x14ac:dyDescent="0.3">
      <c r="A84" s="3" t="s">
        <v>671</v>
      </c>
      <c r="B84" s="3" t="s">
        <v>670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 t="s">
        <v>74</v>
      </c>
      <c r="K84" s="3" t="s">
        <v>74</v>
      </c>
      <c r="L84" s="3" t="s">
        <v>557</v>
      </c>
      <c r="M84" s="3" t="s">
        <v>557</v>
      </c>
      <c r="N84" s="3" t="s">
        <v>557</v>
      </c>
      <c r="O84" s="3" t="s">
        <v>74</v>
      </c>
      <c r="P84" s="3" t="s">
        <v>558</v>
      </c>
      <c r="Q84" s="3"/>
    </row>
    <row r="86" spans="1:17" ht="15" customHeight="1" x14ac:dyDescent="0.3">
      <c r="A86" s="9" t="s">
        <v>672</v>
      </c>
      <c r="C86" s="9">
        <f t="shared" ref="C86:P86" si="0">COUNTA(C2:C84)-COUNTIF(C2:C84,"-")</f>
        <v>19</v>
      </c>
      <c r="D86" s="9">
        <f t="shared" si="0"/>
        <v>59</v>
      </c>
      <c r="E86" s="9">
        <f t="shared" si="0"/>
        <v>59</v>
      </c>
      <c r="F86" s="9">
        <f t="shared" si="0"/>
        <v>59</v>
      </c>
      <c r="G86" s="9">
        <f t="shared" si="0"/>
        <v>59</v>
      </c>
      <c r="H86" s="9">
        <f t="shared" si="0"/>
        <v>62</v>
      </c>
      <c r="I86" s="9">
        <f t="shared" si="0"/>
        <v>65</v>
      </c>
      <c r="J86" s="9">
        <f t="shared" si="0"/>
        <v>24</v>
      </c>
      <c r="K86" s="9">
        <f t="shared" si="0"/>
        <v>5</v>
      </c>
      <c r="L86" s="9">
        <f t="shared" si="0"/>
        <v>27</v>
      </c>
      <c r="M86" s="9">
        <f t="shared" si="0"/>
        <v>22</v>
      </c>
      <c r="N86" s="9">
        <f t="shared" si="0"/>
        <v>24</v>
      </c>
      <c r="O86" s="9">
        <f t="shared" si="0"/>
        <v>16</v>
      </c>
      <c r="P86" s="9">
        <f t="shared" si="0"/>
        <v>37</v>
      </c>
    </row>
    <row r="87" spans="1:17" ht="15" customHeight="1" x14ac:dyDescent="0.3">
      <c r="A87" s="10" t="s">
        <v>673</v>
      </c>
    </row>
  </sheetData>
  <autoFilter ref="A1:Q84" xr:uid="{00000000-0009-0000-0000-000007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1" width="14" customWidth="1"/>
    <col min="2" max="2" width="11" customWidth="1"/>
    <col min="3" max="3" width="70" customWidth="1"/>
    <col min="4" max="4" width="26" customWidth="1"/>
    <col min="5" max="5" width="22" customWidth="1"/>
    <col min="6" max="6" width="50" customWidth="1"/>
  </cols>
  <sheetData>
    <row r="1" spans="1:6" ht="30" customHeight="1" x14ac:dyDescent="0.3">
      <c r="A1" s="4" t="s">
        <v>392</v>
      </c>
      <c r="B1" s="4" t="s">
        <v>476</v>
      </c>
      <c r="C1" s="4" t="s">
        <v>708</v>
      </c>
      <c r="D1" s="4" t="s">
        <v>560</v>
      </c>
      <c r="E1" s="4" t="s">
        <v>709</v>
      </c>
      <c r="F1" s="4" t="s">
        <v>710</v>
      </c>
    </row>
    <row r="2" spans="1:6" ht="15" customHeight="1" x14ac:dyDescent="0.3">
      <c r="A2" s="3" t="s">
        <v>21</v>
      </c>
      <c r="B2" s="3" t="s">
        <v>711</v>
      </c>
      <c r="C2" s="3" t="s">
        <v>712</v>
      </c>
      <c r="D2" s="3" t="s">
        <v>713</v>
      </c>
      <c r="E2" s="3" t="s">
        <v>156</v>
      </c>
      <c r="F2" s="3" t="s">
        <v>714</v>
      </c>
    </row>
    <row r="3" spans="1:6" ht="15" customHeight="1" x14ac:dyDescent="0.3">
      <c r="A3" s="3" t="s">
        <v>22</v>
      </c>
      <c r="B3" s="3" t="s">
        <v>711</v>
      </c>
      <c r="C3" s="3" t="s">
        <v>715</v>
      </c>
      <c r="D3" s="3" t="s">
        <v>716</v>
      </c>
      <c r="E3" s="3" t="s">
        <v>156</v>
      </c>
      <c r="F3" s="3" t="s">
        <v>717</v>
      </c>
    </row>
    <row r="4" spans="1:6" ht="15" customHeight="1" x14ac:dyDescent="0.3">
      <c r="A4" s="3" t="s">
        <v>23</v>
      </c>
      <c r="B4" s="3" t="s">
        <v>711</v>
      </c>
      <c r="C4" s="3" t="s">
        <v>109</v>
      </c>
      <c r="D4" s="3" t="s">
        <v>718</v>
      </c>
      <c r="E4" s="3" t="s">
        <v>156</v>
      </c>
      <c r="F4" s="3" t="s">
        <v>717</v>
      </c>
    </row>
    <row r="5" spans="1:6" ht="15" customHeight="1" x14ac:dyDescent="0.3">
      <c r="A5" s="3" t="s">
        <v>24</v>
      </c>
      <c r="B5" s="3" t="s">
        <v>711</v>
      </c>
      <c r="C5" s="3" t="s">
        <v>719</v>
      </c>
      <c r="D5" s="3" t="s">
        <v>716</v>
      </c>
      <c r="E5" s="3" t="s">
        <v>156</v>
      </c>
      <c r="F5" s="3" t="s">
        <v>717</v>
      </c>
    </row>
    <row r="6" spans="1:6" ht="15" customHeight="1" x14ac:dyDescent="0.3">
      <c r="A6" s="3" t="s">
        <v>25</v>
      </c>
      <c r="B6" s="3" t="s">
        <v>711</v>
      </c>
      <c r="C6" s="3" t="s">
        <v>715</v>
      </c>
      <c r="D6" s="3" t="s">
        <v>720</v>
      </c>
      <c r="E6" s="3" t="s">
        <v>721</v>
      </c>
      <c r="F6" s="3" t="s">
        <v>722</v>
      </c>
    </row>
    <row r="7" spans="1:6" ht="23.85" customHeight="1" x14ac:dyDescent="0.3">
      <c r="A7" s="3" t="s">
        <v>26</v>
      </c>
      <c r="B7" s="3" t="s">
        <v>480</v>
      </c>
      <c r="C7" s="3" t="s">
        <v>723</v>
      </c>
      <c r="D7" s="3" t="s">
        <v>724</v>
      </c>
      <c r="E7" s="3" t="s">
        <v>725</v>
      </c>
      <c r="F7" s="3" t="s">
        <v>726</v>
      </c>
    </row>
    <row r="8" spans="1:6" ht="15" customHeight="1" x14ac:dyDescent="0.3">
      <c r="A8" s="3" t="s">
        <v>26</v>
      </c>
      <c r="B8" s="3" t="s">
        <v>506</v>
      </c>
      <c r="C8" s="3" t="s">
        <v>727</v>
      </c>
      <c r="D8" s="3" t="s">
        <v>728</v>
      </c>
      <c r="E8" s="3" t="s">
        <v>725</v>
      </c>
      <c r="F8" s="3" t="s">
        <v>729</v>
      </c>
    </row>
    <row r="9" spans="1:6" ht="15" customHeight="1" x14ac:dyDescent="0.3">
      <c r="A9" s="3" t="s">
        <v>26</v>
      </c>
      <c r="B9" s="3" t="s">
        <v>528</v>
      </c>
      <c r="C9" s="3" t="s">
        <v>730</v>
      </c>
      <c r="D9" s="3" t="s">
        <v>728</v>
      </c>
      <c r="E9" s="3" t="s">
        <v>725</v>
      </c>
      <c r="F9" s="3" t="s">
        <v>717</v>
      </c>
    </row>
    <row r="10" spans="1:6" ht="15" customHeight="1" x14ac:dyDescent="0.3">
      <c r="A10" s="3" t="s">
        <v>27</v>
      </c>
      <c r="B10" s="3" t="s">
        <v>480</v>
      </c>
      <c r="C10" s="3" t="s">
        <v>731</v>
      </c>
      <c r="D10" s="3" t="s">
        <v>732</v>
      </c>
      <c r="E10" s="3" t="s">
        <v>156</v>
      </c>
      <c r="F10" s="3" t="s">
        <v>733</v>
      </c>
    </row>
    <row r="11" spans="1:6" ht="23.85" customHeight="1" x14ac:dyDescent="0.3">
      <c r="A11" s="3" t="s">
        <v>27</v>
      </c>
      <c r="B11" s="3" t="s">
        <v>506</v>
      </c>
      <c r="C11" s="3" t="s">
        <v>734</v>
      </c>
      <c r="D11" s="3" t="s">
        <v>732</v>
      </c>
      <c r="E11" s="3" t="s">
        <v>156</v>
      </c>
      <c r="F11" s="3" t="s">
        <v>735</v>
      </c>
    </row>
    <row r="12" spans="1:6" ht="23.85" customHeight="1" x14ac:dyDescent="0.3">
      <c r="A12" s="3" t="s">
        <v>27</v>
      </c>
      <c r="B12" s="3" t="s">
        <v>528</v>
      </c>
      <c r="C12" s="3" t="s">
        <v>736</v>
      </c>
      <c r="D12" s="3" t="s">
        <v>732</v>
      </c>
      <c r="E12" s="3" t="s">
        <v>156</v>
      </c>
      <c r="F12" s="3" t="s">
        <v>737</v>
      </c>
    </row>
    <row r="13" spans="1:6" ht="15" customHeight="1" x14ac:dyDescent="0.3">
      <c r="A13" s="3" t="s">
        <v>28</v>
      </c>
      <c r="B13" s="3" t="s">
        <v>711</v>
      </c>
      <c r="C13" s="3" t="s">
        <v>738</v>
      </c>
      <c r="D13" s="3" t="s">
        <v>739</v>
      </c>
      <c r="E13" s="3" t="s">
        <v>725</v>
      </c>
      <c r="F13" s="3" t="s">
        <v>740</v>
      </c>
    </row>
    <row r="14" spans="1:6" ht="23.85" customHeight="1" x14ac:dyDescent="0.3">
      <c r="A14" s="3" t="s">
        <v>29</v>
      </c>
      <c r="B14" s="3" t="s">
        <v>711</v>
      </c>
      <c r="C14" s="3" t="s">
        <v>741</v>
      </c>
      <c r="D14" s="3" t="s">
        <v>742</v>
      </c>
      <c r="E14" s="3" t="s">
        <v>156</v>
      </c>
      <c r="F14" s="3" t="s">
        <v>743</v>
      </c>
    </row>
    <row r="15" spans="1:6" ht="23.85" customHeight="1" x14ac:dyDescent="0.3">
      <c r="A15" s="3" t="s">
        <v>30</v>
      </c>
      <c r="B15" s="3" t="s">
        <v>711</v>
      </c>
      <c r="C15" s="3" t="s">
        <v>174</v>
      </c>
      <c r="D15" s="3" t="s">
        <v>174</v>
      </c>
      <c r="E15" s="3" t="s">
        <v>725</v>
      </c>
      <c r="F15" s="3" t="s">
        <v>740</v>
      </c>
    </row>
    <row r="16" spans="1:6" ht="23.85" customHeight="1" x14ac:dyDescent="0.3">
      <c r="A16" s="3" t="s">
        <v>31</v>
      </c>
      <c r="B16" s="3" t="s">
        <v>711</v>
      </c>
      <c r="C16" s="3" t="s">
        <v>744</v>
      </c>
      <c r="D16" s="3" t="s">
        <v>174</v>
      </c>
      <c r="E16" s="3" t="s">
        <v>252</v>
      </c>
      <c r="F16" s="3" t="s">
        <v>745</v>
      </c>
    </row>
    <row r="17" spans="1:6" ht="23.85" customHeight="1" x14ac:dyDescent="0.3">
      <c r="A17" s="3" t="s">
        <v>746</v>
      </c>
      <c r="B17" s="3" t="s">
        <v>711</v>
      </c>
      <c r="C17" s="6" t="s">
        <v>747</v>
      </c>
      <c r="D17" s="6" t="s">
        <v>748</v>
      </c>
      <c r="E17" s="6" t="s">
        <v>749</v>
      </c>
      <c r="F17" s="6" t="s">
        <v>750</v>
      </c>
    </row>
  </sheetData>
  <autoFilter ref="A1:F17" xr:uid="{00000000-0009-0000-0000-000008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1" width="7" customWidth="1"/>
    <col min="2" max="3" width="24" customWidth="1"/>
    <col min="4" max="4" width="15" customWidth="1"/>
    <col min="5" max="5" width="9" customWidth="1"/>
    <col min="6" max="6" width="60" customWidth="1"/>
    <col min="7" max="7" width="44" customWidth="1"/>
    <col min="8" max="8" width="48" customWidth="1"/>
    <col min="9" max="9" width="12" customWidth="1"/>
  </cols>
  <sheetData>
    <row r="1" spans="1:9" ht="30" customHeight="1" x14ac:dyDescent="0.3">
      <c r="A1" s="4" t="s">
        <v>751</v>
      </c>
      <c r="B1" s="4" t="s">
        <v>752</v>
      </c>
      <c r="C1" s="4" t="s">
        <v>753</v>
      </c>
      <c r="D1" s="4" t="s">
        <v>754</v>
      </c>
      <c r="E1" s="4" t="s">
        <v>755</v>
      </c>
      <c r="F1" s="4" t="s">
        <v>756</v>
      </c>
      <c r="G1" s="4" t="s">
        <v>757</v>
      </c>
      <c r="H1" s="4" t="s">
        <v>758</v>
      </c>
      <c r="I1" s="4" t="s">
        <v>759</v>
      </c>
    </row>
    <row r="2" spans="1:9" ht="79.95" customHeight="1" x14ac:dyDescent="0.3">
      <c r="A2" s="3" t="s">
        <v>760</v>
      </c>
      <c r="B2" s="3" t="s">
        <v>761</v>
      </c>
      <c r="C2" s="3" t="s">
        <v>762</v>
      </c>
      <c r="D2" s="3" t="s">
        <v>763</v>
      </c>
      <c r="E2" s="3" t="s">
        <v>764</v>
      </c>
      <c r="F2" s="3" t="s">
        <v>765</v>
      </c>
      <c r="G2" s="3" t="s">
        <v>766</v>
      </c>
      <c r="H2" s="3" t="s">
        <v>767</v>
      </c>
      <c r="I2" s="6" t="s">
        <v>768</v>
      </c>
    </row>
    <row r="3" spans="1:9" ht="79.95" customHeight="1" x14ac:dyDescent="0.3">
      <c r="A3" s="3" t="s">
        <v>769</v>
      </c>
      <c r="B3" s="3" t="s">
        <v>761</v>
      </c>
      <c r="C3" s="3" t="s">
        <v>770</v>
      </c>
      <c r="D3" s="3" t="s">
        <v>771</v>
      </c>
      <c r="E3" s="3" t="s">
        <v>764</v>
      </c>
      <c r="F3" s="3" t="s">
        <v>772</v>
      </c>
      <c r="G3" s="3" t="s">
        <v>773</v>
      </c>
      <c r="H3" s="3" t="s">
        <v>774</v>
      </c>
      <c r="I3" s="6" t="s">
        <v>775</v>
      </c>
    </row>
    <row r="4" spans="1:9" ht="23.85" customHeight="1" x14ac:dyDescent="0.3">
      <c r="A4" s="3" t="s">
        <v>776</v>
      </c>
      <c r="B4" s="3" t="s">
        <v>777</v>
      </c>
      <c r="C4" s="3" t="s">
        <v>778</v>
      </c>
      <c r="D4" s="3" t="s">
        <v>779</v>
      </c>
      <c r="E4" s="3" t="s">
        <v>780</v>
      </c>
      <c r="F4" s="3" t="s">
        <v>781</v>
      </c>
      <c r="G4" s="3" t="s">
        <v>782</v>
      </c>
      <c r="H4" s="3" t="s">
        <v>783</v>
      </c>
      <c r="I4" s="6" t="s">
        <v>784</v>
      </c>
    </row>
    <row r="5" spans="1:9" ht="23.85" customHeight="1" x14ac:dyDescent="0.3">
      <c r="A5" s="3" t="s">
        <v>785</v>
      </c>
      <c r="B5" s="3" t="s">
        <v>786</v>
      </c>
      <c r="C5" s="3" t="s">
        <v>787</v>
      </c>
      <c r="D5" s="3" t="s">
        <v>788</v>
      </c>
      <c r="E5" s="3" t="s">
        <v>780</v>
      </c>
      <c r="F5" s="3" t="s">
        <v>789</v>
      </c>
      <c r="G5" s="3" t="s">
        <v>790</v>
      </c>
      <c r="H5" s="3" t="s">
        <v>791</v>
      </c>
      <c r="I5" s="6" t="s">
        <v>784</v>
      </c>
    </row>
    <row r="6" spans="1:9" ht="23.85" customHeight="1" x14ac:dyDescent="0.3">
      <c r="A6" s="3" t="s">
        <v>792</v>
      </c>
      <c r="B6" s="3" t="s">
        <v>793</v>
      </c>
      <c r="C6" s="3" t="s">
        <v>794</v>
      </c>
      <c r="D6" s="3" t="s">
        <v>795</v>
      </c>
      <c r="E6" s="3" t="s">
        <v>780</v>
      </c>
      <c r="F6" s="3" t="s">
        <v>796</v>
      </c>
      <c r="G6" s="3" t="s">
        <v>797</v>
      </c>
      <c r="H6" s="3" t="s">
        <v>798</v>
      </c>
      <c r="I6" s="6" t="s">
        <v>784</v>
      </c>
    </row>
    <row r="7" spans="1:9" ht="35.1" customHeight="1" x14ac:dyDescent="0.3">
      <c r="A7" s="3" t="s">
        <v>799</v>
      </c>
      <c r="B7" s="3" t="s">
        <v>800</v>
      </c>
      <c r="C7" s="3" t="s">
        <v>801</v>
      </c>
      <c r="D7" s="3" t="s">
        <v>802</v>
      </c>
      <c r="E7" s="3" t="s">
        <v>780</v>
      </c>
      <c r="F7" s="3" t="s">
        <v>803</v>
      </c>
      <c r="G7" s="3" t="s">
        <v>804</v>
      </c>
      <c r="H7" s="3" t="s">
        <v>805</v>
      </c>
      <c r="I7" s="6" t="s">
        <v>784</v>
      </c>
    </row>
    <row r="8" spans="1:9" ht="23.85" customHeight="1" x14ac:dyDescent="0.3">
      <c r="A8" s="3" t="s">
        <v>806</v>
      </c>
      <c r="B8" s="3" t="s">
        <v>807</v>
      </c>
      <c r="C8" s="3" t="s">
        <v>808</v>
      </c>
      <c r="D8" s="3" t="s">
        <v>809</v>
      </c>
      <c r="E8" s="3" t="s">
        <v>810</v>
      </c>
      <c r="F8" s="3" t="s">
        <v>811</v>
      </c>
      <c r="G8" s="3" t="s">
        <v>812</v>
      </c>
      <c r="H8" s="3" t="s">
        <v>813</v>
      </c>
      <c r="I8" s="6" t="s">
        <v>784</v>
      </c>
    </row>
    <row r="9" spans="1:9" ht="23.85" customHeight="1" x14ac:dyDescent="0.3">
      <c r="A9" s="3" t="s">
        <v>814</v>
      </c>
      <c r="B9" s="3" t="s">
        <v>24</v>
      </c>
      <c r="C9" s="3" t="s">
        <v>815</v>
      </c>
      <c r="D9" s="3" t="s">
        <v>414</v>
      </c>
      <c r="E9" s="3" t="s">
        <v>780</v>
      </c>
      <c r="F9" s="3" t="s">
        <v>816</v>
      </c>
      <c r="G9" s="3" t="s">
        <v>817</v>
      </c>
      <c r="H9" s="3" t="s">
        <v>818</v>
      </c>
      <c r="I9" s="6" t="s">
        <v>784</v>
      </c>
    </row>
    <row r="10" spans="1:9" ht="15" customHeight="1" x14ac:dyDescent="0.3">
      <c r="A10" s="3" t="s">
        <v>819</v>
      </c>
      <c r="B10" s="3" t="s">
        <v>24</v>
      </c>
      <c r="C10" s="3" t="s">
        <v>820</v>
      </c>
      <c r="D10" s="3" t="s">
        <v>400</v>
      </c>
      <c r="E10" s="3" t="s">
        <v>780</v>
      </c>
      <c r="F10" s="3" t="s">
        <v>821</v>
      </c>
      <c r="G10" s="3" t="s">
        <v>822</v>
      </c>
      <c r="H10" s="3" t="s">
        <v>823</v>
      </c>
      <c r="I10" s="6" t="s">
        <v>784</v>
      </c>
    </row>
    <row r="11" spans="1:9" ht="35.1" customHeight="1" x14ac:dyDescent="0.3">
      <c r="A11" s="3" t="s">
        <v>824</v>
      </c>
      <c r="B11" s="3" t="s">
        <v>25</v>
      </c>
      <c r="C11" s="3" t="s">
        <v>825</v>
      </c>
      <c r="D11" s="3" t="s">
        <v>826</v>
      </c>
      <c r="E11" s="3" t="s">
        <v>780</v>
      </c>
      <c r="F11" s="3" t="s">
        <v>827</v>
      </c>
      <c r="G11" s="3" t="s">
        <v>828</v>
      </c>
      <c r="H11" s="3" t="s">
        <v>829</v>
      </c>
      <c r="I11" s="6" t="s">
        <v>784</v>
      </c>
    </row>
    <row r="12" spans="1:9" ht="23.85" customHeight="1" x14ac:dyDescent="0.3">
      <c r="A12" s="3" t="s">
        <v>830</v>
      </c>
      <c r="B12" s="3" t="s">
        <v>25</v>
      </c>
      <c r="C12" s="3" t="s">
        <v>831</v>
      </c>
      <c r="D12" s="3" t="s">
        <v>832</v>
      </c>
      <c r="E12" s="3" t="s">
        <v>780</v>
      </c>
      <c r="F12" s="3" t="s">
        <v>833</v>
      </c>
      <c r="G12" s="3" t="s">
        <v>834</v>
      </c>
      <c r="H12" s="3" t="s">
        <v>835</v>
      </c>
      <c r="I12" s="6" t="s">
        <v>784</v>
      </c>
    </row>
    <row r="13" spans="1:9" ht="23.85" customHeight="1" x14ac:dyDescent="0.3">
      <c r="A13" s="3" t="s">
        <v>836</v>
      </c>
      <c r="B13" s="3" t="s">
        <v>27</v>
      </c>
      <c r="C13" s="3" t="s">
        <v>837</v>
      </c>
      <c r="D13" s="3" t="s">
        <v>838</v>
      </c>
      <c r="E13" s="3" t="s">
        <v>780</v>
      </c>
      <c r="F13" s="3" t="s">
        <v>839</v>
      </c>
      <c r="G13" s="3" t="s">
        <v>840</v>
      </c>
      <c r="H13" s="3" t="s">
        <v>841</v>
      </c>
      <c r="I13" s="6" t="s">
        <v>784</v>
      </c>
    </row>
    <row r="14" spans="1:9" ht="23.85" customHeight="1" x14ac:dyDescent="0.3">
      <c r="A14" s="3" t="s">
        <v>842</v>
      </c>
      <c r="B14" s="3" t="s">
        <v>27</v>
      </c>
      <c r="C14" s="3" t="s">
        <v>843</v>
      </c>
      <c r="D14" s="3" t="s">
        <v>844</v>
      </c>
      <c r="E14" s="3" t="s">
        <v>780</v>
      </c>
      <c r="F14" s="3" t="s">
        <v>845</v>
      </c>
      <c r="G14" s="3" t="s">
        <v>846</v>
      </c>
      <c r="H14" s="3" t="s">
        <v>847</v>
      </c>
      <c r="I14" s="6" t="s">
        <v>784</v>
      </c>
    </row>
    <row r="15" spans="1:9" ht="23.85" customHeight="1" x14ac:dyDescent="0.3">
      <c r="A15" s="3" t="s">
        <v>848</v>
      </c>
      <c r="B15" s="3" t="s">
        <v>849</v>
      </c>
      <c r="C15" s="3" t="s">
        <v>850</v>
      </c>
      <c r="D15" s="3" t="s">
        <v>851</v>
      </c>
      <c r="E15" s="3" t="s">
        <v>810</v>
      </c>
      <c r="F15" s="3" t="s">
        <v>852</v>
      </c>
      <c r="G15" s="3" t="s">
        <v>853</v>
      </c>
      <c r="H15" s="3" t="s">
        <v>854</v>
      </c>
      <c r="I15" s="6" t="s">
        <v>784</v>
      </c>
    </row>
    <row r="16" spans="1:9" ht="23.85" customHeight="1" x14ac:dyDescent="0.3">
      <c r="A16" s="3" t="s">
        <v>855</v>
      </c>
      <c r="B16" s="3" t="s">
        <v>27</v>
      </c>
      <c r="C16" s="3" t="s">
        <v>856</v>
      </c>
      <c r="D16" s="3" t="s">
        <v>826</v>
      </c>
      <c r="E16" s="3" t="s">
        <v>810</v>
      </c>
      <c r="F16" s="3" t="s">
        <v>857</v>
      </c>
      <c r="G16" s="3" t="s">
        <v>858</v>
      </c>
      <c r="H16" s="3" t="s">
        <v>859</v>
      </c>
      <c r="I16" s="6" t="s">
        <v>784</v>
      </c>
    </row>
    <row r="17" spans="1:9" ht="15" customHeight="1" x14ac:dyDescent="0.3">
      <c r="A17" s="3" t="s">
        <v>860</v>
      </c>
      <c r="B17" s="3" t="s">
        <v>27</v>
      </c>
      <c r="C17" s="3" t="s">
        <v>861</v>
      </c>
      <c r="D17" s="3" t="s">
        <v>809</v>
      </c>
      <c r="E17" s="3" t="s">
        <v>810</v>
      </c>
      <c r="F17" s="3" t="s">
        <v>862</v>
      </c>
      <c r="G17" s="3" t="s">
        <v>863</v>
      </c>
      <c r="H17" s="3" t="s">
        <v>864</v>
      </c>
      <c r="I17" s="6" t="s">
        <v>784</v>
      </c>
    </row>
    <row r="18" spans="1:9" ht="68.7" customHeight="1" x14ac:dyDescent="0.3">
      <c r="A18" s="3" t="s">
        <v>865</v>
      </c>
      <c r="B18" s="3" t="s">
        <v>26</v>
      </c>
      <c r="C18" s="3" t="s">
        <v>866</v>
      </c>
      <c r="D18" s="3" t="s">
        <v>795</v>
      </c>
      <c r="E18" s="3" t="s">
        <v>780</v>
      </c>
      <c r="F18" s="3" t="s">
        <v>867</v>
      </c>
      <c r="G18" s="3" t="s">
        <v>868</v>
      </c>
      <c r="H18" s="3" t="s">
        <v>869</v>
      </c>
      <c r="I18" s="6" t="s">
        <v>870</v>
      </c>
    </row>
    <row r="19" spans="1:9" ht="15" customHeight="1" x14ac:dyDescent="0.3">
      <c r="A19" s="3" t="s">
        <v>871</v>
      </c>
      <c r="B19" s="3" t="s">
        <v>26</v>
      </c>
      <c r="C19" s="3" t="s">
        <v>872</v>
      </c>
      <c r="D19" s="3" t="s">
        <v>826</v>
      </c>
      <c r="E19" s="3" t="s">
        <v>810</v>
      </c>
      <c r="F19" s="3" t="s">
        <v>873</v>
      </c>
      <c r="G19" s="3" t="s">
        <v>874</v>
      </c>
      <c r="H19" s="3" t="s">
        <v>875</v>
      </c>
      <c r="I19" s="6" t="s">
        <v>784</v>
      </c>
    </row>
    <row r="20" spans="1:9" ht="23.85" customHeight="1" x14ac:dyDescent="0.3">
      <c r="A20" s="3" t="s">
        <v>876</v>
      </c>
      <c r="B20" s="3" t="s">
        <v>26</v>
      </c>
      <c r="C20" s="3" t="s">
        <v>877</v>
      </c>
      <c r="D20" s="3" t="s">
        <v>832</v>
      </c>
      <c r="E20" s="3" t="s">
        <v>810</v>
      </c>
      <c r="F20" s="3" t="s">
        <v>878</v>
      </c>
      <c r="G20" s="3" t="s">
        <v>879</v>
      </c>
      <c r="H20" s="3" t="s">
        <v>880</v>
      </c>
      <c r="I20" s="6" t="s">
        <v>784</v>
      </c>
    </row>
    <row r="21" spans="1:9" ht="15" customHeight="1" x14ac:dyDescent="0.3">
      <c r="A21" s="3" t="s">
        <v>881</v>
      </c>
      <c r="B21" s="3" t="s">
        <v>26</v>
      </c>
      <c r="C21" s="3" t="s">
        <v>882</v>
      </c>
      <c r="D21" s="3" t="s">
        <v>883</v>
      </c>
      <c r="E21" s="3" t="s">
        <v>810</v>
      </c>
      <c r="F21" s="3" t="s">
        <v>884</v>
      </c>
      <c r="G21" s="3" t="s">
        <v>885</v>
      </c>
      <c r="H21" s="3" t="s">
        <v>886</v>
      </c>
      <c r="I21" s="6" t="s">
        <v>784</v>
      </c>
    </row>
    <row r="22" spans="1:9" ht="23.85" customHeight="1" x14ac:dyDescent="0.3">
      <c r="A22" s="3" t="s">
        <v>887</v>
      </c>
      <c r="B22" s="3" t="s">
        <v>26</v>
      </c>
      <c r="C22" s="3" t="s">
        <v>888</v>
      </c>
      <c r="D22" s="3" t="s">
        <v>838</v>
      </c>
      <c r="E22" s="3" t="s">
        <v>810</v>
      </c>
      <c r="F22" s="3" t="s">
        <v>889</v>
      </c>
      <c r="G22" s="3" t="s">
        <v>890</v>
      </c>
      <c r="H22" s="3" t="s">
        <v>891</v>
      </c>
      <c r="I22" s="6" t="s">
        <v>784</v>
      </c>
    </row>
    <row r="23" spans="1:9" ht="23.85" customHeight="1" x14ac:dyDescent="0.3">
      <c r="A23" s="3" t="s">
        <v>892</v>
      </c>
      <c r="B23" s="3" t="s">
        <v>26</v>
      </c>
      <c r="C23" s="3" t="s">
        <v>893</v>
      </c>
      <c r="D23" s="3" t="s">
        <v>894</v>
      </c>
      <c r="E23" s="3" t="s">
        <v>810</v>
      </c>
      <c r="F23" s="3" t="s">
        <v>895</v>
      </c>
      <c r="G23" s="3" t="s">
        <v>896</v>
      </c>
      <c r="H23" s="3" t="s">
        <v>897</v>
      </c>
      <c r="I23" s="6" t="s">
        <v>784</v>
      </c>
    </row>
    <row r="24" spans="1:9" ht="23.85" customHeight="1" x14ac:dyDescent="0.3">
      <c r="A24" s="3" t="s">
        <v>898</v>
      </c>
      <c r="B24" s="3" t="s">
        <v>27</v>
      </c>
      <c r="C24" s="3" t="s">
        <v>899</v>
      </c>
      <c r="D24" s="3" t="s">
        <v>894</v>
      </c>
      <c r="E24" s="3" t="s">
        <v>810</v>
      </c>
      <c r="F24" s="3" t="s">
        <v>900</v>
      </c>
      <c r="G24" s="3" t="s">
        <v>901</v>
      </c>
      <c r="H24" s="3" t="s">
        <v>902</v>
      </c>
      <c r="I24" s="6" t="s">
        <v>784</v>
      </c>
    </row>
    <row r="25" spans="1:9" ht="23.85" customHeight="1" x14ac:dyDescent="0.3">
      <c r="A25" s="3" t="s">
        <v>903</v>
      </c>
      <c r="B25" s="3" t="s">
        <v>711</v>
      </c>
      <c r="C25" s="3" t="s">
        <v>904</v>
      </c>
      <c r="D25" s="3" t="s">
        <v>398</v>
      </c>
      <c r="E25" s="3" t="s">
        <v>780</v>
      </c>
      <c r="F25" s="3" t="s">
        <v>905</v>
      </c>
      <c r="G25" s="3" t="s">
        <v>906</v>
      </c>
      <c r="H25" s="3" t="s">
        <v>907</v>
      </c>
      <c r="I25" s="6" t="s">
        <v>784</v>
      </c>
    </row>
    <row r="26" spans="1:9" ht="15" customHeight="1" x14ac:dyDescent="0.3">
      <c r="A26" s="3" t="s">
        <v>908</v>
      </c>
      <c r="B26" s="3" t="s">
        <v>909</v>
      </c>
      <c r="C26" s="3" t="s">
        <v>910</v>
      </c>
      <c r="D26" s="3" t="s">
        <v>911</v>
      </c>
      <c r="E26" s="3" t="s">
        <v>810</v>
      </c>
      <c r="F26" s="3" t="s">
        <v>912</v>
      </c>
      <c r="G26" s="3" t="s">
        <v>913</v>
      </c>
      <c r="H26" s="3" t="s">
        <v>914</v>
      </c>
      <c r="I26" s="6" t="s">
        <v>784</v>
      </c>
    </row>
    <row r="27" spans="1:9" ht="23.85" customHeight="1" x14ac:dyDescent="0.3">
      <c r="A27" s="3" t="s">
        <v>915</v>
      </c>
      <c r="B27" s="3" t="s">
        <v>916</v>
      </c>
      <c r="C27" s="3" t="s">
        <v>917</v>
      </c>
      <c r="D27" s="3" t="s">
        <v>918</v>
      </c>
      <c r="E27" s="3" t="s">
        <v>810</v>
      </c>
      <c r="F27" s="3" t="s">
        <v>919</v>
      </c>
      <c r="G27" s="3" t="s">
        <v>920</v>
      </c>
      <c r="H27" s="3" t="s">
        <v>921</v>
      </c>
      <c r="I27" s="6" t="s">
        <v>784</v>
      </c>
    </row>
    <row r="28" spans="1:9" ht="35.1" customHeight="1" x14ac:dyDescent="0.3">
      <c r="A28" s="3" t="s">
        <v>922</v>
      </c>
      <c r="B28" s="3" t="s">
        <v>30</v>
      </c>
      <c r="C28" s="3" t="s">
        <v>923</v>
      </c>
      <c r="D28" s="3" t="s">
        <v>795</v>
      </c>
      <c r="E28" s="3" t="s">
        <v>764</v>
      </c>
      <c r="F28" s="3" t="s">
        <v>924</v>
      </c>
      <c r="G28" s="3" t="s">
        <v>925</v>
      </c>
      <c r="H28" s="3" t="s">
        <v>926</v>
      </c>
      <c r="I28" s="6" t="s">
        <v>784</v>
      </c>
    </row>
    <row r="29" spans="1:9" ht="23.85" customHeight="1" x14ac:dyDescent="0.3">
      <c r="A29" s="3" t="s">
        <v>927</v>
      </c>
      <c r="B29" s="3" t="s">
        <v>30</v>
      </c>
      <c r="C29" s="3" t="s">
        <v>928</v>
      </c>
      <c r="D29" s="3" t="s">
        <v>911</v>
      </c>
      <c r="E29" s="3" t="s">
        <v>810</v>
      </c>
      <c r="F29" s="3" t="s">
        <v>929</v>
      </c>
      <c r="G29" s="3" t="s">
        <v>930</v>
      </c>
      <c r="H29" s="3" t="s">
        <v>931</v>
      </c>
      <c r="I29" s="6" t="s">
        <v>784</v>
      </c>
    </row>
    <row r="30" spans="1:9" ht="79.95" customHeight="1" x14ac:dyDescent="0.3">
      <c r="A30" s="3" t="s">
        <v>932</v>
      </c>
      <c r="B30" s="3" t="s">
        <v>30</v>
      </c>
      <c r="C30" s="3" t="s">
        <v>933</v>
      </c>
      <c r="D30" s="3" t="s">
        <v>934</v>
      </c>
      <c r="E30" s="3" t="s">
        <v>780</v>
      </c>
      <c r="F30" s="3" t="s">
        <v>935</v>
      </c>
      <c r="G30" s="3" t="s">
        <v>936</v>
      </c>
      <c r="H30" s="3" t="s">
        <v>937</v>
      </c>
      <c r="I30" s="6" t="s">
        <v>938</v>
      </c>
    </row>
    <row r="31" spans="1:9" ht="23.85" customHeight="1" x14ac:dyDescent="0.3">
      <c r="A31" s="3" t="s">
        <v>939</v>
      </c>
      <c r="B31" s="3" t="s">
        <v>28</v>
      </c>
      <c r="C31" s="3" t="s">
        <v>940</v>
      </c>
      <c r="D31" s="3" t="s">
        <v>941</v>
      </c>
      <c r="E31" s="3" t="s">
        <v>780</v>
      </c>
      <c r="F31" s="3" t="s">
        <v>942</v>
      </c>
      <c r="G31" s="3" t="s">
        <v>943</v>
      </c>
      <c r="H31" s="3" t="s">
        <v>944</v>
      </c>
      <c r="I31" s="6" t="s">
        <v>784</v>
      </c>
    </row>
    <row r="32" spans="1:9" ht="23.85" customHeight="1" x14ac:dyDescent="0.3">
      <c r="A32" s="3" t="s">
        <v>945</v>
      </c>
      <c r="B32" s="3" t="s">
        <v>28</v>
      </c>
      <c r="C32" s="3" t="s">
        <v>946</v>
      </c>
      <c r="D32" s="3" t="s">
        <v>414</v>
      </c>
      <c r="E32" s="3" t="s">
        <v>810</v>
      </c>
      <c r="F32" s="3" t="s">
        <v>947</v>
      </c>
      <c r="G32" s="3" t="s">
        <v>948</v>
      </c>
      <c r="H32" s="3" t="s">
        <v>949</v>
      </c>
      <c r="I32" s="6" t="s">
        <v>784</v>
      </c>
    </row>
    <row r="33" spans="1:9" ht="23.85" customHeight="1" x14ac:dyDescent="0.3">
      <c r="A33" s="3" t="s">
        <v>950</v>
      </c>
      <c r="B33" s="3" t="s">
        <v>28</v>
      </c>
      <c r="C33" s="3" t="s">
        <v>951</v>
      </c>
      <c r="D33" s="3" t="s">
        <v>952</v>
      </c>
      <c r="E33" s="3" t="s">
        <v>810</v>
      </c>
      <c r="F33" s="3" t="s">
        <v>953</v>
      </c>
      <c r="G33" s="3" t="s">
        <v>954</v>
      </c>
      <c r="H33" s="3" t="s">
        <v>955</v>
      </c>
      <c r="I33" s="6" t="s">
        <v>784</v>
      </c>
    </row>
    <row r="34" spans="1:9" ht="23.85" customHeight="1" x14ac:dyDescent="0.3">
      <c r="A34" s="3" t="s">
        <v>956</v>
      </c>
      <c r="B34" s="3" t="s">
        <v>28</v>
      </c>
      <c r="C34" s="3" t="s">
        <v>957</v>
      </c>
      <c r="D34" s="3" t="s">
        <v>755</v>
      </c>
      <c r="E34" s="3" t="s">
        <v>810</v>
      </c>
      <c r="F34" s="3" t="s">
        <v>958</v>
      </c>
      <c r="G34" s="3" t="s">
        <v>959</v>
      </c>
      <c r="H34" s="3" t="s">
        <v>960</v>
      </c>
      <c r="I34" s="6" t="s">
        <v>784</v>
      </c>
    </row>
    <row r="35" spans="1:9" ht="23.85" customHeight="1" x14ac:dyDescent="0.3">
      <c r="A35" s="3" t="s">
        <v>961</v>
      </c>
      <c r="B35" s="3" t="s">
        <v>31</v>
      </c>
      <c r="C35" s="3" t="s">
        <v>962</v>
      </c>
      <c r="D35" s="3" t="s">
        <v>795</v>
      </c>
      <c r="E35" s="3" t="s">
        <v>780</v>
      </c>
      <c r="F35" s="3" t="s">
        <v>963</v>
      </c>
      <c r="G35" s="3" t="s">
        <v>964</v>
      </c>
      <c r="H35" s="3" t="s">
        <v>965</v>
      </c>
      <c r="I35" s="6" t="s">
        <v>784</v>
      </c>
    </row>
    <row r="36" spans="1:9" ht="23.85" customHeight="1" x14ac:dyDescent="0.3">
      <c r="A36" s="3" t="s">
        <v>966</v>
      </c>
      <c r="B36" s="3" t="s">
        <v>31</v>
      </c>
      <c r="C36" s="3" t="s">
        <v>967</v>
      </c>
      <c r="D36" s="3" t="s">
        <v>851</v>
      </c>
      <c r="E36" s="3" t="s">
        <v>810</v>
      </c>
      <c r="F36" s="3" t="s">
        <v>968</v>
      </c>
      <c r="G36" s="3" t="s">
        <v>969</v>
      </c>
      <c r="H36" s="3" t="s">
        <v>970</v>
      </c>
      <c r="I36" s="6" t="s">
        <v>784</v>
      </c>
    </row>
    <row r="37" spans="1:9" ht="23.85" customHeight="1" x14ac:dyDescent="0.3">
      <c r="A37" s="3" t="s">
        <v>971</v>
      </c>
      <c r="B37" s="3" t="s">
        <v>31</v>
      </c>
      <c r="C37" s="3" t="s">
        <v>972</v>
      </c>
      <c r="D37" s="3" t="s">
        <v>973</v>
      </c>
      <c r="E37" s="3" t="s">
        <v>810</v>
      </c>
      <c r="F37" s="3" t="s">
        <v>974</v>
      </c>
      <c r="G37" s="3" t="s">
        <v>975</v>
      </c>
      <c r="H37" s="3" t="s">
        <v>976</v>
      </c>
      <c r="I37" s="6" t="s">
        <v>784</v>
      </c>
    </row>
    <row r="38" spans="1:9" ht="23.85" customHeight="1" x14ac:dyDescent="0.3">
      <c r="A38" s="3" t="s">
        <v>977</v>
      </c>
      <c r="B38" s="3" t="s">
        <v>31</v>
      </c>
      <c r="C38" s="3" t="s">
        <v>978</v>
      </c>
      <c r="D38" s="3" t="s">
        <v>398</v>
      </c>
      <c r="E38" s="3" t="s">
        <v>810</v>
      </c>
      <c r="F38" s="3" t="s">
        <v>979</v>
      </c>
      <c r="G38" s="3" t="s">
        <v>980</v>
      </c>
      <c r="H38" s="3" t="s">
        <v>981</v>
      </c>
      <c r="I38" s="6" t="s">
        <v>784</v>
      </c>
    </row>
    <row r="39" spans="1:9" ht="23.85" customHeight="1" x14ac:dyDescent="0.3">
      <c r="A39" s="3" t="s">
        <v>982</v>
      </c>
      <c r="B39" s="3" t="s">
        <v>31</v>
      </c>
      <c r="C39" s="3" t="s">
        <v>983</v>
      </c>
      <c r="D39" s="3" t="s">
        <v>984</v>
      </c>
      <c r="E39" s="3" t="s">
        <v>810</v>
      </c>
      <c r="F39" s="3" t="s">
        <v>985</v>
      </c>
      <c r="G39" s="3" t="s">
        <v>986</v>
      </c>
      <c r="H39" s="3" t="s">
        <v>987</v>
      </c>
      <c r="I39" s="6" t="s">
        <v>784</v>
      </c>
    </row>
    <row r="40" spans="1:9" ht="23.85" customHeight="1" x14ac:dyDescent="0.3">
      <c r="A40" s="3" t="s">
        <v>988</v>
      </c>
      <c r="B40" s="3" t="s">
        <v>29</v>
      </c>
      <c r="C40" s="3" t="s">
        <v>989</v>
      </c>
      <c r="D40" s="3" t="s">
        <v>990</v>
      </c>
      <c r="E40" s="3" t="s">
        <v>810</v>
      </c>
      <c r="F40" s="3" t="s">
        <v>991</v>
      </c>
      <c r="G40" s="3" t="s">
        <v>992</v>
      </c>
      <c r="H40" s="3" t="s">
        <v>74</v>
      </c>
      <c r="I40" s="6" t="s">
        <v>993</v>
      </c>
    </row>
    <row r="41" spans="1:9" ht="46.35" customHeight="1" x14ac:dyDescent="0.3">
      <c r="A41" s="3" t="s">
        <v>994</v>
      </c>
      <c r="B41" s="3" t="s">
        <v>29</v>
      </c>
      <c r="C41" s="3" t="s">
        <v>995</v>
      </c>
      <c r="D41" s="3" t="s">
        <v>996</v>
      </c>
      <c r="E41" s="3" t="s">
        <v>780</v>
      </c>
      <c r="F41" s="3" t="s">
        <v>997</v>
      </c>
      <c r="G41" s="3" t="s">
        <v>998</v>
      </c>
      <c r="H41" s="3" t="s">
        <v>999</v>
      </c>
      <c r="I41" s="6" t="s">
        <v>784</v>
      </c>
    </row>
    <row r="42" spans="1:9" ht="35.1" customHeight="1" x14ac:dyDescent="0.3">
      <c r="A42" s="3" t="s">
        <v>1000</v>
      </c>
      <c r="B42" s="3" t="s">
        <v>29</v>
      </c>
      <c r="C42" s="3" t="s">
        <v>1001</v>
      </c>
      <c r="D42" s="3" t="s">
        <v>826</v>
      </c>
      <c r="E42" s="3" t="s">
        <v>810</v>
      </c>
      <c r="F42" s="3" t="s">
        <v>1002</v>
      </c>
      <c r="G42" s="3" t="s">
        <v>1003</v>
      </c>
      <c r="H42" s="3" t="s">
        <v>1004</v>
      </c>
      <c r="I42" s="6" t="s">
        <v>784</v>
      </c>
    </row>
    <row r="43" spans="1:9" ht="23.85" customHeight="1" x14ac:dyDescent="0.3">
      <c r="A43" s="3" t="s">
        <v>1005</v>
      </c>
      <c r="B43" s="3" t="s">
        <v>29</v>
      </c>
      <c r="C43" s="3" t="s">
        <v>1006</v>
      </c>
      <c r="D43" s="3" t="s">
        <v>763</v>
      </c>
      <c r="E43" s="3" t="s">
        <v>810</v>
      </c>
      <c r="F43" s="3" t="s">
        <v>1007</v>
      </c>
      <c r="G43" s="3" t="s">
        <v>1008</v>
      </c>
      <c r="H43" s="3" t="s">
        <v>1009</v>
      </c>
      <c r="I43" s="6" t="s">
        <v>784</v>
      </c>
    </row>
    <row r="44" spans="1:9" ht="35.1" customHeight="1" x14ac:dyDescent="0.3">
      <c r="A44" s="3" t="s">
        <v>1010</v>
      </c>
      <c r="B44" s="3" t="s">
        <v>29</v>
      </c>
      <c r="C44" s="3" t="s">
        <v>1011</v>
      </c>
      <c r="D44" s="3" t="s">
        <v>795</v>
      </c>
      <c r="E44" s="3" t="s">
        <v>810</v>
      </c>
      <c r="F44" s="3" t="s">
        <v>1012</v>
      </c>
      <c r="G44" s="3" t="s">
        <v>1013</v>
      </c>
      <c r="H44" s="3" t="s">
        <v>1014</v>
      </c>
      <c r="I44" s="6" t="s">
        <v>784</v>
      </c>
    </row>
    <row r="45" spans="1:9" ht="23.85" customHeight="1" x14ac:dyDescent="0.3">
      <c r="A45" s="3" t="s">
        <v>1015</v>
      </c>
      <c r="B45" s="3" t="s">
        <v>1016</v>
      </c>
      <c r="C45" s="3" t="s">
        <v>1017</v>
      </c>
      <c r="D45" s="3" t="s">
        <v>911</v>
      </c>
      <c r="E45" s="3" t="s">
        <v>810</v>
      </c>
      <c r="F45" s="3" t="s">
        <v>1018</v>
      </c>
      <c r="G45" s="3" t="s">
        <v>1019</v>
      </c>
      <c r="H45" s="3" t="s">
        <v>1020</v>
      </c>
      <c r="I45" s="6" t="s">
        <v>784</v>
      </c>
    </row>
  </sheetData>
  <autoFilter ref="A1:I45" xr:uid="{00000000-0009-0000-0000-000009000000}"/>
  <pageMargins left="0.75" right="0.75" top="1" bottom="1" header="0.511811023622047" footer="0.511811023622047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Variations</vt:lpstr>
      <vt:lpstr>Data_Cleaning</vt:lpstr>
      <vt:lpstr>Split_Validation</vt:lpstr>
      <vt:lpstr>Model_Spec_by_Peril</vt:lpstr>
      <vt:lpstr>Features_Motor</vt:lpstr>
      <vt:lpstr>Features_Buildings</vt:lpstr>
      <vt:lpstr>Features_Contents</vt:lpstr>
      <vt:lpstr>Excess_Treatment</vt:lpstr>
      <vt:lpstr>Code_Review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Wendy Low Ching Ning</cp:lastModifiedBy>
  <cp:revision>0</cp:revision>
  <dcterms:created xsi:type="dcterms:W3CDTF">2026-10-22T10:20:03Z</dcterms:created>
  <dcterms:modified xsi:type="dcterms:W3CDTF">2026-10-25T02:17:00Z</dcterms:modified>
  <dc:language>en-US</dc:language>
</cp:coreProperties>
</file>