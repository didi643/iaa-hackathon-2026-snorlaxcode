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low\Desktop\Local Project Testing\Kaggle_IAA_Oct2026\docs\"/>
    </mc:Choice>
  </mc:AlternateContent>
  <xr:revisionPtr revIDLastSave="0" documentId="8_{DFBBAB15-EFD4-4695-A8F9-A401C2142F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Line_Leaderboard" sheetId="2" r:id="rId2"/>
    <sheet name="Peril_D2" sheetId="3" r:id="rId3"/>
    <sheet name="Peril_Calibration" sheetId="4" r:id="rId4"/>
    <sheet name="Peril_Freq_Sev_Spec" sheetId="5" r:id="rId5"/>
    <sheet name="Peril_Features" sheetId="6" r:id="rId6"/>
    <sheet name="Improvement_Ideas" sheetId="7" r:id="rId7"/>
  </sheets>
  <calcPr calcId="0"/>
</workbook>
</file>

<file path=xl/sharedStrings.xml><?xml version="1.0" encoding="utf-8"?>
<sst xmlns="http://schemas.openxmlformats.org/spreadsheetml/2006/main" count="756" uniqueCount="383">
  <si>
    <t>model</t>
  </si>
  <si>
    <t>status</t>
  </si>
  <si>
    <t>public_D2</t>
  </si>
  <si>
    <t>local_mean_2023_24_reported_raw_ALL</t>
  </si>
  <si>
    <t>rr_2023_ALL</t>
  </si>
  <si>
    <t>rr_2024_ALL</t>
  </si>
  <si>
    <t>rr_mean_motor</t>
  </si>
  <si>
    <t>rr_mean_buildings</t>
  </si>
  <si>
    <t>rr_mean_contents</t>
  </si>
  <si>
    <t>dev_2024_ALL</t>
  </si>
  <si>
    <t>dev_2024_motor</t>
  </si>
  <si>
    <t>dev_2024_buildings</t>
  </si>
  <si>
    <t>dev_2024_contents</t>
  </si>
  <si>
    <t>rank_local_protocol</t>
  </si>
  <si>
    <t>rank_dev_2024</t>
  </si>
  <si>
    <t>2025 burn motor/bld/cont</t>
  </si>
  <si>
    <t>method</t>
  </si>
  <si>
    <t>features</t>
  </si>
  <si>
    <t>WENDY 4</t>
  </si>
  <si>
    <t>Submitted #6</t>
  </si>
  <si>
    <t>n/r</t>
  </si>
  <si>
    <t>Per peril: Poisson XGB freq x Gamma XGB/GLM sev vs Tweedie XGB challenger, picked per peril (freq_sev 12/15); fixed hyper-params from workbook; IBNR = mid-date report-lag ECDF; sev trend; 2m BI limit</t>
  </si>
  <si>
    <t>Workbook per peril (B/F/S codes); excess missing in motor BI, flood/storm/subsidence sev, fire freq; prior-year claim history; no written_premium</t>
  </si>
  <si>
    <t>WENDY 5</t>
  </si>
  <si>
    <t>Submitted #8</t>
  </si>
  <si>
    <t>WENDY 4 basis + random-search tuning (20 configs/component), sev GBM vs GLM auto, method picked on policy-grouped CV mixing years (freq_sev 13/15, sev GBM 11 / GLM 4)</t>
  </si>
  <si>
    <t>Same workbook as WENDY 4</t>
  </si>
  <si>
    <t>WENDY 6</t>
  </si>
  <si>
    <t>Not submitted</t>
  </si>
  <si>
    <t>H2O AutoML per peril (Poisson freq leader x Gamma sev leader), 1,200 s/run, freq_sev every peril, no monotone; not reproducible</t>
  </si>
  <si>
    <t>Same workbook as WENDY 4/5 (H2O native factors)</t>
  </si>
  <si>
    <t>SAM 3</t>
  </si>
  <si>
    <t>Submitted #9</t>
  </si>
  <si>
    <t>603 / 487 / 125</t>
  </si>
  <si>
    <t>Per peril GLM freq x Gamma GLM sev (policy-year trend +/-10%) + XGB/LGB Poisson freq bags + line Tweedie bags; IBNR via effective exposure; claim cap p99.5; greedy blend (motor GLM .4 / XGB .4 / XGB Tw .2; bld .2/.7/.1; cont .3/.4/.3)</t>
  </si>
  <si>
    <t>Raw rebuild: all policy/customer/address/weather + engineered + 9 claim-history fields (policy, cross-line customer, address); keeps noise_probe / customer_since_year in trees (CR12/13)</t>
  </si>
  <si>
    <t>WENDY 7 C4 (alone)</t>
  </si>
  <si>
    <t>Component of #10</t>
  </si>
  <si>
    <t>569 / 488 / 126</t>
  </si>
  <si>
    <t>WENDY 4 engine + chain-ladder count IBNR (subsidence ECDF-over-days) + 5 seed bags + BI no trend; WENDY 4 method mix</t>
  </si>
  <si>
    <t>WENDY 4 workbook + voluntary_excess in freq AND sev of every peril</t>
  </si>
  <si>
    <t>WENDY 7 C5 (alone)</t>
  </si>
  <si>
    <t>Component of final2</t>
  </si>
  <si>
    <t>564 / 488 / 126</t>
  </si>
  <si>
    <t>C4 + 7 peril-lab winners: motor OD freq_sev (was Tweedie); Gamma GLM sev for bld EoW, motor theft, contents theft; fire freq mcw 15</t>
  </si>
  <si>
    <t>C4 features minus motor TPP freezing_days/rainfall_mm and bld flood days_quote_to_inception/start_month</t>
  </si>
  <si>
    <t>#10 sub10 = 0.5 C4 + 0.5 SAM 3</t>
  </si>
  <si>
    <t>SUBMITTED #10 - best public</t>
  </si>
  <si>
    <t>586 / 488 / 126</t>
  </si>
  <si>
    <t>Line blend 50/50 of WENDY 7 C4 and SAM 3 in every line</t>
  </si>
  <si>
    <t>Union of C4 and SAM 3</t>
  </si>
  <si>
    <t>final2 = C5 x SAM 3</t>
  </si>
  <si>
    <t>ON HOLD (not submitted)</t>
  </si>
  <si>
    <t>572 / 488 / 126</t>
  </si>
  <si>
    <t>Line blend: WENDY 7 C5 weight motor 0.8, buildings 0.5, contents 0.6; rest SAM 3</t>
  </si>
  <si>
    <t>Union of C5 and SAM 3</t>
  </si>
  <si>
    <t>line</t>
  </si>
  <si>
    <t>peril</t>
  </si>
  <si>
    <t>burn_2025_C5</t>
  </si>
  <si>
    <t>share_of_line_cost</t>
  </si>
  <si>
    <t>W4_freq_sev_rr_mean</t>
  </si>
  <si>
    <t>W4_freq_sev_dev24</t>
  </si>
  <si>
    <t>W4_tweedie_rr_mean</t>
  </si>
  <si>
    <t>W4_tweedie_dev24</t>
  </si>
  <si>
    <t>W4_chosen</t>
  </si>
  <si>
    <t>W4_chosen_rr_mean</t>
  </si>
  <si>
    <t>W4_chosen_dev24</t>
  </si>
  <si>
    <t>C4_freq_sev_rr_mean</t>
  </si>
  <si>
    <t>C4_freq_sev_dev24</t>
  </si>
  <si>
    <t>C4_tweedie_rr_mean</t>
  </si>
  <si>
    <t>C4_tweedie_dev24</t>
  </si>
  <si>
    <t>C4_chosen</t>
  </si>
  <si>
    <t>C4_chosen_rr_mean</t>
  </si>
  <si>
    <t>C4_chosen_dev24</t>
  </si>
  <si>
    <t>C5_freq_sev_rr_mean</t>
  </si>
  <si>
    <t>C5_freq_sev_dev24</t>
  </si>
  <si>
    <t>C5_tweedie_rr_mean</t>
  </si>
  <si>
    <t>C5_tweedie_dev24</t>
  </si>
  <si>
    <t>C5_chosen</t>
  </si>
  <si>
    <t>C5_chosen_rr_mean</t>
  </si>
  <si>
    <t>C5_chosen_dev24</t>
  </si>
  <si>
    <t>W6_freq_sev_dev24</t>
  </si>
  <si>
    <t>best_on_dev24</t>
  </si>
  <si>
    <t>best_dev24</t>
  </si>
  <si>
    <t>C5_minus_best_dev24</t>
  </si>
  <si>
    <t>motor</t>
  </si>
  <si>
    <t>own_damage</t>
  </si>
  <si>
    <t>tweedie</t>
  </si>
  <si>
    <t>freq_sev</t>
  </si>
  <si>
    <t>W4</t>
  </si>
  <si>
    <t>third_party_prop</t>
  </si>
  <si>
    <t>C5 (final2 part)</t>
  </si>
  <si>
    <t>bodily_injury</t>
  </si>
  <si>
    <t>C4 (#10 part) = C5 (final2 part)</t>
  </si>
  <si>
    <t>theft</t>
  </si>
  <si>
    <t>glass_hail</t>
  </si>
  <si>
    <t>W6</t>
  </si>
  <si>
    <t>buildings</t>
  </si>
  <si>
    <t>storm</t>
  </si>
  <si>
    <t>flood</t>
  </si>
  <si>
    <t>escape_of_water</t>
  </si>
  <si>
    <t>subsidence</t>
  </si>
  <si>
    <t>fire</t>
  </si>
  <si>
    <t>accidental_damage</t>
  </si>
  <si>
    <t>contents</t>
  </si>
  <si>
    <t>W4_2023_pred_vs_dev</t>
  </si>
  <si>
    <t>W4_2024_pred_vs_dev</t>
  </si>
  <si>
    <t>C4_2023_pred_vs_dev</t>
  </si>
  <si>
    <t>C4_2024_pred_vs_dev</t>
  </si>
  <si>
    <t>C5_2023_pred_vs_dev</t>
  </si>
  <si>
    <t>C5_2024_pred_vs_dev</t>
  </si>
  <si>
    <t>W6_2024_pred_vs_dev</t>
  </si>
  <si>
    <t>C5_n_freq</t>
  </si>
  <si>
    <t>C5_n_sev</t>
  </si>
  <si>
    <t>C5_freq_features</t>
  </si>
  <si>
    <t>C5_sev_features</t>
  </si>
  <si>
    <t>W6_top5_freq_importance</t>
  </si>
  <si>
    <t>W6_top5_sev_importance</t>
  </si>
  <si>
    <t>driver_age, years_licensed, ncb_years, vehicle_value_group, vehicle_age, make_model, engine_size_cc, body_type, transmission, driver_assist, cover_type, annual_mileage, overnight_parking, vehicle_use, named_young_driver, telematics_opt_in, telematics_score, compulsory_excess, channel, payment_method, missed_payments_12m, new_business, renewal_count, days_quote_to_inception, occupation, marital_status, credit_band, prior_claims_5y, licence_points, years_at_address, region, urban_density, freezing_days, rainfall_mm, start_month, hist_policy_claims_prev, hist_customer_claims_other_lines_prev, voluntary_excess</t>
  </si>
  <si>
    <t>driver_age, vehicle_value_group, vehicle_age, make_model, body_type, fuel_type, cover_type, compulsory_excess, region, urban_density, voluntary_excess</t>
  </si>
  <si>
    <t>cover_type 41%, ncb_years 15%, driver_age 11%, years_licensed 6%, annual_mileage 4%</t>
  </si>
  <si>
    <t>make_model 90%, fuel_type 2%, urban_density 2%, vehicle_age 2%, region 2%</t>
  </si>
  <si>
    <t>driver_age, years_licensed, ncb_years, vehicle_age, make_model, engine_size_cc, body_type, driver_assist, cover_type, annual_mileage, vehicle_use, named_young_driver, telematics_opt_in, telematics_score, channel, payment_method, missed_payments_12m, new_business, renewal_count, days_quote_to_inception, occupation, marital_status, credit_band, prior_claims_5y, licence_points, region, urban_density, start_month, hist_policy_claims_prev, hist_customer_claims_other_lines_prev, voluntary_excess</t>
  </si>
  <si>
    <t>driver_age, engine_size_cc, body_type, region, urban_density, voluntary_excess</t>
  </si>
  <si>
    <t>driver_age 30%, ncb_years 18%, years_licensed 9%, annual_mileage 7%, make_model 4%</t>
  </si>
  <si>
    <t>urban_density 57%, driver_age 21%, engine_size_cc 14%, region 5%, body_type 3%</t>
  </si>
  <si>
    <t>driver_age, years_licensed, ncb_years, engine_size_cc, driver_assist, cover_type, annual_mileage, vehicle_use, named_young_driver, telematics_opt_in, telematics_score, prior_claims_5y, licence_points, region, urban_density, hist_policy_claims_prev, hist_customer_claims_other_lines_prev, voluntary_excess</t>
  </si>
  <si>
    <t>driver_age, seats, region, urban_density, voluntary_excess</t>
  </si>
  <si>
    <t>driver_age 24%, ncb_years 23%, years_licensed 11%, annual_mileage 9%, region 7%</t>
  </si>
  <si>
    <t>driver_age 39%, region 22%, urban_density 21%, seats 19%</t>
  </si>
  <si>
    <t>driver_age, vehicle_value_group, vehicle_age, make_model, engine_size_cc, body_type, fuel_type, cover_type, overnight_parking, compulsory_excess, payment_method, missed_payments_12m, credit_band, prior_claims_5y, years_at_address, region, urban_density, start_month, hist_policy_claims_prev, hist_customer_claims_other_lines_prev, voluntary_excess</t>
  </si>
  <si>
    <t>vehicle_value_group, vehicle_age, make_model, cover_type, overnight_parking, compulsory_excess, region, urban_density, voluntary_excess</t>
  </si>
  <si>
    <t>make_model 83%, region 4%, overnight_parking 4%, urban_density 4%, credit_band 1%</t>
  </si>
  <si>
    <t>vehicle_age 32%, vehicle_value_group 27%, make_model 14%, region 10%, overnight_parking 6%</t>
  </si>
  <si>
    <t>vehicle_value_group, make_model, cover_type, annual_mileage, overnight_parking, compulsory_excess, prior_claims_5y, region, urban_density, hail_days, wind_exposure_index, freezing_days, start_month, hist_policy_claims_prev, hist_customer_claims_other_lines_prev, voluntary_excess</t>
  </si>
  <si>
    <t>vehicle_value_group, vehicle_age, make_model, body_type, cover_type, compulsory_excess, region, hail_days, voluntary_excess</t>
  </si>
  <si>
    <t>make_model 83%, region 10%, voluntary_excess 2%, hail_days 2%, annual_mileage 1%</t>
  </si>
  <si>
    <t>make_model 96%, region 2%, vehicle_value_group 1%, body_type 0%, voluntary_excess 0%</t>
  </si>
  <si>
    <t>construction_type, channel, days_quote_to_inception, prior_claims_5y, region, urban_density, year_built, property_type, roof_type, trees_within_5m, hail_days, wind_exposure_index, rainfall_mm, start_month, hist_policy_claims_prev, hist_customer_claims_other_lines_prev, voluntary_excess</t>
  </si>
  <si>
    <t>sum_insured, construction_type, compulsory_excess, region, year_built, property_type, roof_type, listed_building, bedrooms, solar_panels, wind_exposure_index, voluntary_excess</t>
  </si>
  <si>
    <t>year_built 43%, property_type 31%, wind_exposure_index 11%, prior_claims_5y 5%, roof_type 3%</t>
  </si>
  <si>
    <t>sum_insured 72%, region 12%, wind_exposure_index 5%, listed_building 4%, year_built 3%</t>
  </si>
  <si>
    <t>prior_claims_5y, region, flood_zone, distance_to_river_km, elevation_m, property_type, basement, rainfall_mm, hist_policy_claims_prev, voluntary_excess</t>
  </si>
  <si>
    <t>sum_insured, compulsory_excess, region, flood_zone, distance_to_river_km, elevation_m, property_type, basement, bedrooms, rainfall_mm, voluntary_excess</t>
  </si>
  <si>
    <t>flood_zone 50%, elevation_m 26%, distance_to_river_km 17%, prior_claims_5y 2%, rainfall_mm 2%</t>
  </si>
  <si>
    <t>sum_insured 43%, basement 22%, region 16%, rainfall_mm 9%, elevation_m 6%</t>
  </si>
  <si>
    <t>policyholder_age, sum_insured, construction_type, occupancy, days_unoccupied, channel, payment_method, missed_payments_12m, new_business, renewal_count, days_quote_to_inception, household_size, credit_band, prior_claims_5y, years_at_address, region, urban_density, year_built, property_type, roof_type, basement, energy_rating, freezing_days, mean_temperature_c, start_month, hist_policy_claims_prev, hist_customer_claims_other_lines_prev, voluntary_excess</t>
  </si>
  <si>
    <t>sum_insured, days_unoccupied, compulsory_excess, region, year_built, property_type, listed_building, bedrooms, freezing_days, voluntary_excess</t>
  </si>
  <si>
    <t>year_built 35%, freezing_days 18%, days_unoccupied 9%, prior_claims_5y 9%, region 7%</t>
  </si>
  <si>
    <t>sum_insured 75%, bedrooms 11%, region 6%, year_built 3%, listed_building 2%</t>
  </si>
  <si>
    <t>construction_type, prior_claims_5y, region, soil_type, year_built, property_type, basement, trees_within_5m, dry_summer_index, rainfall_mm, mean_temperature_c, start_month, hist_policy_claims_prev, voluntary_excess</t>
  </si>
  <si>
    <t>sum_insured, construction_type, compulsory_excess, region, soil_type, year_built, property_type, trees_within_5m, listed_building, bedrooms, dry_summer_index, voluntary_excess</t>
  </si>
  <si>
    <t>soil_type 48%, dry_summer_index 27%, mean_temperature_c 11%, trees_within_5m 6%, region 2%</t>
  </si>
  <si>
    <t>sum_insured 39%, bedrooms 20%, property_type 10%, region 10%, dry_summer_index 8%</t>
  </si>
  <si>
    <t>policyholder_age, construction_type, occupancy, days_unoccupied, smoke_alarms, missed_payments_12m, household_size, credit_band, prior_claims_5y, region, urban_density, year_built, property_type, energy_rating, solar_panels, dry_summer_index, wildfire_index, start_month, hist_policy_claims_prev, voluntary_excess</t>
  </si>
  <si>
    <t>sum_insured, construction_type, smoke_alarms, compulsory_excess, region, property_type, listed_building, bedrooms, voluntary_excess</t>
  </si>
  <si>
    <t>region 16%, energy_rating 16%, credit_band 12%, construction_type 11%, occupancy 8%</t>
  </si>
  <si>
    <t>sum_insured 64%, bedrooms 9%, property_type 8%, construction_type 7%, region 6%</t>
  </si>
  <si>
    <t>policyholder_age, occupancy, accidental_damage_cover, channel, payment_method, missed_payments_12m, new_business, renewal_count, days_quote_to_inception, household_size, credit_band, prior_claims_5y, years_at_address, region, urban_density, year_built, property_type, bedrooms, hist_policy_claims_prev, hist_customer_claims_other_lines_prev, voluntary_excess</t>
  </si>
  <si>
    <t>sum_insured, accidental_damage_cover, compulsory_excess, region, voluntary_excess</t>
  </si>
  <si>
    <t>region 33%, accidental_damage_cover 27%, credit_band 8%, voluntary_excess 6%, occupancy 5%</t>
  </si>
  <si>
    <t>sum_insured 90%, region 8%, voluntary_excess 2%, accidental_damage_cover 0%</t>
  </si>
  <si>
    <t>policyholder_age, sum_insured, tenure, security_level, high_value_items, works_from_home, lodgers, bicycle_cover, channel, payment_method, missed_payments_12m, new_business, renewal_count, days_quote_to_inception, household_size, credit_band, prior_claims_5y, years_at_address, region, urban_density, property_type, start_month, hist_policy_claims_prev, hist_customer_claims_other_lines_prev, voluntary_excess</t>
  </si>
  <si>
    <t>sum_insured, security_level, high_value_items, bicycle_cover, compulsory_excess, region, urban_density, bedrooms, voluntary_excess</t>
  </si>
  <si>
    <t>region 33%, urban_density 24%, security_level 10%, credit_band 8%, tenure 5%</t>
  </si>
  <si>
    <t>sum_insured 76%, high_value_items 15%, region 7%, urban_density 1%, voluntary_excess 1%</t>
  </si>
  <si>
    <t>tenure, works_from_home, new_business, renewal_count, household_size, credit_band, prior_claims_5y, years_at_address, region, year_built, property_type, roof_type, basement, freezing_days, mean_temperature_c, start_month, hist_policy_claims_prev, hist_customer_claims_other_lines_prev, voluntary_excess</t>
  </si>
  <si>
    <t>sum_insured, compulsory_excess, region, year_built, property_type, bedrooms, freezing_days, voluntary_excess</t>
  </si>
  <si>
    <t>region 44%, credit_band 19%, freezing_days 8%, voluntary_excess 4%, tenure 4%</t>
  </si>
  <si>
    <t>sum_insured 86%, region 6%, year_built 3%, property_type 2%, freezing_days 2%</t>
  </si>
  <si>
    <t>policyholder_age, sum_insured, accidental_damage_cover, tenure, works_from_home, lodgers, channel, payment_method, missed_payments_12m, new_business, renewal_count, days_quote_to_inception, household_size, credit_band, prior_claims_5y, region, urban_density, property_type, hist_policy_claims_prev, hist_customer_claims_other_lines_prev, voluntary_excess</t>
  </si>
  <si>
    <t>sum_insured, accidental_damage_cover, high_value_items, compulsory_excess, region, bedrooms, voluntary_excess</t>
  </si>
  <si>
    <t>region 33%, accidental_damage_cover 27%, voluntary_excess 9%, credit_band 7%, channel 5%</t>
  </si>
  <si>
    <t>sum_insured 77%, region 16%, voluntary_excess 3%, accidental_damage_cover 2%, bedrooms 2%</t>
  </si>
  <si>
    <t>tenure, days_quote_to_inception, prior_claims_5y, region, flood_zone, distance_to_river_km, elevation_m, property_type, basement, rainfall_mm, start_month, hist_policy_claims_prev, voluntary_excess</t>
  </si>
  <si>
    <t>flood_zone 64%, elevation_m 32%, distance_to_river_km 2%, property_type 1%, hist_policy_claims_prev 1%</t>
  </si>
  <si>
    <t>sum_insured 75%, region 12%, elevation_m 6%, rainfall_mm 3%, property_type 2%</t>
  </si>
  <si>
    <t>#</t>
  </si>
  <si>
    <t>area</t>
  </si>
  <si>
    <t>evidence</t>
  </si>
  <si>
    <t>next test</t>
  </si>
  <si>
    <t>priority</t>
  </si>
  <si>
    <t>1</t>
  </si>
  <si>
    <t>Motor bodily injury</t>
  </si>
  <si>
    <t>Weakest big peril: C5 mean reported_raw D2 0.028 (freq_sev) / 0.031 (Tweedie, chosen); 2024 reported D2 ~0; 36% of motor 2025 cost (200 of 564). Over-predicts developed 2024 by ~1.15x (IBNER, not a bias).</t>
  </si>
  <si>
    <t>Local actuals cannot validate the BI level. Test ranking only: severity on closed + case-adjusted open claims (A7), BF on counts (A3), GLM severity with few factors. Judge on d2_cal (level removed) and 2023 fold.</t>
  </si>
  <si>
    <t>High (largest lever, but unverifiable locally)</t>
  </si>
  <si>
    <t>2</t>
  </si>
  <si>
    <t>Save freq and sev predictions separately</t>
  </si>
  <si>
    <t>No run on disk saves pred_freq / pred_sev per peril, so frequency (Poisson deviance) and severity (Gamma deviance) cannot be scored separately - this table had to compare cost-level D2 only.</t>
  </si>
  <si>
    <t>Add pred_&lt;peril&gt;_freq and pred_&lt;peril&gt;_sev (and claim counts / mean claim) to row_preds_peril.parquet in R/4_models_iterwendy07.R; then score freq D2 (Poisson) and sev D2 (Gamma) per model.</t>
  </si>
  <si>
    <t>High (diagnostic enabler)</t>
  </si>
  <si>
    <t>3</t>
  </si>
  <si>
    <t>SAM 3 per-peril predictions</t>
  </si>
  <si>
    <t>SAM 3 only saves line-level predictions (blend + 5 candidates). Half of #10 / final2 is SAM 3, so peril-level blending with WENDY 7 is impossible.</t>
  </si>
  <si>
    <t>Re-run SAM 3 to end of validation saving per-peril GLM / XGB preds (cache data/wendy07_sam03, as step 15). Then test a per-peril (not per-line) blend - with cross-fold honesty check.</t>
  </si>
  <si>
    <t>Medium-high</t>
  </si>
  <si>
    <t>4</t>
  </si>
  <si>
    <t>Buildings fire + escape of water</t>
  </si>
  <si>
    <t>Fire D2 ~0.023 (20% of buildings cost); EoW ~0.04 (26%). W6 AutoML beat W4 here, but C5 has closed the gap (dev 2024 fire C5 0.031 vs W6 0.033; EoW C5 0.047 vs W6 0.046).</t>
  </si>
  <si>
    <t>Fire: Tweedie/freq_sev 50/50 (C5 Tweedie 0.026 vs freq_sev 0.023 mean rr), GLM frequency (W6 leader was GLM). EoW: GLM freq (W6 time-check leader) + property age/plumbing interactions.</t>
  </si>
  <si>
    <t>Medium</t>
  </si>
  <si>
    <t>5</t>
  </si>
  <si>
    <t>Motor third-party property</t>
  </si>
  <si>
    <t>0.057 D2 but 32% of motor cost (179 of 564).</t>
  </si>
  <si>
    <t>Driver-behaviour features (telematics_score with opt-in flag, mileage x age), SAM 3 claim-history fields into the WENDY workbook only for TPP.</t>
  </si>
  <si>
    <t>6</t>
  </si>
  <si>
    <t>Contents flood / escape of water</t>
  </si>
  <si>
    <t>Contents flood Tweedie collapses (0.29 vs 0.44 freq_sev in 2024) - keep freq_sev. Contents EoW: Tweedie chosen, W6 freq_sev equal on 2024 (0.044).</t>
  </si>
  <si>
    <t>Leave flood; try EoW 50/50 method blend only if cross-fold gain positive.</t>
  </si>
  <si>
    <t>Low</t>
  </si>
  <si>
    <t>7</t>
  </si>
  <si>
    <t>Feature hygiene</t>
  </si>
  <si>
    <t>compulsory_excess is still in W7 feature lists (constant; CLAUDE.md says drop). SAM 3 trees still carry noise_probe / customer_since_year (CR12/13).</t>
  </si>
  <si>
    <t>Drop for documentation/guardrail cleanliness; expected D2 change ~0.</t>
  </si>
  <si>
    <t>Low (guardrail)</t>
  </si>
  <si>
    <t>8</t>
  </si>
  <si>
    <t>Expectation</t>
  </si>
  <si>
    <t>Bootstrap noise ~0.0011 on ALL; simulated ceiling ~0.10 for the current risk spread. Every honest gain so far was +0.0003 to +0.0011.</t>
  </si>
  <si>
    <t>Only submit when paired bootstrap &gt; 2 SE vs #10 (final2 passes: +0.00074, 2SE 0.00051, 100% draws).</t>
  </si>
  <si>
    <t>-</t>
  </si>
  <si>
    <t>SAM 4</t>
  </si>
  <si>
    <t>Not submitted alone (buildings/contents used in docs/workflow #10 splice with WENDY 4 motor: 0.12716)</t>
  </si>
  <si>
    <t>607 / 489 / 126</t>
  </si>
  <si>
    <t>SAM 3 + chain-ladder IBNR per line x peril (motor BI keeps SAM 3 ECDF), applied per row as exposure x mean reported share over the row's days; models, features, tuning unchanged; greedy blend (motor peril_glm 0.4, motor peril_xgb 0.4, motor xgb_tweedie 0.2, buildings peril_glm 0.2, buildings peril_xgb 0.7, buildings xgb_tweedie 0.1, contents peril_glm 0.3, contents peril_xgb 0.4, contents xgb_tweedie 0.3). Scores from SAM model card (own scorer, reported actuals): SAM 3 on this basis = 0.10146, so SAM 4 is +0.00010 vs SAM 3. dev_2024 not saved.</t>
  </si>
  <si>
    <t>As SAM 3</t>
  </si>
  <si>
    <t>SAM 5</t>
  </si>
  <si>
    <t>Not submitted</t>
  </si>
  <si>
    <t>607 / 490 / 126</t>
  </si>
  <si>
    <t>SAM 4 + premium_index (written_premium / exposure-weighted mean of line x policy year) in XGB/LGB per-peril and line Tweedie only; GLMs, IBNR, trend, caps as SAM 4; greedy blend (motor peril_glm 0.4, motor peril_xgb 0.4, motor xgb_tweedie 0.2, buildings peril_glm 0.2, buildings peril_xgb 0.6, buildings xgb_tweedie 0.2, contents peril_glm 0.3, contents peril_xgb 0.3, contents xgb_tweedie 0.4). Scores from SAM model card (own scorer, reported actuals): SAM 3 on this basis = 0.10146, so SAM 5 is +0.00006 vs SAM 3. dev_2024 not saved.</t>
  </si>
  <si>
    <t>As SAM 3 + premium_index in tree models (raw written_premium / discount_applied still excluded)</t>
  </si>
  <si>
    <t>line</t>
  </si>
  <si>
    <t>peril</t>
  </si>
  <si>
    <t>W4_freq</t>
  </si>
  <si>
    <t>W4_sev</t>
  </si>
  <si>
    <t>W4_method</t>
  </si>
  <si>
    <t>W5_freq</t>
  </si>
  <si>
    <t>W5_sev</t>
  </si>
  <si>
    <t>W5_method</t>
  </si>
  <si>
    <t>W6_freq</t>
  </si>
  <si>
    <t>W6_sev</t>
  </si>
  <si>
    <t>W6_method</t>
  </si>
  <si>
    <t>SAM3_freq_sev</t>
  </si>
  <si>
    <t>SAM4_freq_sev</t>
  </si>
  <si>
    <t>SAM5_freq_sev</t>
  </si>
  <si>
    <t>C4_freq</t>
  </si>
  <si>
    <t>C4_sev</t>
  </si>
  <si>
    <t>C4_method</t>
  </si>
  <si>
    <t>C5_change</t>
  </si>
  <si>
    <t>C5_method</t>
  </si>
  <si>
    <t>C5_sev_type_used</t>
  </si>
  <si>
    <t>C5_freq_rounds</t>
  </si>
  <si>
    <t>C5_freq_trend</t>
  </si>
  <si>
    <t>C5_sev_trend</t>
  </si>
  <si>
    <t>C5_cap</t>
  </si>
  <si>
    <t>C5_claims_2021_23</t>
  </si>
  <si>
    <t>motor</t>
  </si>
  <si>
    <t>own_damage</t>
  </si>
  <si>
    <t>Poisson XGB d4 mcw50</t>
  </si>
  <si>
    <t>Gamma XGB; cap q0.999; sev trend estimate</t>
  </si>
  <si>
    <t>tweedie</t>
  </si>
  <si>
    <t>Poisson XGB, random-search tuned</t>
  </si>
  <si>
    <t>auto: tuned Gamma XGB vs Gamma GLM (holdout deviance)</t>
  </si>
  <si>
    <t>grouped-CV pick (per-peril picks not on disk)</t>
  </si>
  <si>
    <t>xgboost (CV Poisson dev 0.2566; bal 1.00)</t>
  </si>
  <si>
    <t>glm (CV Gamma dev 1.581; bal 1.00)</t>
  </si>
  <si>
    <t>freq_sev</t>
  </si>
  <si>
    <t>As SAM 2 with frequency IBNR as exposure offset; claim cap 13,005; trend freq -5.4% / sev +8.2%; loading 1.010</t>
  </si>
  <si>
    <t>As SAM 3 with chain-ladder row-level IBNR; 2024 IBNR factor 1.034 (SAM 3 1.028); claim cap 13,005; trend freq -5.2% / sev +8.2%; loading 1.010</t>
  </si>
  <si>
    <t>As SAM 4 (GLM freq x sev, IBNR, trend, caps identical); premium_index added to XGB/LGB Poisson freq bags and line Tweedie</t>
  </si>
  <si>
    <t>as W4 + excess; chain-ladder IBNR; 5 bags</t>
  </si>
  <si>
    <t>Gamma XGB + excess</t>
  </si>
  <si>
    <t>method Tweedie -&gt; freq_sev</t>
  </si>
  <si>
    <t>gbm</t>
  </si>
  <si>
    <t>third_party_prop</t>
  </si>
  <si>
    <t>xgboost (CV Poisson dev 0.2109; bal 1.00)</t>
  </si>
  <si>
    <t>gbm (CV Gamma dev 1.157; bal 1.00)</t>
  </si>
  <si>
    <t>As SAM 2 with frequency IBNR as exposure offset; claim cap 19,750; trend freq -5.3% / sev +7.8%; loading 1.006</t>
  </si>
  <si>
    <t>As SAM 3 with chain-ladder row-level IBNR; 2024 IBNR factor 1.061 (SAM 3 1.049); claim cap 19,750; trend freq -4.8% / sev +7.8%; loading 1.006</t>
  </si>
  <si>
    <t>drop freezing_days, rainfall_mm</t>
  </si>
  <si>
    <t>bodily_injury</t>
  </si>
  <si>
    <t>Poisson XGB d3 mcw100</t>
  </si>
  <si>
    <t>Gamma GLM; cap q0.995; sev trend estimate</t>
  </si>
  <si>
    <t>xgboost (CV Poisson dev 0.0698; bal 0.99)</t>
  </si>
  <si>
    <t>stackedensemble (CV Gamma dev 1.372; bal 0.98)</t>
  </si>
  <si>
    <t>As SAM 2 with frequency IBNR as exposure offset; claim cap 187,516; trend freq -6.2% / sev +4.5%; loading 1.036; long-tail (2024 dummy)</t>
  </si>
  <si>
    <t>As SAM 3 with chain-ladder row-level IBNR (BI keeps SAM 3 ECDF); 2024 IBNR factor 1.736 (SAM 3 1.736); claim cap 187,516; trend freq -6.0% / sev +4.5%; loading 1.036; long-tail (2024 dummy)</t>
  </si>
  <si>
    <t>Gamma GLM + excess; BI no trend</t>
  </si>
  <si>
    <t>glm</t>
  </si>
  <si>
    <t>theft</t>
  </si>
  <si>
    <t>Poisson XGB d3 mcw50</t>
  </si>
  <si>
    <t>glm (CV Poisson dev 0.0658; bal 1.00)</t>
  </si>
  <si>
    <t>xgboost (CV Gamma dev 1.160; bal 1.00)</t>
  </si>
  <si>
    <t>As SAM 2 with frequency IBNR as exposure offset; claim cap 38,460; trend freq -1.5% / sev +6.4%; loading 1.007</t>
  </si>
  <si>
    <t>As SAM 3 with chain-ladder row-level IBNR; 2024 IBNR factor 1.019 (SAM 3 1.012); claim cap 38,460; trend freq -1.3% / sev +6.4%; loading 1.007</t>
  </si>
  <si>
    <t>sev GBM -&gt; Gamma GLM</t>
  </si>
  <si>
    <t>glass_hail</t>
  </si>
  <si>
    <t>glm (CV Poisson dev 0.1459; bal 1.00)</t>
  </si>
  <si>
    <t>glm (CV Gamma dev 1.157; bal 1.00)</t>
  </si>
  <si>
    <t>As SAM 2 with frequency IBNR as exposure offset; claim cap 5,873; trend freq -1.9% / sev +8.0%; loading 1.006</t>
  </si>
  <si>
    <t>As SAM 3 with chain-ladder row-level IBNR; 2024 IBNR factor 1.029 (SAM 3 1.017); claim cap 5,873; trend freq -1.6% / sev +8.0%; loading 1.006</t>
  </si>
  <si>
    <t>buildings</t>
  </si>
  <si>
    <t>storm</t>
  </si>
  <si>
    <t>xgboost (CV Poisson dev 0.0933; bal 0.90)</t>
  </si>
  <si>
    <t>gbm (CV Gamma dev 1.133; bal 1.01)</t>
  </si>
  <si>
    <t>As SAM 2 with frequency IBNR as exposure offset; claim cap 19,764; trend freq +0.7% / sev +6.7%; loading 1.009</t>
  </si>
  <si>
    <t>As SAM 3 with chain-ladder row-level IBNR; 2024 IBNR factor 1.052 (SAM 3 1.044); claim cap 19,764; trend freq +0.4% / sev +6.7%; loading 1.009</t>
  </si>
  <si>
    <t>flood</t>
  </si>
  <si>
    <t>Poisson XGB d3 mcw30</t>
  </si>
  <si>
    <t>xgboost (CV Poisson dev 0.0249; bal 1.00)</t>
  </si>
  <si>
    <t>gbm (CV Gamma dev 1.136; bal 1.03)</t>
  </si>
  <si>
    <t>As SAM 2 with frequency IBNR as exposure offset; claim cap 208,045; trend freq -2.5% / sev +4.8%; loading 1.008</t>
  </si>
  <si>
    <t>As SAM 3 with chain-ladder row-level IBNR; 2024 IBNR factor 1.022 (SAM 3 1.014); claim cap 208,045; trend freq -1.9% / sev +4.8%; loading 1.008</t>
  </si>
  <si>
    <t>Gamma GLM + excess</t>
  </si>
  <si>
    <t>drop days_quote_to_inception, start_month</t>
  </si>
  <si>
    <t>escape_of_water</t>
  </si>
  <si>
    <t>xgboost (CV Poisson dev 0.1158; bal 0.98)</t>
  </si>
  <si>
    <t>gbm (CV Gamma dev 1.182; bal 1.01)</t>
  </si>
  <si>
    <t>As SAM 2 with frequency IBNR as exposure offset; claim cap 34,856; trend freq +0.1% / sev +6.9%; loading 1.007</t>
  </si>
  <si>
    <t>As SAM 3 with chain-ladder row-level IBNR; 2024 IBNR factor 1.074 (SAM 3 1.061); claim cap 34,856; trend freq -0.3% / sev +6.9%; loading 1.007</t>
  </si>
  <si>
    <t>subsidence</t>
  </si>
  <si>
    <t>xgboost (CV Poisson dev 0.0215; bal 0.84)</t>
  </si>
  <si>
    <t>gbm (CV Gamma dev 1.229; bal 1.02)</t>
  </si>
  <si>
    <t>As SAM 2 with frequency IBNR as exposure offset; claim cap 138,263; trend freq +0.8% / sev +4.8%; loading 1.001; long-tail (2024 dummy)</t>
  </si>
  <si>
    <t>As SAM 3 with chain-ladder row-level IBNR; 2024 IBNR factor 1.607 (SAM 3 1.602); claim cap 138,263; trend freq +1.0% / sev +4.8%; loading 1.001; long-tail (2024 dummy)</t>
  </si>
  <si>
    <t>fire</t>
  </si>
  <si>
    <t>Gamma GLM; cap q0.99; sev trend estimate</t>
  </si>
  <si>
    <t>glm (CV Poisson dev 0.0197; bal 1.00)</t>
  </si>
  <si>
    <t>gbm (CV Gamma dev 1.325; bal 1.06)</t>
  </si>
  <si>
    <t>As SAM 2 with frequency IBNR as exposure offset; claim cap 369,277; trend freq +5.4% / sev -4.8%; loading 1.008</t>
  </si>
  <si>
    <t>As SAM 3 with chain-ladder row-level IBNR; 2024 IBNR factor 1.022 (SAM 3 1.010); claim cap 369,277; trend freq +5.7% / sev -4.8%; loading 1.008</t>
  </si>
  <si>
    <t>freq min_child_weight 30 -&gt; 15</t>
  </si>
  <si>
    <t>accidental_damage</t>
  </si>
  <si>
    <t>glm (CV Poisson dev 0.0498; bal 1.00)</t>
  </si>
  <si>
    <t>gbm (CV Gamma dev 1.172; bal 1.01)</t>
  </si>
  <si>
    <t>As SAM 2 with frequency IBNR as exposure offset; claim cap 6,561; trend freq -0.0% / sev +1.6%; loading 1.006</t>
  </si>
  <si>
    <t>As SAM 3 with chain-ladder row-level IBNR; 2024 IBNR factor 1.031 (SAM 3 1.027); claim cap 6,561; trend freq +0.2% / sev +1.6%; loading 1.006</t>
  </si>
  <si>
    <t>contents</t>
  </si>
  <si>
    <t>glm (CV Poisson dev 0.0931; bal 1.00)</t>
  </si>
  <si>
    <t>gbm (CV Gamma dev 1.161; bal 1.02)</t>
  </si>
  <si>
    <t>As SAM 2 with frequency IBNR as exposure offset; claim cap 23,478; trend freq +1.1% / sev +3.1%; loading 1.008</t>
  </si>
  <si>
    <t>As SAM 3 with chain-ladder row-level IBNR; 2024 IBNR factor 1.021 (SAM 3 1.012); claim cap 23,478; trend freq +1.3% / sev +3.1%; loading 1.008</t>
  </si>
  <si>
    <t>glm (CV Poisson dev 0.0708; bal 1.00)</t>
  </si>
  <si>
    <t>gbm (CV Gamma dev 1.176; bal 1.02)</t>
  </si>
  <si>
    <t>As SAM 2 with frequency IBNR as exposure offset; claim cap 16,953; trend freq -0.1% / sev +1.6%; loading 1.008</t>
  </si>
  <si>
    <t>As SAM 3 with chain-ladder row-level IBNR; 2024 IBNR factor 1.060 (SAM 3 1.047); claim cap 16,953; trend freq +0.0% / sev +1.6%; loading 1.008</t>
  </si>
  <si>
    <t>glm (CV Poisson dev 0.0962; bal 1.00)</t>
  </si>
  <si>
    <t>gbm (CV Gamma dev 1.188; bal 1.01)</t>
  </si>
  <si>
    <t>As SAM 2 with frequency IBNR as exposure offset; claim cap 4,821; trend freq -0.9% / sev +2.5%; loading 1.004</t>
  </si>
  <si>
    <t>As SAM 3 with chain-ladder row-level IBNR; 2024 IBNR factor 1.036 (SAM 3 1.031); claim cap 4,821; trend freq -0.8% / sev +2.5%; loading 1.004</t>
  </si>
  <si>
    <t>xgboost (CV Poisson dev 0.0192; bal 0.53)</t>
  </si>
  <si>
    <t>gbm (CV Gamma dev 1.141; bal 1.03)</t>
  </si>
  <si>
    <t>As SAM 2 with frequency IBNR as exposure offset; claim cap 60,320; trend freq -2.9% / sev +5.7%; loading 1.009</t>
  </si>
  <si>
    <t>As SAM 3 with chain-ladder row-level IBNR; 2024 IBNR factor 1.039 (SAM 3 1.030); claim cap 60,320; trend freq -2.6% / sev +5.7%; loading 1.009</t>
  </si>
  <si>
    <t>SAM4_SAM5_glm_freq_features</t>
  </si>
  <si>
    <t>SAM4_SAM5_glm_sev_features</t>
  </si>
  <si>
    <t>SAM4_SAM5_tree_features</t>
  </si>
  <si>
    <t>driver_age, ncb_years, years_licensed, vehicle_value_group, vehicle_age, cover_type, annual_mileage, overnight_parking, vehicle_use, named_young_driver, fuel_type, body_type, telematics_opt_in, prior_claims_5y, licence_points, credit_band, region, urban_density, voluntary_excess, new_business, payment_method, missed_payments_12m, hail_days, hist_pol_n, hist_cust_other_n</t>
  </si>
  <si>
    <t>vehicle_value_group, cover_type, vehicle_age, region, driver_age, voluntary_excess, urban_density</t>
  </si>
  <si>
    <t>Line-level set of 75 features (SAM 5: 76, + premium_index); see models/sam_iteration_04/features_used.csv</t>
  </si>
  <si>
    <t>flood_zone, elevation_m, distance_to_river_km, sum_insured, bedrooms, property_age, property_type, construction_type, occupancy, prior_claims_5y, missed_payments_12m, region, urban_density, soil_type, trees_within_5m, roof_type, basement, listed_building, accidental_damage_cover, days_unoccupied, voluntary_excess, wind_exposure_index, hail_days, dry_summer_index, rainfall_mm, freezing_days, hist_pol_n, hist_addr_flood, hist_addr_water, hist_addr_storm</t>
  </si>
  <si>
    <t>sum_insured, property_type, region, flood_zone, property_age, accidental_damage_cover</t>
  </si>
  <si>
    <t>Line-level set of 65 features (SAM 5: 66, + premium_index); see models/sam_iteration_04/features_used.csv</t>
  </si>
  <si>
    <t>flood_zone, elevation_m, distance_to_river_km, basement, sum_insured, region, rainfall_mm, hist_addr_flood</t>
  </si>
  <si>
    <t>soil_type, trees_within_5m, dry_summer_index, property_age, sum_insured, region</t>
  </si>
  <si>
    <t>sum_insured, property_type, construction_type, occupancy, smoke_alarms, region, urban_density, listed_building, prior_claims_5y, hist_pol_n</t>
  </si>
  <si>
    <t>flood_zone, elevation_m, distance_to_river_km, sum_insured, tenure, region, policyholder_age, prior_claims_5y, urban_density, missed_payments_12m, voluntary_excess, security_level, high_value_items, accidental_damage_cover, works_from_home, lodgers, bicycle_cover, property_type, household_size, hist_pol_n, hist_cust_other_n, hist_addr_flood, hist_addr_water</t>
  </si>
  <si>
    <t>sum_insured, high_value_items, region, tenure, accidental_damage_cover</t>
  </si>
  <si>
    <t>flood_zone, elevation_m, distance_to_river_km, property_type, sum_insured, region, rainfall_mm, hist_addr_flood</t>
  </si>
  <si>
    <t>item</t>
  </si>
  <si>
    <t>value</t>
  </si>
  <si>
    <t>Purpose</t>
  </si>
  <si>
    <t>Compare WENDY 4/5/6, SAM 3 and the WENDY 7 (Claude Code) models: submitted #10 and final2 (on hold) - by line, by peril, freq/sev spec, features; SAM 4 and SAM 5 added 23 Oct 2026</t>
  </si>
  <si>
    <t>Primary score</t>
  </si>
  <si>
    <t>Local protocol = mean of 2023 and 2024 folds, Tweedie D2 (p 1.5) on reported_raw actuals, ALL lines (handoff section 3). Predicted #10 public gain within 0.0002.</t>
  </si>
  <si>
    <t>Second score</t>
  </si>
  <si>
    <t>dev_2024 = 2024 fold on developed actuals - the only basis on which WENDY 5 and WENDY 6 were scored.</t>
  </si>
  <si>
    <t>Sources</t>
  </si>
  <si>
    <t>output/4_check_reported/*/line_scores.csv, peril_scores.csv; models/wendy_iteration_06/comparison; models/wendy_iteration_07/c5; docs/*.xlsx; docs/workflow.md; SAM 4/5: models/sam_iteration_04|05/validation_*.csv, trend_by_peril.csv, claim_caps.csv, ibnr_vs_sam03.csv, features_used.csv</t>
  </si>
  <si>
    <t>Not available</t>
  </si>
  <si>
    <t>WENDY 5 per-peril scores (models/wendy_iteration_05 not on disk); SAM 3 per-peril scores (only line-level saved); separate frequency-only / severity-only scores for any model (pred_freq / pred_sev not saved). WENDY 5/6 have no reported_raw protocol score. SAM 4/5: per-peril and dev_2024 scores (only line-level blend metrics saved); their reported_raw columns come from the SAM model card scorer, which puts SAM 3 at 0.10146 vs 0.10135 here - compare SAM 4/5 to SAM 3 via the delta in their method column.</t>
  </si>
  <si>
    <t>Prepared</t>
  </si>
  <si>
    <t>23 Oct 2026, read-only analysis of saved outputs (no models re-run)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</si>
</sst>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Font="1"/>
    <xf numFmtId="0" fontId="0" fillId="0" borderId="0" xfId="0" applyFont="1" applyAlignment="1">
      <alignment vertical="top" wrapText="1"/>
    </xf>
    <xf numFmtId="164" fontId="0" fillId="0" borderId="0" xfId="0" applyNumberFormat="1" applyFont="1" applyAlignment="1">
      <alignment vertical="top" wrapText="1"/>
    </xf>
    <xf numFmtId="165" fontId="0" fillId="0" borderId="0" xfId="0" applyNumberFormat="1" applyFont="1" applyAlignment="1">
      <alignment vertical="top" wrapText="1"/>
    </xf>
    <xf numFmtId="0" fontId="0" fillId="3" borderId="0" xfId="0" applyFont="1" applyFill="1" applyAlignment="1">
      <alignment vertical="top" wrapText="1"/>
    </xf>
    <xf numFmtId="164" fontId="0" fillId="3" borderId="0" xfId="0" applyNumberFormat="1" applyFont="1" applyFill="1" applyAlignment="1">
      <alignment vertical="top" wrapText="1"/>
    </xf>
    <xf numFmtId="165" fontId="0" fillId="3" borderId="0" xfId="0" applyNumberFormat="1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0" fillId="0" borderId="1" xfId="0" applyFont="1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 activeCell="B10" sqref="B10"/>
    </sheetView>
  </sheetViews>
  <sheetFormatPr defaultColWidth="11.42578125" defaultRowHeight="15" x14ac:dyDescent="0.25"/>
  <cols>
    <col min="1" max="1" width="12.5703125" style="2" bestFit="1" customWidth="1"/>
    <col min="2" max="2" width="121.5703125" style="2" bestFit="1" customWidth="1"/>
    <col min="3" max="16384" width="11.42578125" style="2"/>
  </cols>
  <sheetData>
    <row r="1" spans="1:2" x14ac:dyDescent="0.25">
      <c r="A1" s="1" t="s">
        <v>369</v>
      </c>
      <c r="B1" s="1" t="s">
        <v>370</v>
      </c>
    </row>
    <row r="2" spans="1:2" ht="40.5" customHeight="1" x14ac:dyDescent="0.25">
      <c r="A2" s="3" t="s">
        <v>371</v>
      </c>
      <c r="B2" s="3" t="s">
        <v>372</v>
      </c>
    </row>
    <row r="3" spans="1:2" ht="40.5" customHeight="1" x14ac:dyDescent="0.25">
      <c r="A3" s="3" t="s">
        <v>373</v>
      </c>
      <c r="B3" s="3" t="s">
        <v>374</v>
      </c>
    </row>
    <row r="4" spans="1:2" ht="27" customHeight="1" x14ac:dyDescent="0.25">
      <c r="A4" s="3" t="s">
        <v>375</v>
      </c>
      <c r="B4" s="3" t="s">
        <v>376</v>
      </c>
    </row>
    <row r="5" spans="1:2" ht="54" customHeight="1" x14ac:dyDescent="0.25">
      <c r="A5" s="3" t="s">
        <v>377</v>
      </c>
      <c r="B5" s="3" t="s">
        <v>378</v>
      </c>
    </row>
    <row r="6" spans="1:2" ht="67.5" customHeight="1" x14ac:dyDescent="0.25">
      <c r="A6" s="3" t="s">
        <v>379</v>
      </c>
      <c r="B6" s="3" t="s">
        <v>380</v>
      </c>
    </row>
    <row r="7" spans="1:2" ht="27" customHeight="1" x14ac:dyDescent="0.25">
      <c r="A7" s="3" t="s">
        <v>381</v>
      </c>
      <c r="B7" s="3" t="s">
        <v>382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 activeCell="H6" sqref="H6"/>
    </sheetView>
  </sheetViews>
  <sheetFormatPr defaultColWidth="11.42578125" defaultRowHeight="15" x14ac:dyDescent="0.25"/>
  <cols>
    <col min="1" max="1" width="28.140625" style="2" bestFit="1" customWidth="1"/>
    <col min="2" max="2" width="27.5703125" style="2" bestFit="1" customWidth="1"/>
    <col min="3" max="3" width="9.7109375" style="2" bestFit="1" customWidth="1"/>
    <col min="4" max="4" width="37.140625" style="2" bestFit="1" customWidth="1"/>
    <col min="5" max="6" width="11.42578125" style="2" bestFit="1" customWidth="1"/>
    <col min="7" max="7" width="15" style="2" bestFit="1" customWidth="1"/>
    <col min="8" max="8" width="17.85546875" style="2" bestFit="1" customWidth="1"/>
    <col min="9" max="9" width="17.42578125" style="2" bestFit="1" customWidth="1"/>
    <col min="10" max="10" width="13.42578125" style="11" bestFit="1" customWidth="1"/>
    <col min="11" max="11" width="15.85546875" style="12" bestFit="1" customWidth="1"/>
    <col min="12" max="12" width="18.7109375" style="12" bestFit="1" customWidth="1"/>
    <col min="13" max="13" width="18.28515625" style="12" bestFit="1" customWidth="1"/>
    <col min="14" max="14" width="18.7109375" style="2" bestFit="1" customWidth="1"/>
    <col min="15" max="15" width="14.28515625" style="2" bestFit="1" customWidth="1"/>
    <col min="16" max="16" width="24.28515625" style="2" bestFit="1" customWidth="1"/>
    <col min="17" max="17" width="75.7109375" style="2" bestFit="1" customWidth="1"/>
    <col min="18" max="18" width="59.42578125" style="2" bestFit="1" customWidth="1"/>
    <col min="19" max="16384" width="11.42578125" style="2"/>
  </cols>
  <sheetData>
    <row r="1" spans="1:1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4" customHeight="1" x14ac:dyDescent="0.25">
      <c r="A2" s="3" t="s">
        <v>18</v>
      </c>
      <c r="B2" s="3" t="s">
        <v>19</v>
      </c>
      <c r="C2" s="4">
        <v>0.12670999999999999</v>
      </c>
      <c r="D2" s="5">
        <v>0.100830082672706</v>
      </c>
      <c r="E2" s="5">
        <v>0.10281717556219901</v>
      </c>
      <c r="F2" s="5">
        <v>9.8842989783213001E-2</v>
      </c>
      <c r="G2" s="5">
        <v>4.4658550730681548E-2</v>
      </c>
      <c r="H2" s="5">
        <v>7.1627819208407897E-2</v>
      </c>
      <c r="I2" s="5">
        <v>6.70203332228205E-2</v>
      </c>
      <c r="J2" s="5">
        <v>0.104545761232631</v>
      </c>
      <c r="K2" s="5">
        <v>5.50991388279422E-2</v>
      </c>
      <c r="L2" s="5">
        <v>7.1229790726078601E-2</v>
      </c>
      <c r="M2" s="5">
        <v>6.3850125538104693E-2</v>
      </c>
      <c r="N2" s="3">
        <v>6</v>
      </c>
      <c r="O2" s="3">
        <v>5</v>
      </c>
      <c r="P2" s="3" t="s">
        <v>20</v>
      </c>
      <c r="Q2" s="3" t="s">
        <v>21</v>
      </c>
      <c r="R2" s="3" t="s">
        <v>22</v>
      </c>
    </row>
    <row r="3" spans="1:18" ht="54" customHeight="1" x14ac:dyDescent="0.25">
      <c r="A3" s="3" t="s">
        <v>23</v>
      </c>
      <c r="B3" s="3" t="s">
        <v>24</v>
      </c>
      <c r="C3" s="4">
        <v>0.12636</v>
      </c>
      <c r="D3" s="3"/>
      <c r="E3" s="3"/>
      <c r="F3" s="3"/>
      <c r="G3" s="3"/>
      <c r="H3" s="3"/>
      <c r="I3" s="3"/>
      <c r="J3" s="3">
        <v>0.10249999999999999</v>
      </c>
      <c r="K3" s="3">
        <v>5.1999999999999998E-2</v>
      </c>
      <c r="L3" s="3">
        <v>6.9000000000000006E-2</v>
      </c>
      <c r="M3" s="3">
        <v>6.3E-2</v>
      </c>
      <c r="N3" s="3"/>
      <c r="O3" s="3">
        <v>7</v>
      </c>
      <c r="P3" s="3" t="s">
        <v>20</v>
      </c>
      <c r="Q3" s="3" t="s">
        <v>25</v>
      </c>
      <c r="R3" s="3" t="s">
        <v>26</v>
      </c>
    </row>
    <row r="4" spans="1:18" ht="40.5" customHeight="1" x14ac:dyDescent="0.25">
      <c r="A4" s="3" t="s">
        <v>27</v>
      </c>
      <c r="B4" s="3" t="s">
        <v>28</v>
      </c>
      <c r="C4" s="4"/>
      <c r="D4" s="3"/>
      <c r="E4" s="3"/>
      <c r="F4" s="3"/>
      <c r="G4" s="3"/>
      <c r="H4" s="3"/>
      <c r="I4" s="3"/>
      <c r="J4" s="3">
        <v>0.1007</v>
      </c>
      <c r="K4" s="3">
        <v>4.9599999999999998E-2</v>
      </c>
      <c r="L4" s="3">
        <v>7.2499999999999995E-2</v>
      </c>
      <c r="M4" s="3">
        <v>5.2999999999999999E-2</v>
      </c>
      <c r="N4" s="3"/>
      <c r="O4" s="3">
        <v>8</v>
      </c>
      <c r="P4" s="3" t="s">
        <v>20</v>
      </c>
      <c r="Q4" s="3" t="s">
        <v>29</v>
      </c>
      <c r="R4" s="3" t="s">
        <v>30</v>
      </c>
    </row>
    <row r="5" spans="1:18" ht="67.5" customHeight="1" x14ac:dyDescent="0.25">
      <c r="A5" s="3" t="s">
        <v>31</v>
      </c>
      <c r="B5" s="3" t="s">
        <v>32</v>
      </c>
      <c r="C5" s="4">
        <v>0.12817999999999999</v>
      </c>
      <c r="D5" s="5">
        <v>0.10135070077518089</v>
      </c>
      <c r="E5" s="5">
        <v>0.104240881381141</v>
      </c>
      <c r="F5" s="5">
        <v>9.8460520169220703E-2</v>
      </c>
      <c r="G5" s="5">
        <v>4.4612219823856637E-2</v>
      </c>
      <c r="H5" s="5">
        <v>7.2946561952064892E-2</v>
      </c>
      <c r="I5" s="5">
        <v>6.7297368542403951E-2</v>
      </c>
      <c r="J5" s="5">
        <v>0.10547752217622</v>
      </c>
      <c r="K5" s="5">
        <v>5.5473012254957398E-2</v>
      </c>
      <c r="L5" s="5">
        <v>7.3367901279182093E-2</v>
      </c>
      <c r="M5" s="5">
        <v>6.4050395917032293E-2</v>
      </c>
      <c r="N5" s="3">
        <v>5</v>
      </c>
      <c r="O5" s="3">
        <v>3</v>
      </c>
      <c r="P5" s="3" t="s">
        <v>33</v>
      </c>
      <c r="Q5" s="3" t="s">
        <v>34</v>
      </c>
      <c r="R5" s="3" t="s">
        <v>35</v>
      </c>
    </row>
    <row r="6" spans="1:18" ht="40.5" customHeight="1" x14ac:dyDescent="0.25">
      <c r="A6" s="3" t="s">
        <v>36</v>
      </c>
      <c r="B6" s="3" t="s">
        <v>37</v>
      </c>
      <c r="C6" s="4"/>
      <c r="D6" s="5">
        <v>0.10142685208611769</v>
      </c>
      <c r="E6" s="5">
        <v>0.10454400312719</v>
      </c>
      <c r="F6" s="5">
        <v>9.83097010450453E-2</v>
      </c>
      <c r="G6" s="5">
        <v>4.4795653489024201E-2</v>
      </c>
      <c r="H6" s="5">
        <v>7.2911519364327396E-2</v>
      </c>
      <c r="I6" s="5">
        <v>6.75170027308791E-2</v>
      </c>
      <c r="J6" s="5">
        <v>0.10438499557621</v>
      </c>
      <c r="K6" s="5">
        <v>5.4170873982426898E-2</v>
      </c>
      <c r="L6" s="5">
        <v>7.2071990685540196E-2</v>
      </c>
      <c r="M6" s="5">
        <v>6.3600788709223602E-2</v>
      </c>
      <c r="N6" s="3">
        <v>4</v>
      </c>
      <c r="O6" s="3">
        <v>6</v>
      </c>
      <c r="P6" s="3" t="s">
        <v>38</v>
      </c>
      <c r="Q6" s="3" t="s">
        <v>39</v>
      </c>
      <c r="R6" s="3" t="s">
        <v>40</v>
      </c>
    </row>
    <row r="7" spans="1:18" ht="40.5" customHeight="1" x14ac:dyDescent="0.25">
      <c r="A7" s="3" t="s">
        <v>41</v>
      </c>
      <c r="B7" s="3" t="s">
        <v>42</v>
      </c>
      <c r="C7" s="4"/>
      <c r="D7" s="5">
        <v>0.1025528676985432</v>
      </c>
      <c r="E7" s="5">
        <v>0.105862056194002</v>
      </c>
      <c r="F7" s="5">
        <v>9.9243679203084495E-2</v>
      </c>
      <c r="G7" s="5">
        <v>4.6874342950667947E-2</v>
      </c>
      <c r="H7" s="5">
        <v>7.32989294150376E-2</v>
      </c>
      <c r="I7" s="5">
        <v>6.7893007961346341E-2</v>
      </c>
      <c r="J7" s="5">
        <v>0.10514449624137601</v>
      </c>
      <c r="K7" s="5">
        <v>5.5241920095305999E-2</v>
      </c>
      <c r="L7" s="5">
        <v>7.2757229507724994E-2</v>
      </c>
      <c r="M7" s="5">
        <v>6.3921505504088205E-2</v>
      </c>
      <c r="N7" s="3">
        <v>2</v>
      </c>
      <c r="O7" s="3">
        <v>4</v>
      </c>
      <c r="P7" s="3" t="s">
        <v>43</v>
      </c>
      <c r="Q7" s="3" t="s">
        <v>44</v>
      </c>
      <c r="R7" s="3" t="s">
        <v>45</v>
      </c>
    </row>
    <row r="8" spans="1:18" ht="27" customHeight="1" x14ac:dyDescent="0.25">
      <c r="A8" s="6" t="s">
        <v>46</v>
      </c>
      <c r="B8" s="6" t="s">
        <v>47</v>
      </c>
      <c r="C8" s="7">
        <v>0.12923999999999999</v>
      </c>
      <c r="D8" s="8">
        <v>0.10228055387037981</v>
      </c>
      <c r="E8" s="8">
        <v>0.105376212768101</v>
      </c>
      <c r="F8" s="8">
        <v>9.9184894972658602E-2</v>
      </c>
      <c r="G8" s="8">
        <v>4.5565539006800299E-2</v>
      </c>
      <c r="H8" s="8">
        <v>7.3955542274566549E-2</v>
      </c>
      <c r="I8" s="8">
        <v>6.8360936732246552E-2</v>
      </c>
      <c r="J8" s="8">
        <v>0.105800768660786</v>
      </c>
      <c r="K8" s="8">
        <v>5.57949698297718E-2</v>
      </c>
      <c r="L8" s="8">
        <v>7.3604657164717494E-2</v>
      </c>
      <c r="M8" s="8">
        <v>6.4629422774829304E-2</v>
      </c>
      <c r="N8" s="6">
        <v>3</v>
      </c>
      <c r="O8" s="6">
        <v>2</v>
      </c>
      <c r="P8" s="6" t="s">
        <v>48</v>
      </c>
      <c r="Q8" s="6" t="s">
        <v>49</v>
      </c>
      <c r="R8" s="6" t="s">
        <v>50</v>
      </c>
    </row>
    <row r="9" spans="1:18" ht="27" customHeight="1" x14ac:dyDescent="0.25">
      <c r="A9" s="6" t="s">
        <v>51</v>
      </c>
      <c r="B9" s="6" t="s">
        <v>52</v>
      </c>
      <c r="C9" s="7">
        <v>0.12925</v>
      </c>
      <c r="D9" s="8">
        <v>0.1030207806311508</v>
      </c>
      <c r="E9" s="8">
        <v>0.106191639532041</v>
      </c>
      <c r="F9" s="8">
        <v>9.9849921730260596E-2</v>
      </c>
      <c r="G9" s="8">
        <v>4.6975936192554149E-2</v>
      </c>
      <c r="H9" s="8">
        <v>7.4169299000375097E-2</v>
      </c>
      <c r="I9" s="8">
        <v>6.8597622036605202E-2</v>
      </c>
      <c r="J9" s="8">
        <v>0.10601969658572601</v>
      </c>
      <c r="K9" s="8">
        <v>5.5959014528656398E-2</v>
      </c>
      <c r="L9" s="8">
        <v>7.3972746753432697E-2</v>
      </c>
      <c r="M9" s="8">
        <v>6.4749248348217797E-2</v>
      </c>
      <c r="N9" s="6">
        <v>1</v>
      </c>
      <c r="O9" s="6">
        <v>1</v>
      </c>
      <c r="P9" s="6" t="s">
        <v>53</v>
      </c>
      <c r="Q9" s="6" t="s">
        <v>54</v>
      </c>
      <c r="R9" s="6" t="s">
        <v>55</v>
      </c>
    </row>
    <row r="10" spans="1:18" ht="105" x14ac:dyDescent="0.25">
      <c r="A10" s="3" t="s">
        <v>221</v>
      </c>
      <c r="B10" s="3" t="s">
        <v>222</v>
      </c>
      <c r="C10" s="4"/>
      <c r="D10" s="5">
        <v>0.101566966294708</v>
      </c>
      <c r="E10" s="5">
        <v>0.104690289838225</v>
      </c>
      <c r="F10" s="5">
        <v>9.8443642751191301E-2</v>
      </c>
      <c r="G10" s="5">
        <v>4.4895725549160201E-2</v>
      </c>
      <c r="H10" s="5">
        <v>7.3079488274517199E-2</v>
      </c>
      <c r="I10" s="5">
        <v>6.7533756194619904E-2</v>
      </c>
      <c r="J10" s="5"/>
      <c r="K10" s="5"/>
      <c r="L10" s="5"/>
      <c r="M10" s="5"/>
      <c r="N10" s="3"/>
      <c r="O10" s="3"/>
      <c r="P10" s="3" t="s">
        <v>223</v>
      </c>
      <c r="Q10" s="3" t="s">
        <v>224</v>
      </c>
      <c r="R10" s="3" t="s">
        <v>225</v>
      </c>
    </row>
    <row r="11" spans="1:18" ht="105" x14ac:dyDescent="0.25">
      <c r="A11" s="3" t="s">
        <v>226</v>
      </c>
      <c r="B11" s="3" t="s">
        <v>227</v>
      </c>
      <c r="C11" s="4"/>
      <c r="D11" s="5">
        <v>0.10152735651185001</v>
      </c>
      <c r="E11" s="5">
        <v>0.10476425250540899</v>
      </c>
      <c r="F11" s="5">
        <v>9.8290460518291198E-2</v>
      </c>
      <c r="G11" s="5">
        <v>4.4346254702228402E-2</v>
      </c>
      <c r="H11" s="5">
        <v>7.3780720152926402E-2</v>
      </c>
      <c r="I11" s="5">
        <v>6.7422249323323094E-2</v>
      </c>
      <c r="J11" s="5"/>
      <c r="K11" s="5"/>
      <c r="L11" s="5"/>
      <c r="M11" s="5"/>
      <c r="N11" s="3"/>
      <c r="O11" s="3"/>
      <c r="P11" s="3" t="s">
        <v>228</v>
      </c>
      <c r="Q11" s="3" t="s">
        <v>229</v>
      </c>
      <c r="R11" s="3" t="s">
        <v>230</v>
      </c>
    </row>
  </sheetData>
  <conditionalFormatting sqref="D2:D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6"/>
  <sheetViews>
    <sheetView tabSelected="1" zoomScale="130" zoomScaleNormal="130" workbookViewId="0">
      <pane xSplit="2" ySplit="1" topLeftCell="X2" activePane="bottomRight" state="frozen"/>
      <selection pane="topRight"/>
      <selection pane="bottomLeft"/>
      <selection pane="bottomRight" activeCell="Y20" sqref="Y20"/>
    </sheetView>
  </sheetViews>
  <sheetFormatPr defaultColWidth="11.42578125" defaultRowHeight="15" x14ac:dyDescent="0.25"/>
  <cols>
    <col min="1" max="1" width="10" style="2" customWidth="1"/>
    <col min="2" max="2" width="25.28515625" style="2" customWidth="1"/>
    <col min="3" max="3" width="16.140625" style="2" customWidth="1"/>
    <col min="4" max="4" width="20.140625" style="2" customWidth="1"/>
    <col min="5" max="5" width="27.85546875" style="2" customWidth="1"/>
    <col min="6" max="6" width="23.140625" style="2" customWidth="1"/>
    <col min="7" max="7" width="24.42578125" style="2" customWidth="1"/>
    <col min="8" max="8" width="25.28515625" style="2" customWidth="1"/>
    <col min="9" max="9" width="12.85546875" style="2" customWidth="1"/>
    <col min="10" max="10" width="26.42578125" style="2" customWidth="1"/>
    <col min="11" max="11" width="21.7109375" style="2" customWidth="1"/>
    <col min="12" max="15" width="24.7109375" style="2" customWidth="1"/>
    <col min="16" max="16" width="13.85546875" style="2" customWidth="1"/>
    <col min="17" max="17" width="21.85546875" style="2" customWidth="1"/>
    <col min="18" max="18" width="19.5703125" style="2" customWidth="1"/>
    <col min="19" max="19" width="23.42578125" style="2" customWidth="1"/>
    <col min="20" max="20" width="20.5703125" style="2" customWidth="1"/>
    <col min="21" max="21" width="21.140625" style="2" customWidth="1"/>
    <col min="22" max="22" width="19.5703125" style="2" customWidth="1"/>
    <col min="23" max="23" width="13.7109375" style="2" customWidth="1"/>
    <col min="24" max="24" width="24.7109375" style="2" customWidth="1"/>
    <col min="25" max="25" width="22" style="2" customWidth="1"/>
    <col min="26" max="26" width="22.7109375" style="2" customWidth="1"/>
    <col min="27" max="27" width="27.42578125" style="2" bestFit="1" customWidth="1"/>
    <col min="28" max="28" width="16.28515625" style="2" customWidth="1"/>
    <col min="29" max="29" width="22.5703125" style="2" customWidth="1"/>
    <col min="30" max="16384" width="11.42578125" style="2"/>
  </cols>
  <sheetData>
    <row r="1" spans="1:29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</row>
    <row r="2" spans="1:29" x14ac:dyDescent="0.25">
      <c r="A2" s="3" t="s">
        <v>85</v>
      </c>
      <c r="B2" s="3" t="s">
        <v>86</v>
      </c>
      <c r="C2" s="3">
        <v>110</v>
      </c>
      <c r="D2" s="5">
        <v>0.19513925847081781</v>
      </c>
      <c r="E2" s="5">
        <v>0.164274951287325</v>
      </c>
      <c r="F2" s="5">
        <v>0.16769951168061401</v>
      </c>
      <c r="G2" s="5">
        <v>0.16623087253817601</v>
      </c>
      <c r="H2" s="5">
        <v>0.173017800188322</v>
      </c>
      <c r="I2" s="3" t="s">
        <v>87</v>
      </c>
      <c r="J2" s="5">
        <v>0.16623087253817601</v>
      </c>
      <c r="K2" s="5">
        <v>0.173017800188322</v>
      </c>
      <c r="L2" s="5">
        <v>0.16471484905766451</v>
      </c>
      <c r="M2" s="5">
        <v>0.16818418979820399</v>
      </c>
      <c r="N2" s="5">
        <v>0.168520057130953</v>
      </c>
      <c r="O2" s="5">
        <v>0.17280835587691101</v>
      </c>
      <c r="P2" s="3" t="s">
        <v>87</v>
      </c>
      <c r="Q2" s="5">
        <v>0.168520057130953</v>
      </c>
      <c r="R2" s="5">
        <v>0.17280835587691101</v>
      </c>
      <c r="S2" s="5">
        <v>0.16471484905766451</v>
      </c>
      <c r="T2" s="5">
        <v>0.16818418979820399</v>
      </c>
      <c r="U2" s="5">
        <v>0.168520057130953</v>
      </c>
      <c r="V2" s="5">
        <v>0.17280835587691101</v>
      </c>
      <c r="W2" s="3" t="s">
        <v>88</v>
      </c>
      <c r="X2" s="5">
        <v>0.16471484905766451</v>
      </c>
      <c r="Y2" s="5">
        <v>0.16818418979820399</v>
      </c>
      <c r="Z2" s="5">
        <v>0.165037145990135</v>
      </c>
      <c r="AA2" s="3" t="s">
        <v>89</v>
      </c>
      <c r="AB2" s="5">
        <v>0.173017800188322</v>
      </c>
      <c r="AC2" s="5">
        <v>-4.8336103901180094E-3</v>
      </c>
    </row>
    <row r="3" spans="1:29" x14ac:dyDescent="0.25">
      <c r="A3" s="3" t="s">
        <v>85</v>
      </c>
      <c r="B3" s="3" t="s">
        <v>90</v>
      </c>
      <c r="C3" s="5">
        <v>179.5</v>
      </c>
      <c r="D3" s="5">
        <v>0.31843178995919807</v>
      </c>
      <c r="E3" s="5">
        <v>5.6823992911634598E-2</v>
      </c>
      <c r="F3" s="5">
        <v>5.2235096908610799E-2</v>
      </c>
      <c r="G3" s="5">
        <v>5.4612133799917403E-2</v>
      </c>
      <c r="H3" s="5">
        <v>5.0131520284098501E-2</v>
      </c>
      <c r="I3" s="3" t="s">
        <v>88</v>
      </c>
      <c r="J3" s="5">
        <v>5.6823992911634598E-2</v>
      </c>
      <c r="K3" s="5">
        <v>5.2235096908610799E-2</v>
      </c>
      <c r="L3" s="5">
        <v>5.7298633401881752E-2</v>
      </c>
      <c r="M3" s="5">
        <v>5.2466388476031398E-2</v>
      </c>
      <c r="N3" s="5">
        <v>5.5118139697802097E-2</v>
      </c>
      <c r="O3" s="5">
        <v>5.0983290763530302E-2</v>
      </c>
      <c r="P3" s="3" t="s">
        <v>88</v>
      </c>
      <c r="Q3" s="5">
        <v>5.7298633401881752E-2</v>
      </c>
      <c r="R3" s="5">
        <v>5.2466388476031398E-2</v>
      </c>
      <c r="S3" s="5">
        <v>5.7515492854181949E-2</v>
      </c>
      <c r="T3" s="5">
        <v>5.2519119822566997E-2</v>
      </c>
      <c r="U3" s="5">
        <v>5.5358843954070203E-2</v>
      </c>
      <c r="V3" s="5">
        <v>5.0965939934285998E-2</v>
      </c>
      <c r="W3" s="3" t="s">
        <v>88</v>
      </c>
      <c r="X3" s="5">
        <v>5.7515492854181949E-2</v>
      </c>
      <c r="Y3" s="5">
        <v>5.2519119822566997E-2</v>
      </c>
      <c r="Z3" s="5">
        <v>5.0835723444751499E-2</v>
      </c>
      <c r="AA3" s="3" t="s">
        <v>91</v>
      </c>
      <c r="AB3" s="5">
        <v>5.2519119822566997E-2</v>
      </c>
      <c r="AC3" s="3">
        <v>0</v>
      </c>
    </row>
    <row r="4" spans="1:29" x14ac:dyDescent="0.25">
      <c r="A4" s="3" t="s">
        <v>85</v>
      </c>
      <c r="B4" s="3" t="s">
        <v>92</v>
      </c>
      <c r="C4" s="5">
        <v>200.3</v>
      </c>
      <c r="D4" s="5">
        <v>0.35533084974277102</v>
      </c>
      <c r="E4" s="5">
        <v>9.416682384234553E-3</v>
      </c>
      <c r="F4" s="5">
        <v>3.2559953272051703E-2</v>
      </c>
      <c r="G4" s="5">
        <v>3.361939291741755E-2</v>
      </c>
      <c r="H4" s="5">
        <v>4.9414776506235603E-2</v>
      </c>
      <c r="I4" s="3" t="s">
        <v>87</v>
      </c>
      <c r="J4" s="5">
        <v>3.361939291741755E-2</v>
      </c>
      <c r="K4" s="5">
        <v>4.9414776506235603E-2</v>
      </c>
      <c r="L4" s="5">
        <v>2.7746968534027E-2</v>
      </c>
      <c r="M4" s="5">
        <v>4.4260723840861403E-2</v>
      </c>
      <c r="N4" s="5">
        <v>3.0523365209931701E-2</v>
      </c>
      <c r="O4" s="5">
        <v>4.9804101809301497E-2</v>
      </c>
      <c r="P4" s="3" t="s">
        <v>87</v>
      </c>
      <c r="Q4" s="5">
        <v>3.0523365209931701E-2</v>
      </c>
      <c r="R4" s="5">
        <v>4.9804101809301497E-2</v>
      </c>
      <c r="S4" s="5">
        <v>2.7746968534027E-2</v>
      </c>
      <c r="T4" s="5">
        <v>4.4260723840861403E-2</v>
      </c>
      <c r="U4" s="5">
        <v>3.0523365209931701E-2</v>
      </c>
      <c r="V4" s="5">
        <v>4.9804101809301497E-2</v>
      </c>
      <c r="W4" s="3" t="s">
        <v>87</v>
      </c>
      <c r="X4" s="5">
        <v>3.0523365209931701E-2</v>
      </c>
      <c r="Y4" s="5">
        <v>4.9804101809301497E-2</v>
      </c>
      <c r="Z4" s="5">
        <v>3.42191843385087E-2</v>
      </c>
      <c r="AA4" s="3" t="s">
        <v>93</v>
      </c>
      <c r="AB4" s="5">
        <v>4.9804101809301497E-2</v>
      </c>
      <c r="AC4" s="3">
        <v>0</v>
      </c>
    </row>
    <row r="5" spans="1:29" x14ac:dyDescent="0.25">
      <c r="A5" s="3" t="s">
        <v>85</v>
      </c>
      <c r="B5" s="3" t="s">
        <v>94</v>
      </c>
      <c r="C5" s="3">
        <v>49</v>
      </c>
      <c r="D5" s="5">
        <v>8.6925669682455201E-2</v>
      </c>
      <c r="E5" s="5">
        <v>6.9502258375364098E-2</v>
      </c>
      <c r="F5" s="5">
        <v>7.9563758054578895E-2</v>
      </c>
      <c r="G5" s="5">
        <v>6.2584636652551096E-2</v>
      </c>
      <c r="H5" s="5">
        <v>7.6795775623773002E-2</v>
      </c>
      <c r="I5" s="3" t="s">
        <v>88</v>
      </c>
      <c r="J5" s="5">
        <v>6.9502258375364098E-2</v>
      </c>
      <c r="K5" s="5">
        <v>7.9563758054578895E-2</v>
      </c>
      <c r="L5" s="5">
        <v>7.1291291632086196E-2</v>
      </c>
      <c r="M5" s="5">
        <v>7.9212526407616099E-2</v>
      </c>
      <c r="N5" s="5">
        <v>6.9513693389020845E-2</v>
      </c>
      <c r="O5" s="5">
        <v>7.7458579933216004E-2</v>
      </c>
      <c r="P5" s="3" t="s">
        <v>88</v>
      </c>
      <c r="Q5" s="5">
        <v>7.1291291632086196E-2</v>
      </c>
      <c r="R5" s="5">
        <v>7.9212526407616099E-2</v>
      </c>
      <c r="S5" s="5">
        <v>7.8200871903388508E-2</v>
      </c>
      <c r="T5" s="5">
        <v>8.4468437795555795E-2</v>
      </c>
      <c r="U5" s="5">
        <v>6.9513693389020845E-2</v>
      </c>
      <c r="V5" s="5">
        <v>7.7458579933216004E-2</v>
      </c>
      <c r="W5" s="3" t="s">
        <v>88</v>
      </c>
      <c r="X5" s="5">
        <v>7.8200871903388508E-2</v>
      </c>
      <c r="Y5" s="5">
        <v>8.4468437795555795E-2</v>
      </c>
      <c r="Z5" s="5">
        <v>7.9428654661024195E-2</v>
      </c>
      <c r="AA5" s="3" t="s">
        <v>91</v>
      </c>
      <c r="AB5" s="5">
        <v>8.4468437795555795E-2</v>
      </c>
      <c r="AC5" s="3">
        <v>0</v>
      </c>
    </row>
    <row r="6" spans="1:29" x14ac:dyDescent="0.25">
      <c r="A6" s="3" t="s">
        <v>85</v>
      </c>
      <c r="B6" s="3" t="s">
        <v>95</v>
      </c>
      <c r="C6" s="3">
        <v>25</v>
      </c>
      <c r="D6" s="5">
        <v>4.4349831470640408E-2</v>
      </c>
      <c r="E6" s="5">
        <v>0.1371330515885725</v>
      </c>
      <c r="F6" s="5">
        <v>0.13537389528270699</v>
      </c>
      <c r="G6" s="5">
        <v>0.1356650129186375</v>
      </c>
      <c r="H6" s="5">
        <v>0.134453370671964</v>
      </c>
      <c r="I6" s="3" t="s">
        <v>88</v>
      </c>
      <c r="J6" s="5">
        <v>0.1371330515885725</v>
      </c>
      <c r="K6" s="5">
        <v>0.13537389528270699</v>
      </c>
      <c r="L6" s="5">
        <v>0.137814874803487</v>
      </c>
      <c r="M6" s="5">
        <v>0.13683432614492699</v>
      </c>
      <c r="N6" s="5">
        <v>0.13657688304163951</v>
      </c>
      <c r="O6" s="5">
        <v>0.13465711556540799</v>
      </c>
      <c r="P6" s="3" t="s">
        <v>88</v>
      </c>
      <c r="Q6" s="5">
        <v>0.137814874803487</v>
      </c>
      <c r="R6" s="5">
        <v>0.13683432614492699</v>
      </c>
      <c r="S6" s="5">
        <v>0.137814874803487</v>
      </c>
      <c r="T6" s="5">
        <v>0.13683432614492699</v>
      </c>
      <c r="U6" s="5">
        <v>0.13657688304163951</v>
      </c>
      <c r="V6" s="5">
        <v>0.13465711556540799</v>
      </c>
      <c r="W6" s="3" t="s">
        <v>88</v>
      </c>
      <c r="X6" s="5">
        <v>0.137814874803487</v>
      </c>
      <c r="Y6" s="5">
        <v>0.13683432614492699</v>
      </c>
      <c r="Z6" s="5">
        <v>0.13894590033054299</v>
      </c>
      <c r="AA6" s="3" t="s">
        <v>96</v>
      </c>
      <c r="AB6" s="5">
        <v>0.13894590033054299</v>
      </c>
      <c r="AC6" s="5">
        <v>-2.1115741856160002E-3</v>
      </c>
    </row>
    <row r="7" spans="1:29" x14ac:dyDescent="0.25">
      <c r="A7" s="3" t="s">
        <v>97</v>
      </c>
      <c r="B7" s="3" t="s">
        <v>98</v>
      </c>
      <c r="C7" s="5">
        <v>60.1</v>
      </c>
      <c r="D7" s="5">
        <v>0.1230296827021494</v>
      </c>
      <c r="E7" s="5">
        <v>5.7429680033654493E-2</v>
      </c>
      <c r="F7" s="5">
        <v>6.3519874939273704E-2</v>
      </c>
      <c r="G7" s="5">
        <v>5.5758642768376797E-2</v>
      </c>
      <c r="H7" s="5">
        <v>6.1602757876634502E-2</v>
      </c>
      <c r="I7" s="3" t="s">
        <v>88</v>
      </c>
      <c r="J7" s="5">
        <v>5.7429680033654493E-2</v>
      </c>
      <c r="K7" s="5">
        <v>6.3519874939273704E-2</v>
      </c>
      <c r="L7" s="5">
        <v>5.7794372702179263E-2</v>
      </c>
      <c r="M7" s="5">
        <v>6.3849070771344302E-2</v>
      </c>
      <c r="N7" s="5">
        <v>5.8207321434831448E-2</v>
      </c>
      <c r="O7" s="5">
        <v>6.4735913353869995E-2</v>
      </c>
      <c r="P7" s="3" t="s">
        <v>88</v>
      </c>
      <c r="Q7" s="5">
        <v>5.7794372702179263E-2</v>
      </c>
      <c r="R7" s="5">
        <v>6.3849070771344302E-2</v>
      </c>
      <c r="S7" s="5">
        <v>5.7794372702179263E-2</v>
      </c>
      <c r="T7" s="5">
        <v>6.3849070771344302E-2</v>
      </c>
      <c r="U7" s="5">
        <v>5.8207321434831448E-2</v>
      </c>
      <c r="V7" s="5">
        <v>6.4735913353869995E-2</v>
      </c>
      <c r="W7" s="3" t="s">
        <v>88</v>
      </c>
      <c r="X7" s="5">
        <v>5.7794372702179263E-2</v>
      </c>
      <c r="Y7" s="5">
        <v>6.3849070771344302E-2</v>
      </c>
      <c r="Z7" s="5">
        <v>6.3275179558090797E-2</v>
      </c>
      <c r="AA7" s="3" t="s">
        <v>93</v>
      </c>
      <c r="AB7" s="5">
        <v>6.3849070771344302E-2</v>
      </c>
      <c r="AC7" s="3">
        <v>0</v>
      </c>
    </row>
    <row r="8" spans="1:29" x14ac:dyDescent="0.25">
      <c r="A8" s="3" t="s">
        <v>97</v>
      </c>
      <c r="B8" s="3" t="s">
        <v>99</v>
      </c>
      <c r="C8" s="5">
        <v>132.80000000000001</v>
      </c>
      <c r="D8" s="5">
        <v>0.27185261003070632</v>
      </c>
      <c r="E8" s="5">
        <v>0.45603246138937448</v>
      </c>
      <c r="F8" s="5">
        <v>0.44023027150288102</v>
      </c>
      <c r="G8" s="5">
        <v>0.29817433468597798</v>
      </c>
      <c r="H8" s="5">
        <v>0.442985074830689</v>
      </c>
      <c r="I8" s="3" t="s">
        <v>88</v>
      </c>
      <c r="J8" s="5">
        <v>0.45603246138937448</v>
      </c>
      <c r="K8" s="5">
        <v>0.44023027150288102</v>
      </c>
      <c r="L8" s="5">
        <v>0.45569470476497947</v>
      </c>
      <c r="M8" s="5">
        <v>0.43698901492822001</v>
      </c>
      <c r="N8" s="5">
        <v>0.44327317523318749</v>
      </c>
      <c r="O8" s="5">
        <v>0.43459312208221801</v>
      </c>
      <c r="P8" s="3" t="s">
        <v>88</v>
      </c>
      <c r="Q8" s="5">
        <v>0.45569470476497947</v>
      </c>
      <c r="R8" s="5">
        <v>0.43698901492822001</v>
      </c>
      <c r="S8" s="5">
        <v>0.45586513182500948</v>
      </c>
      <c r="T8" s="5">
        <v>0.438065495864981</v>
      </c>
      <c r="U8" s="5">
        <v>0.44352334802013299</v>
      </c>
      <c r="V8" s="5">
        <v>0.42866793142626097</v>
      </c>
      <c r="W8" s="3" t="s">
        <v>88</v>
      </c>
      <c r="X8" s="5">
        <v>0.45586513182500948</v>
      </c>
      <c r="Y8" s="5">
        <v>0.438065495864981</v>
      </c>
      <c r="Z8" s="5">
        <v>0.42618898479543799</v>
      </c>
      <c r="AA8" s="3" t="s">
        <v>89</v>
      </c>
      <c r="AB8" s="5">
        <v>0.44023027150288102</v>
      </c>
      <c r="AC8" s="5">
        <v>-2.1647756379000178E-3</v>
      </c>
    </row>
    <row r="9" spans="1:29" x14ac:dyDescent="0.25">
      <c r="A9" s="3" t="s">
        <v>97</v>
      </c>
      <c r="B9" s="3" t="s">
        <v>100</v>
      </c>
      <c r="C9" s="5">
        <v>126.3</v>
      </c>
      <c r="D9" s="5">
        <v>0.258546571136131</v>
      </c>
      <c r="E9" s="5">
        <v>3.8120849155827849E-2</v>
      </c>
      <c r="F9" s="5">
        <v>4.5062253653201101E-2</v>
      </c>
      <c r="G9" s="5">
        <v>3.4982622364888347E-2</v>
      </c>
      <c r="H9" s="5">
        <v>4.1539483891475597E-2</v>
      </c>
      <c r="I9" s="3" t="s">
        <v>88</v>
      </c>
      <c r="J9" s="5">
        <v>3.8120849155827849E-2</v>
      </c>
      <c r="K9" s="5">
        <v>4.5062253653201101E-2</v>
      </c>
      <c r="L9" s="5">
        <v>3.9816562836950647E-2</v>
      </c>
      <c r="M9" s="5">
        <v>4.6725695736968498E-2</v>
      </c>
      <c r="N9" s="5">
        <v>3.7533915462140702E-2</v>
      </c>
      <c r="O9" s="5">
        <v>4.5788800500916799E-2</v>
      </c>
      <c r="P9" s="3" t="s">
        <v>88</v>
      </c>
      <c r="Q9" s="5">
        <v>3.9816562836950647E-2</v>
      </c>
      <c r="R9" s="5">
        <v>4.6725695736968498E-2</v>
      </c>
      <c r="S9" s="5">
        <v>4.0859772501694952E-2</v>
      </c>
      <c r="T9" s="5">
        <v>4.69442366971509E-2</v>
      </c>
      <c r="U9" s="5">
        <v>3.7533915462140702E-2</v>
      </c>
      <c r="V9" s="5">
        <v>4.5788800500916799E-2</v>
      </c>
      <c r="W9" s="3" t="s">
        <v>88</v>
      </c>
      <c r="X9" s="5">
        <v>4.0859772501694952E-2</v>
      </c>
      <c r="Y9" s="5">
        <v>4.69442366971509E-2</v>
      </c>
      <c r="Z9" s="5">
        <v>4.6146762407357697E-2</v>
      </c>
      <c r="AA9" s="3" t="s">
        <v>91</v>
      </c>
      <c r="AB9" s="5">
        <v>4.69442366971509E-2</v>
      </c>
      <c r="AC9" s="3">
        <v>0</v>
      </c>
    </row>
    <row r="10" spans="1:29" x14ac:dyDescent="0.25">
      <c r="A10" s="3" t="s">
        <v>97</v>
      </c>
      <c r="B10" s="3" t="s">
        <v>101</v>
      </c>
      <c r="C10" s="5">
        <v>60.9</v>
      </c>
      <c r="D10" s="5">
        <v>0.1246673490276356</v>
      </c>
      <c r="E10" s="5">
        <v>6.971585633781574E-2</v>
      </c>
      <c r="F10" s="5">
        <v>7.5692082554144793E-2</v>
      </c>
      <c r="G10" s="5">
        <v>6.1221710210114848E-2</v>
      </c>
      <c r="H10" s="5">
        <v>7.6187445777448695E-2</v>
      </c>
      <c r="I10" s="3" t="s">
        <v>88</v>
      </c>
      <c r="J10" s="5">
        <v>6.971585633781574E-2</v>
      </c>
      <c r="K10" s="5">
        <v>7.5692082554144793E-2</v>
      </c>
      <c r="L10" s="5">
        <v>6.9781805403080793E-2</v>
      </c>
      <c r="M10" s="5">
        <v>7.6107232385128398E-2</v>
      </c>
      <c r="N10" s="5">
        <v>6.6988821034663859E-2</v>
      </c>
      <c r="O10" s="5">
        <v>7.5572361538319893E-2</v>
      </c>
      <c r="P10" s="3" t="s">
        <v>88</v>
      </c>
      <c r="Q10" s="5">
        <v>6.9781805403080793E-2</v>
      </c>
      <c r="R10" s="5">
        <v>7.6107232385128398E-2</v>
      </c>
      <c r="S10" s="5">
        <v>6.9781805403080793E-2</v>
      </c>
      <c r="T10" s="5">
        <v>7.6107232385128398E-2</v>
      </c>
      <c r="U10" s="5">
        <v>6.6988821034663859E-2</v>
      </c>
      <c r="V10" s="5">
        <v>7.5572361538319893E-2</v>
      </c>
      <c r="W10" s="3" t="s">
        <v>88</v>
      </c>
      <c r="X10" s="5">
        <v>6.9781805403080793E-2</v>
      </c>
      <c r="Y10" s="5">
        <v>7.6107232385128398E-2</v>
      </c>
      <c r="Z10" s="5">
        <v>7.5985382176687002E-2</v>
      </c>
      <c r="AA10" s="3" t="s">
        <v>93</v>
      </c>
      <c r="AB10" s="5">
        <v>7.6107232385128398E-2</v>
      </c>
      <c r="AC10" s="3">
        <v>0</v>
      </c>
    </row>
    <row r="11" spans="1:29" x14ac:dyDescent="0.25">
      <c r="A11" s="3" t="s">
        <v>97</v>
      </c>
      <c r="B11" s="3" t="s">
        <v>102</v>
      </c>
      <c r="C11" s="5">
        <v>99.7</v>
      </c>
      <c r="D11" s="5">
        <v>0.20409416581371551</v>
      </c>
      <c r="E11" s="5">
        <v>1.6458643258151998E-2</v>
      </c>
      <c r="F11" s="5">
        <v>2.3287534240528401E-2</v>
      </c>
      <c r="G11" s="5">
        <v>-3.0231360992823801E-2</v>
      </c>
      <c r="H11" s="5">
        <v>-8.0444891174323394E-2</v>
      </c>
      <c r="I11" s="3" t="s">
        <v>88</v>
      </c>
      <c r="J11" s="5">
        <v>1.6458643258151998E-2</v>
      </c>
      <c r="K11" s="5">
        <v>2.3287534240528401E-2</v>
      </c>
      <c r="L11" s="5">
        <v>2.3338422882199551E-2</v>
      </c>
      <c r="M11" s="5">
        <v>3.07536310674742E-2</v>
      </c>
      <c r="N11" s="5">
        <v>2.6205584793392151E-2</v>
      </c>
      <c r="O11" s="5">
        <v>2.7598787589497201E-2</v>
      </c>
      <c r="P11" s="3" t="s">
        <v>88</v>
      </c>
      <c r="Q11" s="5">
        <v>2.3338422882199551E-2</v>
      </c>
      <c r="R11" s="5">
        <v>3.07536310674742E-2</v>
      </c>
      <c r="S11" s="5">
        <v>2.3330953776061349E-2</v>
      </c>
      <c r="T11" s="5">
        <v>3.10052977618108E-2</v>
      </c>
      <c r="U11" s="5">
        <v>2.62057351299332E-2</v>
      </c>
      <c r="V11" s="5">
        <v>2.7598787589497201E-2</v>
      </c>
      <c r="W11" s="3" t="s">
        <v>88</v>
      </c>
      <c r="X11" s="5">
        <v>2.3330953776061349E-2</v>
      </c>
      <c r="Y11" s="5">
        <v>3.10052977618108E-2</v>
      </c>
      <c r="Z11" s="5">
        <v>3.2652654260399802E-2</v>
      </c>
      <c r="AA11" s="3" t="s">
        <v>96</v>
      </c>
      <c r="AB11" s="5">
        <v>3.2652654260399802E-2</v>
      </c>
      <c r="AC11" s="5">
        <v>-1.647356498589003E-3</v>
      </c>
    </row>
    <row r="12" spans="1:29" x14ac:dyDescent="0.25">
      <c r="A12" s="3" t="s">
        <v>97</v>
      </c>
      <c r="B12" s="3" t="s">
        <v>103</v>
      </c>
      <c r="C12" s="5">
        <v>8.6</v>
      </c>
      <c r="D12" s="5">
        <v>1.7604912998976461E-2</v>
      </c>
      <c r="E12" s="5">
        <v>0.13900957800642499</v>
      </c>
      <c r="F12" s="5">
        <v>0.13361466848942299</v>
      </c>
      <c r="G12" s="5">
        <v>0.1280419520710615</v>
      </c>
      <c r="H12" s="5">
        <v>0.122341627768424</v>
      </c>
      <c r="I12" s="3" t="s">
        <v>88</v>
      </c>
      <c r="J12" s="5">
        <v>0.13900957800642499</v>
      </c>
      <c r="K12" s="5">
        <v>0.13361466848942299</v>
      </c>
      <c r="L12" s="5">
        <v>0.13948593291668049</v>
      </c>
      <c r="M12" s="5">
        <v>0.13484866596373399</v>
      </c>
      <c r="N12" s="5">
        <v>0.1339425005115675</v>
      </c>
      <c r="O12" s="5">
        <v>0.12882909027978601</v>
      </c>
      <c r="P12" s="3" t="s">
        <v>88</v>
      </c>
      <c r="Q12" s="5">
        <v>0.13948593291668049</v>
      </c>
      <c r="R12" s="5">
        <v>0.13484866596373399</v>
      </c>
      <c r="S12" s="5">
        <v>0.13948593291668049</v>
      </c>
      <c r="T12" s="5">
        <v>0.13484866596373399</v>
      </c>
      <c r="U12" s="5">
        <v>0.1339425005115675</v>
      </c>
      <c r="V12" s="5">
        <v>0.12882909027978601</v>
      </c>
      <c r="W12" s="3" t="s">
        <v>88</v>
      </c>
      <c r="X12" s="5">
        <v>0.13948593291668049</v>
      </c>
      <c r="Y12" s="5">
        <v>0.13484866596373399</v>
      </c>
      <c r="Z12" s="5">
        <v>0.136583893072419</v>
      </c>
      <c r="AA12" s="3" t="s">
        <v>96</v>
      </c>
      <c r="AB12" s="5">
        <v>0.136583893072419</v>
      </c>
      <c r="AC12" s="5">
        <v>-1.7352271086850111E-3</v>
      </c>
    </row>
    <row r="13" spans="1:29" x14ac:dyDescent="0.25">
      <c r="A13" s="3" t="s">
        <v>104</v>
      </c>
      <c r="B13" s="3" t="s">
        <v>94</v>
      </c>
      <c r="C13" s="3">
        <v>55</v>
      </c>
      <c r="D13" s="5">
        <v>0.435126582278481</v>
      </c>
      <c r="E13" s="5">
        <v>3.3103895967153601E-2</v>
      </c>
      <c r="F13" s="5">
        <v>3.3956397808983699E-2</v>
      </c>
      <c r="G13" s="5">
        <v>2.5496422171098852E-2</v>
      </c>
      <c r="H13" s="5">
        <v>2.59942704769296E-2</v>
      </c>
      <c r="I13" s="3" t="s">
        <v>88</v>
      </c>
      <c r="J13" s="5">
        <v>3.3103895967153601E-2</v>
      </c>
      <c r="K13" s="5">
        <v>3.3956397808983699E-2</v>
      </c>
      <c r="L13" s="5">
        <v>3.3963074272315E-2</v>
      </c>
      <c r="M13" s="5">
        <v>3.3681542456796901E-2</v>
      </c>
      <c r="N13" s="5">
        <v>2.9428050037057452E-2</v>
      </c>
      <c r="O13" s="5">
        <v>2.8900665470692501E-2</v>
      </c>
      <c r="P13" s="3" t="s">
        <v>88</v>
      </c>
      <c r="Q13" s="5">
        <v>3.3963074272315E-2</v>
      </c>
      <c r="R13" s="5">
        <v>3.3681542456796901E-2</v>
      </c>
      <c r="S13" s="5">
        <v>3.4666238958897547E-2</v>
      </c>
      <c r="T13" s="5">
        <v>3.3968293546901798E-2</v>
      </c>
      <c r="U13" s="5">
        <v>2.9428050037057452E-2</v>
      </c>
      <c r="V13" s="5">
        <v>2.8900665470692501E-2</v>
      </c>
      <c r="W13" s="3" t="s">
        <v>88</v>
      </c>
      <c r="X13" s="5">
        <v>3.4666238958897547E-2</v>
      </c>
      <c r="Y13" s="5">
        <v>3.3968293546901798E-2</v>
      </c>
      <c r="Z13" s="5">
        <v>2.32216915259802E-2</v>
      </c>
      <c r="AA13" s="3" t="s">
        <v>91</v>
      </c>
      <c r="AB13" s="5">
        <v>3.3968293546901798E-2</v>
      </c>
      <c r="AC13" s="3">
        <v>0</v>
      </c>
    </row>
    <row r="14" spans="1:29" x14ac:dyDescent="0.25">
      <c r="A14" s="3" t="s">
        <v>104</v>
      </c>
      <c r="B14" s="3" t="s">
        <v>100</v>
      </c>
      <c r="C14" s="5">
        <v>27.2</v>
      </c>
      <c r="D14" s="5">
        <v>0.2151898734177215</v>
      </c>
      <c r="E14" s="5">
        <v>3.2700738898515047E-2</v>
      </c>
      <c r="F14" s="5">
        <v>4.18699511972054E-2</v>
      </c>
      <c r="G14" s="5">
        <v>3.3986957070692901E-2</v>
      </c>
      <c r="H14" s="5">
        <v>4.1938243828777901E-2</v>
      </c>
      <c r="I14" s="3" t="s">
        <v>87</v>
      </c>
      <c r="J14" s="5">
        <v>3.3986957070692901E-2</v>
      </c>
      <c r="K14" s="5">
        <v>4.1938243828777901E-2</v>
      </c>
      <c r="L14" s="5">
        <v>3.4970189864594547E-2</v>
      </c>
      <c r="M14" s="5">
        <v>4.2568910866247901E-2</v>
      </c>
      <c r="N14" s="5">
        <v>3.5427757368527053E-2</v>
      </c>
      <c r="O14" s="5">
        <v>4.4093128583136902E-2</v>
      </c>
      <c r="P14" s="3" t="s">
        <v>87</v>
      </c>
      <c r="Q14" s="5">
        <v>3.5427757368527053E-2</v>
      </c>
      <c r="R14" s="5">
        <v>4.4093128583136902E-2</v>
      </c>
      <c r="S14" s="5">
        <v>3.4970189864594547E-2</v>
      </c>
      <c r="T14" s="5">
        <v>4.2568910866247901E-2</v>
      </c>
      <c r="U14" s="5">
        <v>3.5427757368527053E-2</v>
      </c>
      <c r="V14" s="5">
        <v>4.4093128583136902E-2</v>
      </c>
      <c r="W14" s="3" t="s">
        <v>87</v>
      </c>
      <c r="X14" s="5">
        <v>3.5427757368527053E-2</v>
      </c>
      <c r="Y14" s="5">
        <v>4.4093128583136902E-2</v>
      </c>
      <c r="Z14" s="5">
        <v>4.4084933914033002E-2</v>
      </c>
      <c r="AA14" s="3" t="s">
        <v>93</v>
      </c>
      <c r="AB14" s="5">
        <v>4.4093128583136902E-2</v>
      </c>
      <c r="AC14" s="3">
        <v>0</v>
      </c>
    </row>
    <row r="15" spans="1:29" x14ac:dyDescent="0.25">
      <c r="A15" s="3" t="s">
        <v>104</v>
      </c>
      <c r="B15" s="3" t="s">
        <v>103</v>
      </c>
      <c r="C15" s="5">
        <v>13.4</v>
      </c>
      <c r="D15" s="5">
        <v>0.1060126582278481</v>
      </c>
      <c r="E15" s="5">
        <v>0.1419725173253705</v>
      </c>
      <c r="F15" s="5">
        <v>0.14123463740273801</v>
      </c>
      <c r="G15" s="5">
        <v>0.13867250034627451</v>
      </c>
      <c r="H15" s="5">
        <v>0.136105400397772</v>
      </c>
      <c r="I15" s="3" t="s">
        <v>88</v>
      </c>
      <c r="J15" s="5">
        <v>0.1419725173253705</v>
      </c>
      <c r="K15" s="5">
        <v>0.14123463740273801</v>
      </c>
      <c r="L15" s="5">
        <v>0.14332688958631751</v>
      </c>
      <c r="M15" s="5">
        <v>0.142481881438175</v>
      </c>
      <c r="N15" s="5">
        <v>0.140789873153748</v>
      </c>
      <c r="O15" s="5">
        <v>0.14035746976204799</v>
      </c>
      <c r="P15" s="3" t="s">
        <v>88</v>
      </c>
      <c r="Q15" s="5">
        <v>0.14332688958631751</v>
      </c>
      <c r="R15" s="5">
        <v>0.142481881438175</v>
      </c>
      <c r="S15" s="5">
        <v>0.14332688958631751</v>
      </c>
      <c r="T15" s="5">
        <v>0.142481881438175</v>
      </c>
      <c r="U15" s="5">
        <v>0.140789873153748</v>
      </c>
      <c r="V15" s="5">
        <v>0.14035746976204799</v>
      </c>
      <c r="W15" s="3" t="s">
        <v>88</v>
      </c>
      <c r="X15" s="5">
        <v>0.14332688958631751</v>
      </c>
      <c r="Y15" s="5">
        <v>0.142481881438175</v>
      </c>
      <c r="Z15" s="5">
        <v>8.2243716298904798E-2</v>
      </c>
      <c r="AA15" s="3" t="s">
        <v>93</v>
      </c>
      <c r="AB15" s="5">
        <v>0.142481881438175</v>
      </c>
      <c r="AC15" s="3">
        <v>0</v>
      </c>
    </row>
    <row r="16" spans="1:29" x14ac:dyDescent="0.25">
      <c r="A16" s="3" t="s">
        <v>104</v>
      </c>
      <c r="B16" s="3" t="s">
        <v>99</v>
      </c>
      <c r="C16" s="5">
        <v>30.7</v>
      </c>
      <c r="D16" s="5">
        <v>0.242879746835443</v>
      </c>
      <c r="E16" s="5">
        <v>0.43658334068883697</v>
      </c>
      <c r="F16" s="5">
        <v>0.39396767552533202</v>
      </c>
      <c r="G16" s="5">
        <v>0.30322312971203103</v>
      </c>
      <c r="H16" s="5">
        <v>0.177045815622181</v>
      </c>
      <c r="I16" s="3" t="s">
        <v>88</v>
      </c>
      <c r="J16" s="5">
        <v>0.43658334068883697</v>
      </c>
      <c r="K16" s="5">
        <v>0.39396767552533202</v>
      </c>
      <c r="L16" s="5">
        <v>0.43564136210847648</v>
      </c>
      <c r="M16" s="5">
        <v>0.39462018667191101</v>
      </c>
      <c r="N16" s="5">
        <v>0.37840290919219999</v>
      </c>
      <c r="O16" s="5">
        <v>0.28640111344062102</v>
      </c>
      <c r="P16" s="3" t="s">
        <v>88</v>
      </c>
      <c r="Q16" s="5">
        <v>0.43564136210847648</v>
      </c>
      <c r="R16" s="5">
        <v>0.39462018667191101</v>
      </c>
      <c r="S16" s="5">
        <v>0.43564136210847648</v>
      </c>
      <c r="T16" s="5">
        <v>0.39462018667191101</v>
      </c>
      <c r="U16" s="5">
        <v>0.37840290919219999</v>
      </c>
      <c r="V16" s="5">
        <v>0.28640111344062102</v>
      </c>
      <c r="W16" s="3" t="s">
        <v>88</v>
      </c>
      <c r="X16" s="5">
        <v>0.43564136210847648</v>
      </c>
      <c r="Y16" s="5">
        <v>0.39462018667191101</v>
      </c>
      <c r="Z16" s="5">
        <v>0.26540136087912403</v>
      </c>
      <c r="AA16" s="3" t="s">
        <v>93</v>
      </c>
      <c r="AB16" s="5">
        <v>0.39462018667191101</v>
      </c>
      <c r="AC16" s="3">
        <v>0</v>
      </c>
    </row>
  </sheetData>
  <pageMargins left="0.75" right="0.75" top="1" bottom="1" header="0.5" footer="0.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pane xSplit="2" ySplit="1" topLeftCell="C2" activePane="bottomRight" state="frozen"/>
      <selection pane="topRight"/>
      <selection pane="bottomLeft"/>
      <selection pane="bottomRight" activeCell="F23" sqref="F23"/>
    </sheetView>
  </sheetViews>
  <sheetFormatPr defaultColWidth="11.42578125" defaultRowHeight="15" x14ac:dyDescent="0.25"/>
  <cols>
    <col min="1" max="1" width="10" style="2" customWidth="1"/>
    <col min="2" max="2" width="32.7109375" style="2" customWidth="1"/>
    <col min="3" max="9" width="25.28515625" style="2" customWidth="1"/>
    <col min="10" max="16384" width="11.42578125" style="2"/>
  </cols>
  <sheetData>
    <row r="1" spans="1:9" x14ac:dyDescent="0.25">
      <c r="A1" s="1" t="s">
        <v>56</v>
      </c>
      <c r="B1" s="1" t="s">
        <v>57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x14ac:dyDescent="0.25">
      <c r="A2" s="3" t="s">
        <v>85</v>
      </c>
      <c r="B2" s="3" t="s">
        <v>86</v>
      </c>
      <c r="C2" s="5">
        <v>1.05121026961311</v>
      </c>
      <c r="D2" s="5">
        <v>1.02033304311822</v>
      </c>
      <c r="E2" s="5">
        <v>1.03834881750131</v>
      </c>
      <c r="F2" s="5">
        <v>1.0099080918739001</v>
      </c>
      <c r="G2" s="5">
        <v>0.99502172450556303</v>
      </c>
      <c r="H2" s="5">
        <v>0.96720238466618702</v>
      </c>
      <c r="I2" s="5">
        <v>0.99050165021235703</v>
      </c>
    </row>
    <row r="3" spans="1:9" x14ac:dyDescent="0.25">
      <c r="A3" s="3" t="s">
        <v>85</v>
      </c>
      <c r="B3" s="3" t="s">
        <v>90</v>
      </c>
      <c r="C3" s="5">
        <v>0.996917683130079</v>
      </c>
      <c r="D3" s="5">
        <v>1.0766036115362601</v>
      </c>
      <c r="E3" s="5">
        <v>0.99464553493748797</v>
      </c>
      <c r="F3" s="5">
        <v>1.0782205753417999</v>
      </c>
      <c r="G3" s="5">
        <v>1.00198012840617</v>
      </c>
      <c r="H3" s="5">
        <v>1.06984673923773</v>
      </c>
      <c r="I3" s="5">
        <v>1.0794538814491099</v>
      </c>
    </row>
    <row r="4" spans="1:9" x14ac:dyDescent="0.25">
      <c r="A4" s="3" t="s">
        <v>85</v>
      </c>
      <c r="B4" s="3" t="s">
        <v>92</v>
      </c>
      <c r="C4" s="5">
        <v>1.1291697643766301</v>
      </c>
      <c r="D4" s="5">
        <v>1.18215975875351</v>
      </c>
      <c r="E4" s="5">
        <v>1.1294201393890699</v>
      </c>
      <c r="F4" s="5">
        <v>1.24408197644548</v>
      </c>
      <c r="G4" s="5">
        <v>1.1294201393890699</v>
      </c>
      <c r="H4" s="5">
        <v>1.24408197644548</v>
      </c>
      <c r="I4" s="5">
        <v>1.4982107754974701</v>
      </c>
    </row>
    <row r="5" spans="1:9" x14ac:dyDescent="0.25">
      <c r="A5" s="3" t="s">
        <v>85</v>
      </c>
      <c r="B5" s="3" t="s">
        <v>94</v>
      </c>
      <c r="C5" s="5">
        <v>0.80305428648528598</v>
      </c>
      <c r="D5" s="5">
        <v>1.01880674641909</v>
      </c>
      <c r="E5" s="5">
        <v>0.80508796714701902</v>
      </c>
      <c r="F5" s="5">
        <v>1.0218545901368401</v>
      </c>
      <c r="G5" s="5">
        <v>0.79961875176358499</v>
      </c>
      <c r="H5" s="5">
        <v>1.01922349249852</v>
      </c>
      <c r="I5" s="5">
        <v>1.0602298862699799</v>
      </c>
    </row>
    <row r="6" spans="1:9" x14ac:dyDescent="0.25">
      <c r="A6" s="3" t="s">
        <v>85</v>
      </c>
      <c r="B6" s="3" t="s">
        <v>95</v>
      </c>
      <c r="C6" s="5">
        <v>0.93307759522149003</v>
      </c>
      <c r="D6" s="5">
        <v>1.06684739850808</v>
      </c>
      <c r="E6" s="5">
        <v>0.92608679379235403</v>
      </c>
      <c r="F6" s="5">
        <v>1.06758385551514</v>
      </c>
      <c r="G6" s="5">
        <v>0.92608679379235403</v>
      </c>
      <c r="H6" s="5">
        <v>1.06758385551514</v>
      </c>
      <c r="I6" s="5">
        <v>1.0754290466446199</v>
      </c>
    </row>
    <row r="7" spans="1:9" x14ac:dyDescent="0.25">
      <c r="A7" s="3" t="s">
        <v>97</v>
      </c>
      <c r="B7" s="3" t="s">
        <v>98</v>
      </c>
      <c r="C7" s="5">
        <v>0.82214717376215196</v>
      </c>
      <c r="D7" s="5">
        <v>1.0759732906434201</v>
      </c>
      <c r="E7" s="5">
        <v>0.83165904675904401</v>
      </c>
      <c r="F7" s="5">
        <v>1.0879587472106</v>
      </c>
      <c r="G7" s="5">
        <v>0.83165904675904401</v>
      </c>
      <c r="H7" s="5">
        <v>1.0879587472106</v>
      </c>
      <c r="I7" s="5">
        <v>1.0835498248984099</v>
      </c>
    </row>
    <row r="8" spans="1:9" x14ac:dyDescent="0.25">
      <c r="A8" s="3" t="s">
        <v>97</v>
      </c>
      <c r="B8" s="3" t="s">
        <v>99</v>
      </c>
      <c r="C8" s="5">
        <v>0.96782411670647905</v>
      </c>
      <c r="D8" s="5">
        <v>1.01364695608824</v>
      </c>
      <c r="E8" s="5">
        <v>0.95822603940233197</v>
      </c>
      <c r="F8" s="5">
        <v>1.01537651316844</v>
      </c>
      <c r="G8" s="5">
        <v>0.95477753833125001</v>
      </c>
      <c r="H8" s="5">
        <v>1.0098133694692699</v>
      </c>
      <c r="I8" s="5">
        <v>1.00947932357461</v>
      </c>
    </row>
    <row r="9" spans="1:9" x14ac:dyDescent="0.25">
      <c r="A9" s="3" t="s">
        <v>97</v>
      </c>
      <c r="B9" s="3" t="s">
        <v>100</v>
      </c>
      <c r="C9" s="5">
        <v>0.93853382807372199</v>
      </c>
      <c r="D9" s="5">
        <v>1.02818459437488</v>
      </c>
      <c r="E9" s="5">
        <v>0.94224593829201198</v>
      </c>
      <c r="F9" s="5">
        <v>1.0238232165596499</v>
      </c>
      <c r="G9" s="5">
        <v>0.94946941901265902</v>
      </c>
      <c r="H9" s="5">
        <v>1.03334529201995</v>
      </c>
      <c r="I9" s="5">
        <v>1.05220494755775</v>
      </c>
    </row>
    <row r="10" spans="1:9" x14ac:dyDescent="0.25">
      <c r="A10" s="3" t="s">
        <v>97</v>
      </c>
      <c r="B10" s="3" t="s">
        <v>101</v>
      </c>
      <c r="C10" s="5">
        <v>0.99934340386203302</v>
      </c>
      <c r="D10" s="5">
        <v>0.88565877016705696</v>
      </c>
      <c r="E10" s="5">
        <v>1.0651534387650401</v>
      </c>
      <c r="F10" s="5">
        <v>0.89359004234741402</v>
      </c>
      <c r="G10" s="5">
        <v>1.0651534387650401</v>
      </c>
      <c r="H10" s="5">
        <v>0.89359004234741402</v>
      </c>
      <c r="I10" s="5">
        <v>0.89366936924356999</v>
      </c>
    </row>
    <row r="11" spans="1:9" x14ac:dyDescent="0.25">
      <c r="A11" s="3" t="s">
        <v>97</v>
      </c>
      <c r="B11" s="3" t="s">
        <v>102</v>
      </c>
      <c r="C11" s="5">
        <v>0.99532565287704799</v>
      </c>
      <c r="D11" s="5">
        <v>0.90710911024427499</v>
      </c>
      <c r="E11" s="5">
        <v>1.00784146070015</v>
      </c>
      <c r="F11" s="5">
        <v>0.91056835538685599</v>
      </c>
      <c r="G11" s="5">
        <v>1.0035796420512899</v>
      </c>
      <c r="H11" s="5">
        <v>0.91145603380028095</v>
      </c>
      <c r="I11" s="5">
        <v>0.90882220537955805</v>
      </c>
    </row>
    <row r="12" spans="1:9" x14ac:dyDescent="0.25">
      <c r="A12" s="3" t="s">
        <v>97</v>
      </c>
      <c r="B12" s="3" t="s">
        <v>103</v>
      </c>
      <c r="C12" s="5">
        <v>1.1311352898936</v>
      </c>
      <c r="D12" s="5">
        <v>0.89908967626131897</v>
      </c>
      <c r="E12" s="5">
        <v>1.12388190637709</v>
      </c>
      <c r="F12" s="5">
        <v>0.90869776182279305</v>
      </c>
      <c r="G12" s="5">
        <v>1.12388190637709</v>
      </c>
      <c r="H12" s="5">
        <v>0.90869776182279305</v>
      </c>
      <c r="I12" s="5">
        <v>0.90720361613234302</v>
      </c>
    </row>
    <row r="13" spans="1:9" x14ac:dyDescent="0.25">
      <c r="A13" s="3" t="s">
        <v>104</v>
      </c>
      <c r="B13" s="3" t="s">
        <v>94</v>
      </c>
      <c r="C13" s="5">
        <v>0.93943011260545894</v>
      </c>
      <c r="D13" s="5">
        <v>0.93915927469675797</v>
      </c>
      <c r="E13" s="5">
        <v>0.94299382541725896</v>
      </c>
      <c r="F13" s="5">
        <v>0.933205639497381</v>
      </c>
      <c r="G13" s="5">
        <v>0.94550965938139397</v>
      </c>
      <c r="H13" s="5">
        <v>0.93462590566029402</v>
      </c>
      <c r="I13" s="5">
        <v>0.91957427461325603</v>
      </c>
    </row>
    <row r="14" spans="1:9" x14ac:dyDescent="0.25">
      <c r="A14" s="3" t="s">
        <v>104</v>
      </c>
      <c r="B14" s="3" t="s">
        <v>100</v>
      </c>
      <c r="C14" s="5">
        <v>1.03165678626741</v>
      </c>
      <c r="D14" s="5">
        <v>1.0633635628579801</v>
      </c>
      <c r="E14" s="5">
        <v>1.0252455563545799</v>
      </c>
      <c r="F14" s="5">
        <v>1.0627349745892001</v>
      </c>
      <c r="G14" s="5">
        <v>1.0252455563545799</v>
      </c>
      <c r="H14" s="5">
        <v>1.0627349745892001</v>
      </c>
      <c r="I14" s="5">
        <v>1.0940652283546299</v>
      </c>
    </row>
    <row r="15" spans="1:9" x14ac:dyDescent="0.25">
      <c r="A15" s="3" t="s">
        <v>104</v>
      </c>
      <c r="B15" s="3" t="s">
        <v>103</v>
      </c>
      <c r="C15" s="5">
        <v>0.93607807563314605</v>
      </c>
      <c r="D15" s="5">
        <v>0.98607535010881997</v>
      </c>
      <c r="E15" s="5">
        <v>0.93679698837330605</v>
      </c>
      <c r="F15" s="5">
        <v>0.98544065274274895</v>
      </c>
      <c r="G15" s="5">
        <v>0.93679698837330605</v>
      </c>
      <c r="H15" s="5">
        <v>0.98544065274274895</v>
      </c>
      <c r="I15" s="5">
        <v>0.97285835684824995</v>
      </c>
    </row>
    <row r="16" spans="1:9" x14ac:dyDescent="0.25">
      <c r="A16" s="3" t="s">
        <v>104</v>
      </c>
      <c r="B16" s="3" t="s">
        <v>99</v>
      </c>
      <c r="C16" s="5">
        <v>0.77727532244252495</v>
      </c>
      <c r="D16" s="5">
        <v>1.09750540452984</v>
      </c>
      <c r="E16" s="5">
        <v>0.78094641203377402</v>
      </c>
      <c r="F16" s="5">
        <v>1.09385284757525</v>
      </c>
      <c r="G16" s="5">
        <v>0.78094641203377402</v>
      </c>
      <c r="H16" s="5">
        <v>1.09385284757525</v>
      </c>
      <c r="I16" s="5">
        <v>1.1053033268536401</v>
      </c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zoomScale="91" zoomScaleNormal="91" workbookViewId="0">
      <pane xSplit="2" ySplit="1" topLeftCell="O2" activePane="bottomRight" state="frozen"/>
      <selection pane="topRight"/>
      <selection pane="bottomLeft"/>
      <selection pane="bottomRight" activeCell="O13" sqref="O13"/>
    </sheetView>
  </sheetViews>
  <sheetFormatPr defaultColWidth="11.42578125" defaultRowHeight="15" x14ac:dyDescent="0.25"/>
  <cols>
    <col min="1" max="1" width="10" style="2" customWidth="1"/>
    <col min="2" max="2" width="38.28515625" style="2" customWidth="1"/>
    <col min="3" max="3" width="18.85546875" style="2" customWidth="1"/>
    <col min="4" max="4" width="36.85546875" style="2" customWidth="1"/>
    <col min="5" max="5" width="20.42578125" style="2" customWidth="1"/>
    <col min="6" max="6" width="28.7109375" style="2" customWidth="1"/>
    <col min="7" max="7" width="47.7109375" style="2" customWidth="1"/>
    <col min="8" max="8" width="40.42578125" style="2" customWidth="1"/>
    <col min="9" max="9" width="36.85546875" style="2" customWidth="1"/>
    <col min="10" max="10" width="41.42578125" style="2" customWidth="1"/>
    <col min="11" max="11" width="19.140625" style="2" customWidth="1"/>
    <col min="12" max="13" width="60" style="2" customWidth="1"/>
    <col min="14" max="14" width="48.7109375" style="2" customWidth="1"/>
    <col min="15" max="15" width="36.85546875" style="2" customWidth="1"/>
    <col min="16" max="16" width="27.85546875" style="2" customWidth="1"/>
    <col min="17" max="17" width="15.42578125" style="2" customWidth="1"/>
    <col min="18" max="18" width="36.85546875" style="2" customWidth="1"/>
    <col min="19" max="25" width="18.140625" style="2" customWidth="1"/>
    <col min="26" max="16384" width="11.42578125" style="2"/>
  </cols>
  <sheetData>
    <row r="1" spans="1:25" x14ac:dyDescent="0.25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</row>
    <row r="2" spans="1:25" ht="45" x14ac:dyDescent="0.25">
      <c r="A2" s="3" t="s">
        <v>256</v>
      </c>
      <c r="B2" s="3" t="s">
        <v>257</v>
      </c>
      <c r="C2" s="3" t="s">
        <v>258</v>
      </c>
      <c r="D2" s="3" t="s">
        <v>259</v>
      </c>
      <c r="E2" s="3" t="s">
        <v>260</v>
      </c>
      <c r="F2" s="3" t="s">
        <v>261</v>
      </c>
      <c r="G2" s="3" t="s">
        <v>262</v>
      </c>
      <c r="H2" s="3" t="s">
        <v>263</v>
      </c>
      <c r="I2" s="3" t="s">
        <v>264</v>
      </c>
      <c r="J2" s="3" t="s">
        <v>265</v>
      </c>
      <c r="K2" s="3" t="s">
        <v>266</v>
      </c>
      <c r="L2" s="3" t="s">
        <v>267</v>
      </c>
      <c r="M2" s="3" t="s">
        <v>268</v>
      </c>
      <c r="N2" s="3" t="s">
        <v>269</v>
      </c>
      <c r="O2" s="3" t="s">
        <v>270</v>
      </c>
      <c r="P2" s="3" t="s">
        <v>271</v>
      </c>
      <c r="Q2" s="3" t="s">
        <v>260</v>
      </c>
      <c r="R2" s="3" t="s">
        <v>272</v>
      </c>
      <c r="S2" s="3" t="s">
        <v>266</v>
      </c>
      <c r="T2" s="3" t="s">
        <v>273</v>
      </c>
      <c r="U2" s="3">
        <v>717</v>
      </c>
      <c r="V2" s="5">
        <v>-1.1999999999999999E-3</v>
      </c>
      <c r="W2" s="5">
        <v>3.9800000000000002E-2</v>
      </c>
      <c r="X2" s="3">
        <v>19290</v>
      </c>
      <c r="Y2" s="3">
        <v>36721</v>
      </c>
    </row>
    <row r="3" spans="1:25" ht="45" x14ac:dyDescent="0.25">
      <c r="A3" s="3" t="s">
        <v>256</v>
      </c>
      <c r="B3" s="3" t="s">
        <v>274</v>
      </c>
      <c r="C3" s="3" t="s">
        <v>258</v>
      </c>
      <c r="D3" s="3" t="s">
        <v>259</v>
      </c>
      <c r="E3" s="3" t="s">
        <v>266</v>
      </c>
      <c r="F3" s="3" t="s">
        <v>261</v>
      </c>
      <c r="G3" s="3" t="s">
        <v>262</v>
      </c>
      <c r="H3" s="3" t="s">
        <v>263</v>
      </c>
      <c r="I3" s="3" t="s">
        <v>275</v>
      </c>
      <c r="J3" s="3" t="s">
        <v>276</v>
      </c>
      <c r="K3" s="3" t="s">
        <v>266</v>
      </c>
      <c r="L3" s="3" t="s">
        <v>277</v>
      </c>
      <c r="M3" s="3" t="s">
        <v>278</v>
      </c>
      <c r="N3" s="3" t="s">
        <v>269</v>
      </c>
      <c r="O3" s="3" t="s">
        <v>270</v>
      </c>
      <c r="P3" s="3" t="s">
        <v>271</v>
      </c>
      <c r="Q3" s="3" t="s">
        <v>266</v>
      </c>
      <c r="R3" s="3" t="s">
        <v>279</v>
      </c>
      <c r="S3" s="3" t="s">
        <v>266</v>
      </c>
      <c r="T3" s="3" t="s">
        <v>273</v>
      </c>
      <c r="U3" s="3">
        <v>581</v>
      </c>
      <c r="V3" s="5">
        <v>2.3E-3</v>
      </c>
      <c r="W3" s="5">
        <v>7.85E-2</v>
      </c>
      <c r="X3" s="3">
        <v>27275</v>
      </c>
      <c r="Y3" s="3">
        <v>25337</v>
      </c>
    </row>
    <row r="4" spans="1:25" ht="60" x14ac:dyDescent="0.25">
      <c r="A4" s="3" t="s">
        <v>256</v>
      </c>
      <c r="B4" s="3" t="s">
        <v>280</v>
      </c>
      <c r="C4" s="3" t="s">
        <v>281</v>
      </c>
      <c r="D4" s="3" t="s">
        <v>282</v>
      </c>
      <c r="E4" s="3" t="s">
        <v>260</v>
      </c>
      <c r="F4" s="3" t="s">
        <v>261</v>
      </c>
      <c r="G4" s="3" t="s">
        <v>262</v>
      </c>
      <c r="H4" s="3" t="s">
        <v>263</v>
      </c>
      <c r="I4" s="3" t="s">
        <v>283</v>
      </c>
      <c r="J4" s="3" t="s">
        <v>284</v>
      </c>
      <c r="K4" s="3" t="s">
        <v>266</v>
      </c>
      <c r="L4" s="3" t="s">
        <v>285</v>
      </c>
      <c r="M4" s="3" t="s">
        <v>286</v>
      </c>
      <c r="N4" s="3" t="s">
        <v>269</v>
      </c>
      <c r="O4" s="3" t="s">
        <v>270</v>
      </c>
      <c r="P4" s="3" t="s">
        <v>287</v>
      </c>
      <c r="Q4" s="3" t="s">
        <v>260</v>
      </c>
      <c r="R4" s="3" t="s">
        <v>281</v>
      </c>
      <c r="S4" s="3" t="s">
        <v>260</v>
      </c>
      <c r="T4" s="3" t="s">
        <v>288</v>
      </c>
      <c r="U4" s="3">
        <v>456</v>
      </c>
      <c r="V4" s="5">
        <v>0</v>
      </c>
      <c r="W4" s="5">
        <v>0</v>
      </c>
      <c r="X4" s="3">
        <v>182772</v>
      </c>
      <c r="Y4" s="3">
        <v>6334</v>
      </c>
    </row>
    <row r="5" spans="1:25" ht="45" x14ac:dyDescent="0.25">
      <c r="A5" s="3" t="s">
        <v>256</v>
      </c>
      <c r="B5" s="3" t="s">
        <v>289</v>
      </c>
      <c r="C5" s="3" t="s">
        <v>290</v>
      </c>
      <c r="D5" s="3" t="s">
        <v>259</v>
      </c>
      <c r="E5" s="3" t="s">
        <v>266</v>
      </c>
      <c r="F5" s="3" t="s">
        <v>261</v>
      </c>
      <c r="G5" s="3" t="s">
        <v>262</v>
      </c>
      <c r="H5" s="3" t="s">
        <v>263</v>
      </c>
      <c r="I5" s="3" t="s">
        <v>291</v>
      </c>
      <c r="J5" s="3" t="s">
        <v>292</v>
      </c>
      <c r="K5" s="3" t="s">
        <v>266</v>
      </c>
      <c r="L5" s="3" t="s">
        <v>293</v>
      </c>
      <c r="M5" s="3" t="s">
        <v>294</v>
      </c>
      <c r="N5" s="3" t="s">
        <v>269</v>
      </c>
      <c r="O5" s="3" t="s">
        <v>270</v>
      </c>
      <c r="P5" s="3" t="s">
        <v>271</v>
      </c>
      <c r="Q5" s="3" t="s">
        <v>266</v>
      </c>
      <c r="R5" s="3" t="s">
        <v>295</v>
      </c>
      <c r="S5" s="3" t="s">
        <v>266</v>
      </c>
      <c r="T5" s="3" t="s">
        <v>288</v>
      </c>
      <c r="U5" s="3">
        <v>297</v>
      </c>
      <c r="V5" s="5">
        <v>0</v>
      </c>
      <c r="W5" s="5">
        <v>4.9299999999999997E-2</v>
      </c>
      <c r="X5" s="3">
        <v>55532</v>
      </c>
      <c r="Y5" s="3">
        <v>4616</v>
      </c>
    </row>
    <row r="6" spans="1:25" ht="45" x14ac:dyDescent="0.25">
      <c r="A6" s="3" t="s">
        <v>256</v>
      </c>
      <c r="B6" s="3" t="s">
        <v>296</v>
      </c>
      <c r="C6" s="3" t="s">
        <v>290</v>
      </c>
      <c r="D6" s="3" t="s">
        <v>259</v>
      </c>
      <c r="E6" s="3" t="s">
        <v>266</v>
      </c>
      <c r="F6" s="3" t="s">
        <v>261</v>
      </c>
      <c r="G6" s="3" t="s">
        <v>262</v>
      </c>
      <c r="H6" s="3" t="s">
        <v>263</v>
      </c>
      <c r="I6" s="3" t="s">
        <v>297</v>
      </c>
      <c r="J6" s="3" t="s">
        <v>298</v>
      </c>
      <c r="K6" s="3" t="s">
        <v>266</v>
      </c>
      <c r="L6" s="3" t="s">
        <v>299</v>
      </c>
      <c r="M6" s="3" t="s">
        <v>300</v>
      </c>
      <c r="N6" s="3" t="s">
        <v>269</v>
      </c>
      <c r="O6" s="3" t="s">
        <v>270</v>
      </c>
      <c r="P6" s="3" t="s">
        <v>271</v>
      </c>
      <c r="Q6" s="3" t="s">
        <v>266</v>
      </c>
      <c r="R6" s="3" t="s">
        <v>281</v>
      </c>
      <c r="S6" s="3" t="s">
        <v>266</v>
      </c>
      <c r="T6" s="3" t="s">
        <v>273</v>
      </c>
      <c r="U6" s="3">
        <v>352</v>
      </c>
      <c r="V6" s="5">
        <v>0</v>
      </c>
      <c r="W6" s="5">
        <v>9.9199999999999997E-2</v>
      </c>
      <c r="X6" s="3">
        <v>9516</v>
      </c>
      <c r="Y6" s="3">
        <v>11623</v>
      </c>
    </row>
    <row r="7" spans="1:25" ht="45" x14ac:dyDescent="0.25">
      <c r="A7" s="3" t="s">
        <v>301</v>
      </c>
      <c r="B7" s="3" t="s">
        <v>302</v>
      </c>
      <c r="C7" s="3" t="s">
        <v>290</v>
      </c>
      <c r="D7" s="3" t="s">
        <v>259</v>
      </c>
      <c r="E7" s="3" t="s">
        <v>266</v>
      </c>
      <c r="F7" s="3" t="s">
        <v>261</v>
      </c>
      <c r="G7" s="3" t="s">
        <v>262</v>
      </c>
      <c r="H7" s="3" t="s">
        <v>263</v>
      </c>
      <c r="I7" s="3" t="s">
        <v>303</v>
      </c>
      <c r="J7" s="3" t="s">
        <v>304</v>
      </c>
      <c r="K7" s="3" t="s">
        <v>266</v>
      </c>
      <c r="L7" s="3" t="s">
        <v>305</v>
      </c>
      <c r="M7" s="3" t="s">
        <v>306</v>
      </c>
      <c r="N7" s="3" t="s">
        <v>269</v>
      </c>
      <c r="O7" s="3" t="s">
        <v>270</v>
      </c>
      <c r="P7" s="3" t="s">
        <v>271</v>
      </c>
      <c r="Q7" s="3" t="s">
        <v>266</v>
      </c>
      <c r="R7" s="3" t="s">
        <v>281</v>
      </c>
      <c r="S7" s="3" t="s">
        <v>266</v>
      </c>
      <c r="T7" s="3" t="s">
        <v>273</v>
      </c>
      <c r="U7" s="3">
        <v>632</v>
      </c>
      <c r="V7" s="5">
        <v>0</v>
      </c>
      <c r="W7" s="5">
        <v>8.3199999999999996E-2</v>
      </c>
      <c r="X7" s="3">
        <v>33425</v>
      </c>
      <c r="Y7" s="3">
        <v>5868</v>
      </c>
    </row>
    <row r="8" spans="1:25" ht="45" x14ac:dyDescent="0.25">
      <c r="A8" s="3" t="s">
        <v>301</v>
      </c>
      <c r="B8" s="3" t="s">
        <v>307</v>
      </c>
      <c r="C8" s="3" t="s">
        <v>308</v>
      </c>
      <c r="D8" s="3" t="s">
        <v>282</v>
      </c>
      <c r="E8" s="3" t="s">
        <v>266</v>
      </c>
      <c r="F8" s="3" t="s">
        <v>261</v>
      </c>
      <c r="G8" s="3" t="s">
        <v>262</v>
      </c>
      <c r="H8" s="3" t="s">
        <v>263</v>
      </c>
      <c r="I8" s="3" t="s">
        <v>309</v>
      </c>
      <c r="J8" s="3" t="s">
        <v>310</v>
      </c>
      <c r="K8" s="3" t="s">
        <v>266</v>
      </c>
      <c r="L8" s="3" t="s">
        <v>311</v>
      </c>
      <c r="M8" s="3" t="s">
        <v>312</v>
      </c>
      <c r="N8" s="3" t="s">
        <v>269</v>
      </c>
      <c r="O8" s="3" t="s">
        <v>270</v>
      </c>
      <c r="P8" s="3" t="s">
        <v>313</v>
      </c>
      <c r="Q8" s="3" t="s">
        <v>266</v>
      </c>
      <c r="R8" s="3" t="s">
        <v>314</v>
      </c>
      <c r="S8" s="3" t="s">
        <v>266</v>
      </c>
      <c r="T8" s="3" t="s">
        <v>288</v>
      </c>
      <c r="U8" s="3">
        <v>297</v>
      </c>
      <c r="V8" s="5">
        <v>0</v>
      </c>
      <c r="W8" s="5">
        <v>6.5699999999999995E-2</v>
      </c>
      <c r="X8" s="3">
        <v>205001</v>
      </c>
      <c r="Y8" s="3">
        <v>1689</v>
      </c>
    </row>
    <row r="9" spans="1:25" ht="45" x14ac:dyDescent="0.25">
      <c r="A9" s="3" t="s">
        <v>301</v>
      </c>
      <c r="B9" s="3" t="s">
        <v>315</v>
      </c>
      <c r="C9" s="3" t="s">
        <v>258</v>
      </c>
      <c r="D9" s="3" t="s">
        <v>259</v>
      </c>
      <c r="E9" s="3" t="s">
        <v>266</v>
      </c>
      <c r="F9" s="3" t="s">
        <v>261</v>
      </c>
      <c r="G9" s="3" t="s">
        <v>262</v>
      </c>
      <c r="H9" s="3" t="s">
        <v>263</v>
      </c>
      <c r="I9" s="3" t="s">
        <v>316</v>
      </c>
      <c r="J9" s="3" t="s">
        <v>317</v>
      </c>
      <c r="K9" s="3" t="s">
        <v>266</v>
      </c>
      <c r="L9" s="3" t="s">
        <v>318</v>
      </c>
      <c r="M9" s="3" t="s">
        <v>319</v>
      </c>
      <c r="N9" s="3" t="s">
        <v>269</v>
      </c>
      <c r="O9" s="3" t="s">
        <v>270</v>
      </c>
      <c r="P9" s="3" t="s">
        <v>271</v>
      </c>
      <c r="Q9" s="3" t="s">
        <v>266</v>
      </c>
      <c r="R9" s="3" t="s">
        <v>295</v>
      </c>
      <c r="S9" s="3" t="s">
        <v>266</v>
      </c>
      <c r="T9" s="3" t="s">
        <v>288</v>
      </c>
      <c r="U9" s="3">
        <v>318</v>
      </c>
      <c r="V9" s="5">
        <v>0</v>
      </c>
      <c r="W9" s="5">
        <v>7.9000000000000001E-2</v>
      </c>
      <c r="X9" s="3">
        <v>52382</v>
      </c>
      <c r="Y9" s="3">
        <v>7507</v>
      </c>
    </row>
    <row r="10" spans="1:25" ht="45" x14ac:dyDescent="0.25">
      <c r="A10" s="3" t="s">
        <v>301</v>
      </c>
      <c r="B10" s="3" t="s">
        <v>320</v>
      </c>
      <c r="C10" s="3" t="s">
        <v>308</v>
      </c>
      <c r="D10" s="3" t="s">
        <v>282</v>
      </c>
      <c r="E10" s="3" t="s">
        <v>266</v>
      </c>
      <c r="F10" s="3" t="s">
        <v>261</v>
      </c>
      <c r="G10" s="3" t="s">
        <v>262</v>
      </c>
      <c r="H10" s="3" t="s">
        <v>263</v>
      </c>
      <c r="I10" s="3" t="s">
        <v>321</v>
      </c>
      <c r="J10" s="3" t="s">
        <v>322</v>
      </c>
      <c r="K10" s="3" t="s">
        <v>266</v>
      </c>
      <c r="L10" s="3" t="s">
        <v>323</v>
      </c>
      <c r="M10" s="3" t="s">
        <v>324</v>
      </c>
      <c r="N10" s="3" t="s">
        <v>269</v>
      </c>
      <c r="O10" s="3" t="s">
        <v>270</v>
      </c>
      <c r="P10" s="3" t="s">
        <v>313</v>
      </c>
      <c r="Q10" s="3" t="s">
        <v>266</v>
      </c>
      <c r="R10" s="3" t="s">
        <v>281</v>
      </c>
      <c r="S10" s="3" t="s">
        <v>266</v>
      </c>
      <c r="T10" s="3" t="s">
        <v>288</v>
      </c>
      <c r="U10" s="3">
        <v>97</v>
      </c>
      <c r="V10" s="5">
        <v>0</v>
      </c>
      <c r="W10" s="5">
        <v>3.3399999999999999E-2</v>
      </c>
      <c r="X10" s="3">
        <v>128442</v>
      </c>
      <c r="Y10" s="3">
        <v>997</v>
      </c>
    </row>
    <row r="11" spans="1:25" ht="45" x14ac:dyDescent="0.25">
      <c r="A11" s="3" t="s">
        <v>301</v>
      </c>
      <c r="B11" s="3" t="s">
        <v>325</v>
      </c>
      <c r="C11" s="3" t="s">
        <v>308</v>
      </c>
      <c r="D11" s="3" t="s">
        <v>326</v>
      </c>
      <c r="E11" s="3" t="s">
        <v>266</v>
      </c>
      <c r="F11" s="3" t="s">
        <v>261</v>
      </c>
      <c r="G11" s="3" t="s">
        <v>262</v>
      </c>
      <c r="H11" s="3" t="s">
        <v>263</v>
      </c>
      <c r="I11" s="3" t="s">
        <v>327</v>
      </c>
      <c r="J11" s="3" t="s">
        <v>328</v>
      </c>
      <c r="K11" s="3" t="s">
        <v>266</v>
      </c>
      <c r="L11" s="3" t="s">
        <v>329</v>
      </c>
      <c r="M11" s="3" t="s">
        <v>330</v>
      </c>
      <c r="N11" s="3" t="s">
        <v>269</v>
      </c>
      <c r="O11" s="3" t="s">
        <v>270</v>
      </c>
      <c r="P11" s="3" t="s">
        <v>313</v>
      </c>
      <c r="Q11" s="3" t="s">
        <v>266</v>
      </c>
      <c r="R11" s="3" t="s">
        <v>331</v>
      </c>
      <c r="S11" s="3" t="s">
        <v>266</v>
      </c>
      <c r="T11" s="3" t="s">
        <v>288</v>
      </c>
      <c r="U11" s="3">
        <v>82</v>
      </c>
      <c r="V11" s="5">
        <v>0</v>
      </c>
      <c r="W11" s="5">
        <v>-0.02</v>
      </c>
      <c r="X11" s="3">
        <v>285921</v>
      </c>
      <c r="Y11" s="3">
        <v>798</v>
      </c>
    </row>
    <row r="12" spans="1:25" ht="45" x14ac:dyDescent="0.25">
      <c r="A12" s="3" t="s">
        <v>301</v>
      </c>
      <c r="B12" s="3" t="s">
        <v>332</v>
      </c>
      <c r="C12" s="3" t="s">
        <v>308</v>
      </c>
      <c r="D12" s="3" t="s">
        <v>259</v>
      </c>
      <c r="E12" s="3" t="s">
        <v>266</v>
      </c>
      <c r="F12" s="3" t="s">
        <v>261</v>
      </c>
      <c r="G12" s="3" t="s">
        <v>262</v>
      </c>
      <c r="H12" s="3" t="s">
        <v>263</v>
      </c>
      <c r="I12" s="3" t="s">
        <v>333</v>
      </c>
      <c r="J12" s="3" t="s">
        <v>334</v>
      </c>
      <c r="K12" s="3" t="s">
        <v>266</v>
      </c>
      <c r="L12" s="3" t="s">
        <v>335</v>
      </c>
      <c r="M12" s="3" t="s">
        <v>336</v>
      </c>
      <c r="N12" s="3" t="s">
        <v>269</v>
      </c>
      <c r="O12" s="3" t="s">
        <v>270</v>
      </c>
      <c r="P12" s="3" t="s">
        <v>271</v>
      </c>
      <c r="Q12" s="3" t="s">
        <v>266</v>
      </c>
      <c r="R12" s="3" t="s">
        <v>281</v>
      </c>
      <c r="S12" s="3" t="s">
        <v>266</v>
      </c>
      <c r="T12" s="3" t="s">
        <v>273</v>
      </c>
      <c r="U12" s="3">
        <v>246</v>
      </c>
      <c r="V12" s="5">
        <v>0</v>
      </c>
      <c r="W12" s="5">
        <v>-3.3E-3</v>
      </c>
      <c r="X12" s="3">
        <v>8887</v>
      </c>
      <c r="Y12" s="3">
        <v>2836</v>
      </c>
    </row>
    <row r="13" spans="1:25" ht="45" x14ac:dyDescent="0.25">
      <c r="A13" s="3" t="s">
        <v>337</v>
      </c>
      <c r="B13" s="3" t="s">
        <v>289</v>
      </c>
      <c r="C13" s="3" t="s">
        <v>258</v>
      </c>
      <c r="D13" s="3" t="s">
        <v>259</v>
      </c>
      <c r="E13" s="3" t="s">
        <v>266</v>
      </c>
      <c r="F13" s="3" t="s">
        <v>261</v>
      </c>
      <c r="G13" s="3" t="s">
        <v>262</v>
      </c>
      <c r="H13" s="3" t="s">
        <v>263</v>
      </c>
      <c r="I13" s="3" t="s">
        <v>338</v>
      </c>
      <c r="J13" s="3" t="s">
        <v>339</v>
      </c>
      <c r="K13" s="3" t="s">
        <v>266</v>
      </c>
      <c r="L13" s="3" t="s">
        <v>340</v>
      </c>
      <c r="M13" s="3" t="s">
        <v>341</v>
      </c>
      <c r="N13" s="3" t="s">
        <v>269</v>
      </c>
      <c r="O13" s="3" t="s">
        <v>270</v>
      </c>
      <c r="P13" s="3" t="s">
        <v>271</v>
      </c>
      <c r="Q13" s="3" t="s">
        <v>266</v>
      </c>
      <c r="R13" s="3" t="s">
        <v>295</v>
      </c>
      <c r="S13" s="3" t="s">
        <v>266</v>
      </c>
      <c r="T13" s="3" t="s">
        <v>288</v>
      </c>
      <c r="U13" s="3">
        <v>240</v>
      </c>
      <c r="V13" s="5">
        <v>0</v>
      </c>
      <c r="W13" s="5">
        <v>2.0299999999999999E-2</v>
      </c>
      <c r="X13" s="3">
        <v>30129</v>
      </c>
      <c r="Y13" s="3">
        <v>5650</v>
      </c>
    </row>
    <row r="14" spans="1:25" ht="45" x14ac:dyDescent="0.25">
      <c r="A14" s="3" t="s">
        <v>337</v>
      </c>
      <c r="B14" s="3" t="s">
        <v>315</v>
      </c>
      <c r="C14" s="3" t="s">
        <v>290</v>
      </c>
      <c r="D14" s="3" t="s">
        <v>259</v>
      </c>
      <c r="E14" s="3" t="s">
        <v>260</v>
      </c>
      <c r="F14" s="3" t="s">
        <v>261</v>
      </c>
      <c r="G14" s="3" t="s">
        <v>262</v>
      </c>
      <c r="H14" s="3" t="s">
        <v>263</v>
      </c>
      <c r="I14" s="3" t="s">
        <v>342</v>
      </c>
      <c r="J14" s="3" t="s">
        <v>343</v>
      </c>
      <c r="K14" s="3" t="s">
        <v>266</v>
      </c>
      <c r="L14" s="3" t="s">
        <v>344</v>
      </c>
      <c r="M14" s="3" t="s">
        <v>345</v>
      </c>
      <c r="N14" s="3" t="s">
        <v>269</v>
      </c>
      <c r="O14" s="3" t="s">
        <v>270</v>
      </c>
      <c r="P14" s="3" t="s">
        <v>271</v>
      </c>
      <c r="Q14" s="3" t="s">
        <v>260</v>
      </c>
      <c r="R14" s="3" t="s">
        <v>281</v>
      </c>
      <c r="S14" s="3" t="s">
        <v>260</v>
      </c>
      <c r="T14" s="3" t="s">
        <v>273</v>
      </c>
      <c r="U14" s="3">
        <v>148</v>
      </c>
      <c r="V14" s="5">
        <v>0</v>
      </c>
      <c r="W14" s="5">
        <v>3.3700000000000001E-2</v>
      </c>
      <c r="X14" s="3">
        <v>25269</v>
      </c>
      <c r="Y14" s="3">
        <v>4004</v>
      </c>
    </row>
    <row r="15" spans="1:25" ht="45" x14ac:dyDescent="0.25">
      <c r="A15" s="3" t="s">
        <v>337</v>
      </c>
      <c r="B15" s="3" t="s">
        <v>332</v>
      </c>
      <c r="C15" s="3" t="s">
        <v>290</v>
      </c>
      <c r="D15" s="3" t="s">
        <v>259</v>
      </c>
      <c r="E15" s="3" t="s">
        <v>266</v>
      </c>
      <c r="F15" s="3" t="s">
        <v>261</v>
      </c>
      <c r="G15" s="3" t="s">
        <v>262</v>
      </c>
      <c r="H15" s="3" t="s">
        <v>263</v>
      </c>
      <c r="I15" s="3" t="s">
        <v>346</v>
      </c>
      <c r="J15" s="3" t="s">
        <v>347</v>
      </c>
      <c r="K15" s="3" t="s">
        <v>266</v>
      </c>
      <c r="L15" s="3" t="s">
        <v>348</v>
      </c>
      <c r="M15" s="3" t="s">
        <v>349</v>
      </c>
      <c r="N15" s="3" t="s">
        <v>269</v>
      </c>
      <c r="O15" s="3" t="s">
        <v>270</v>
      </c>
      <c r="P15" s="3" t="s">
        <v>271</v>
      </c>
      <c r="Q15" s="3" t="s">
        <v>266</v>
      </c>
      <c r="R15" s="3" t="s">
        <v>281</v>
      </c>
      <c r="S15" s="3" t="s">
        <v>266</v>
      </c>
      <c r="T15" s="3" t="s">
        <v>273</v>
      </c>
      <c r="U15" s="3">
        <v>432</v>
      </c>
      <c r="V15" s="5">
        <v>0</v>
      </c>
      <c r="W15" s="5">
        <v>1.49E-2</v>
      </c>
      <c r="X15" s="3">
        <v>6074</v>
      </c>
      <c r="Y15" s="3">
        <v>6774</v>
      </c>
    </row>
    <row r="16" spans="1:25" ht="45" x14ac:dyDescent="0.25">
      <c r="A16" s="3" t="s">
        <v>337</v>
      </c>
      <c r="B16" s="3" t="s">
        <v>307</v>
      </c>
      <c r="C16" s="3" t="s">
        <v>308</v>
      </c>
      <c r="D16" s="3" t="s">
        <v>282</v>
      </c>
      <c r="E16" s="3" t="s">
        <v>266</v>
      </c>
      <c r="F16" s="3" t="s">
        <v>261</v>
      </c>
      <c r="G16" s="3" t="s">
        <v>262</v>
      </c>
      <c r="H16" s="3" t="s">
        <v>263</v>
      </c>
      <c r="I16" s="3" t="s">
        <v>350</v>
      </c>
      <c r="J16" s="3" t="s">
        <v>351</v>
      </c>
      <c r="K16" s="3" t="s">
        <v>266</v>
      </c>
      <c r="L16" s="3" t="s">
        <v>352</v>
      </c>
      <c r="M16" s="3" t="s">
        <v>353</v>
      </c>
      <c r="N16" s="3" t="s">
        <v>269</v>
      </c>
      <c r="O16" s="3" t="s">
        <v>270</v>
      </c>
      <c r="P16" s="3" t="s">
        <v>313</v>
      </c>
      <c r="Q16" s="3" t="s">
        <v>266</v>
      </c>
      <c r="R16" s="3" t="s">
        <v>281</v>
      </c>
      <c r="S16" s="3" t="s">
        <v>266</v>
      </c>
      <c r="T16" s="3" t="s">
        <v>288</v>
      </c>
      <c r="U16" s="3">
        <v>321</v>
      </c>
      <c r="V16" s="5">
        <v>0</v>
      </c>
      <c r="W16" s="5">
        <v>4.7899999999999998E-2</v>
      </c>
      <c r="X16" s="3">
        <v>58769</v>
      </c>
      <c r="Y16" s="3">
        <v>1254</v>
      </c>
    </row>
  </sheetData>
  <pageMargins left="0.75" right="0.75" top="1" bottom="1" header="0.5" footer="0.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zoomScale="80" zoomScaleNormal="80" workbookViewId="0">
      <pane xSplit="2" ySplit="1" topLeftCell="G2" activePane="bottomRight" state="frozen"/>
      <selection pane="topRight"/>
      <selection pane="bottomLeft"/>
      <selection pane="bottomRight" activeCell="I3" sqref="I3"/>
    </sheetView>
  </sheetViews>
  <sheetFormatPr defaultColWidth="11.42578125" defaultRowHeight="15" x14ac:dyDescent="0.25"/>
  <cols>
    <col min="1" max="1" width="10" style="2" customWidth="1"/>
    <col min="2" max="2" width="15.28515625" style="2" customWidth="1"/>
    <col min="3" max="4" width="10" style="2" customWidth="1"/>
    <col min="5" max="9" width="60" style="2" customWidth="1"/>
    <col min="10" max="11" width="41.42578125" style="2" customWidth="1"/>
    <col min="12" max="16384" width="11.42578125" style="2"/>
  </cols>
  <sheetData>
    <row r="1" spans="1:11" ht="27" customHeight="1" x14ac:dyDescent="0.25">
      <c r="A1" s="1" t="s">
        <v>56</v>
      </c>
      <c r="B1" s="1" t="s">
        <v>57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354</v>
      </c>
      <c r="J1" s="1" t="s">
        <v>355</v>
      </c>
      <c r="K1" s="1" t="s">
        <v>356</v>
      </c>
    </row>
    <row r="2" spans="1:11" ht="175.5" customHeight="1" x14ac:dyDescent="0.25">
      <c r="A2" s="3" t="s">
        <v>85</v>
      </c>
      <c r="B2" s="3" t="s">
        <v>86</v>
      </c>
      <c r="C2" s="3">
        <v>38</v>
      </c>
      <c r="D2" s="3">
        <v>11</v>
      </c>
      <c r="E2" s="3" t="s">
        <v>118</v>
      </c>
      <c r="F2" s="3" t="s">
        <v>119</v>
      </c>
      <c r="G2" s="3" t="s">
        <v>120</v>
      </c>
      <c r="H2" s="3" t="s">
        <v>121</v>
      </c>
      <c r="I2" s="3" t="s">
        <v>357</v>
      </c>
      <c r="J2" s="3" t="s">
        <v>358</v>
      </c>
      <c r="K2" s="3" t="s">
        <v>359</v>
      </c>
    </row>
    <row r="3" spans="1:11" ht="135" customHeight="1" x14ac:dyDescent="0.25">
      <c r="A3" s="3" t="s">
        <v>85</v>
      </c>
      <c r="B3" s="3" t="s">
        <v>90</v>
      </c>
      <c r="C3" s="3">
        <v>31</v>
      </c>
      <c r="D3" s="3">
        <v>6</v>
      </c>
      <c r="E3" s="3" t="s">
        <v>122</v>
      </c>
      <c r="F3" s="3" t="s">
        <v>123</v>
      </c>
      <c r="G3" s="3" t="s">
        <v>124</v>
      </c>
      <c r="H3" s="3" t="s">
        <v>125</v>
      </c>
      <c r="I3" s="3" t="s">
        <v>357</v>
      </c>
      <c r="J3" s="3" t="s">
        <v>358</v>
      </c>
      <c r="K3" s="3" t="s">
        <v>359</v>
      </c>
    </row>
    <row r="4" spans="1:11" ht="81" customHeight="1" x14ac:dyDescent="0.25">
      <c r="A4" s="3" t="s">
        <v>85</v>
      </c>
      <c r="B4" s="3" t="s">
        <v>92</v>
      </c>
      <c r="C4" s="3">
        <v>18</v>
      </c>
      <c r="D4" s="3">
        <v>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357</v>
      </c>
      <c r="J4" s="3" t="s">
        <v>358</v>
      </c>
      <c r="K4" s="3" t="s">
        <v>359</v>
      </c>
    </row>
    <row r="5" spans="1:11" ht="94.5" customHeight="1" x14ac:dyDescent="0.25">
      <c r="A5" s="3" t="s">
        <v>85</v>
      </c>
      <c r="B5" s="3" t="s">
        <v>94</v>
      </c>
      <c r="C5" s="3">
        <v>21</v>
      </c>
      <c r="D5" s="3">
        <v>9</v>
      </c>
      <c r="E5" s="3" t="s">
        <v>130</v>
      </c>
      <c r="F5" s="3" t="s">
        <v>131</v>
      </c>
      <c r="G5" s="3" t="s">
        <v>132</v>
      </c>
      <c r="H5" s="3" t="s">
        <v>133</v>
      </c>
      <c r="I5" s="3" t="s">
        <v>357</v>
      </c>
      <c r="J5" s="3" t="s">
        <v>358</v>
      </c>
      <c r="K5" s="3" t="s">
        <v>359</v>
      </c>
    </row>
    <row r="6" spans="1:11" ht="81" customHeight="1" x14ac:dyDescent="0.25">
      <c r="A6" s="3" t="s">
        <v>85</v>
      </c>
      <c r="B6" s="3" t="s">
        <v>95</v>
      </c>
      <c r="C6" s="3">
        <v>16</v>
      </c>
      <c r="D6" s="3">
        <v>9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357</v>
      </c>
      <c r="J6" s="3" t="s">
        <v>358</v>
      </c>
      <c r="K6" s="3" t="s">
        <v>359</v>
      </c>
    </row>
    <row r="7" spans="1:11" ht="81" customHeight="1" x14ac:dyDescent="0.25">
      <c r="A7" s="3" t="s">
        <v>97</v>
      </c>
      <c r="B7" s="3" t="s">
        <v>98</v>
      </c>
      <c r="C7" s="3">
        <v>17</v>
      </c>
      <c r="D7" s="3">
        <v>12</v>
      </c>
      <c r="E7" s="3" t="s">
        <v>138</v>
      </c>
      <c r="F7" s="3" t="s">
        <v>139</v>
      </c>
      <c r="G7" s="3" t="s">
        <v>140</v>
      </c>
      <c r="H7" s="3" t="s">
        <v>141</v>
      </c>
      <c r="I7" s="3" t="s">
        <v>360</v>
      </c>
      <c r="J7" s="3" t="s">
        <v>361</v>
      </c>
      <c r="K7" s="3" t="s">
        <v>362</v>
      </c>
    </row>
    <row r="8" spans="1:11" ht="54" customHeight="1" x14ac:dyDescent="0.25">
      <c r="A8" s="3" t="s">
        <v>97</v>
      </c>
      <c r="B8" s="3" t="s">
        <v>99</v>
      </c>
      <c r="C8" s="3">
        <v>10</v>
      </c>
      <c r="D8" s="3">
        <v>11</v>
      </c>
      <c r="E8" s="3" t="s">
        <v>142</v>
      </c>
      <c r="F8" s="3" t="s">
        <v>143</v>
      </c>
      <c r="G8" s="3" t="s">
        <v>144</v>
      </c>
      <c r="H8" s="3" t="s">
        <v>145</v>
      </c>
      <c r="I8" s="3" t="s">
        <v>363</v>
      </c>
      <c r="J8" s="3" t="s">
        <v>361</v>
      </c>
      <c r="K8" s="3" t="s">
        <v>362</v>
      </c>
    </row>
    <row r="9" spans="1:11" ht="121.5" customHeight="1" x14ac:dyDescent="0.25">
      <c r="A9" s="3" t="s">
        <v>97</v>
      </c>
      <c r="B9" s="3" t="s">
        <v>100</v>
      </c>
      <c r="C9" s="3">
        <v>28</v>
      </c>
      <c r="D9" s="3">
        <v>10</v>
      </c>
      <c r="E9" s="3" t="s">
        <v>146</v>
      </c>
      <c r="F9" s="3" t="s">
        <v>147</v>
      </c>
      <c r="G9" s="3" t="s">
        <v>148</v>
      </c>
      <c r="H9" s="3" t="s">
        <v>149</v>
      </c>
      <c r="I9" s="3" t="s">
        <v>360</v>
      </c>
      <c r="J9" s="3" t="s">
        <v>361</v>
      </c>
      <c r="K9" s="3" t="s">
        <v>362</v>
      </c>
    </row>
    <row r="10" spans="1:11" ht="54" customHeight="1" x14ac:dyDescent="0.25">
      <c r="A10" s="3" t="s">
        <v>97</v>
      </c>
      <c r="B10" s="3" t="s">
        <v>101</v>
      </c>
      <c r="C10" s="3">
        <v>14</v>
      </c>
      <c r="D10" s="3">
        <v>12</v>
      </c>
      <c r="E10" s="3" t="s">
        <v>150</v>
      </c>
      <c r="F10" s="3" t="s">
        <v>151</v>
      </c>
      <c r="G10" s="3" t="s">
        <v>152</v>
      </c>
      <c r="H10" s="3" t="s">
        <v>153</v>
      </c>
      <c r="I10" s="3" t="s">
        <v>364</v>
      </c>
      <c r="J10" s="3" t="s">
        <v>361</v>
      </c>
      <c r="K10" s="3" t="s">
        <v>362</v>
      </c>
    </row>
    <row r="11" spans="1:11" ht="81" customHeight="1" x14ac:dyDescent="0.25">
      <c r="A11" s="3" t="s">
        <v>97</v>
      </c>
      <c r="B11" s="3" t="s">
        <v>102</v>
      </c>
      <c r="C11" s="3">
        <v>20</v>
      </c>
      <c r="D11" s="3">
        <v>9</v>
      </c>
      <c r="E11" s="3" t="s">
        <v>154</v>
      </c>
      <c r="F11" s="3" t="s">
        <v>155</v>
      </c>
      <c r="G11" s="3" t="s">
        <v>156</v>
      </c>
      <c r="H11" s="3" t="s">
        <v>157</v>
      </c>
      <c r="I11" s="3" t="s">
        <v>365</v>
      </c>
      <c r="J11" s="3" t="s">
        <v>361</v>
      </c>
      <c r="K11" s="3" t="s">
        <v>362</v>
      </c>
    </row>
    <row r="12" spans="1:11" ht="94.5" customHeight="1" x14ac:dyDescent="0.25">
      <c r="A12" s="3" t="s">
        <v>97</v>
      </c>
      <c r="B12" s="3" t="s">
        <v>103</v>
      </c>
      <c r="C12" s="3">
        <v>21</v>
      </c>
      <c r="D12" s="3">
        <v>5</v>
      </c>
      <c r="E12" s="3" t="s">
        <v>158</v>
      </c>
      <c r="F12" s="3" t="s">
        <v>159</v>
      </c>
      <c r="G12" s="3" t="s">
        <v>160</v>
      </c>
      <c r="H12" s="3" t="s">
        <v>161</v>
      </c>
      <c r="I12" s="3" t="s">
        <v>360</v>
      </c>
      <c r="J12" s="3" t="s">
        <v>361</v>
      </c>
      <c r="K12" s="3" t="s">
        <v>362</v>
      </c>
    </row>
    <row r="13" spans="1:11" ht="108" customHeight="1" x14ac:dyDescent="0.25">
      <c r="A13" s="3" t="s">
        <v>104</v>
      </c>
      <c r="B13" s="3" t="s">
        <v>94</v>
      </c>
      <c r="C13" s="3">
        <v>25</v>
      </c>
      <c r="D13" s="3">
        <v>9</v>
      </c>
      <c r="E13" s="3" t="s">
        <v>162</v>
      </c>
      <c r="F13" s="3" t="s">
        <v>163</v>
      </c>
      <c r="G13" s="3" t="s">
        <v>164</v>
      </c>
      <c r="H13" s="3" t="s">
        <v>165</v>
      </c>
      <c r="I13" s="3" t="s">
        <v>366</v>
      </c>
      <c r="J13" s="3" t="s">
        <v>367</v>
      </c>
      <c r="K13" s="3" t="s">
        <v>362</v>
      </c>
    </row>
    <row r="14" spans="1:11" ht="81" customHeight="1" x14ac:dyDescent="0.25">
      <c r="A14" s="3" t="s">
        <v>104</v>
      </c>
      <c r="B14" s="3" t="s">
        <v>100</v>
      </c>
      <c r="C14" s="3">
        <v>19</v>
      </c>
      <c r="D14" s="3">
        <v>8</v>
      </c>
      <c r="E14" s="3" t="s">
        <v>166</v>
      </c>
      <c r="F14" s="3" t="s">
        <v>167</v>
      </c>
      <c r="G14" s="3" t="s">
        <v>168</v>
      </c>
      <c r="H14" s="3" t="s">
        <v>169</v>
      </c>
      <c r="I14" s="3" t="s">
        <v>366</v>
      </c>
      <c r="J14" s="3" t="s">
        <v>367</v>
      </c>
      <c r="K14" s="3" t="s">
        <v>362</v>
      </c>
    </row>
    <row r="15" spans="1:11" ht="94.5" customHeight="1" x14ac:dyDescent="0.25">
      <c r="A15" s="3" t="s">
        <v>104</v>
      </c>
      <c r="B15" s="3" t="s">
        <v>103</v>
      </c>
      <c r="C15" s="3">
        <v>21</v>
      </c>
      <c r="D15" s="3">
        <v>7</v>
      </c>
      <c r="E15" s="3" t="s">
        <v>170</v>
      </c>
      <c r="F15" s="3" t="s">
        <v>171</v>
      </c>
      <c r="G15" s="3" t="s">
        <v>172</v>
      </c>
      <c r="H15" s="3" t="s">
        <v>173</v>
      </c>
      <c r="I15" s="3" t="s">
        <v>366</v>
      </c>
      <c r="J15" s="3" t="s">
        <v>367</v>
      </c>
      <c r="K15" s="3" t="s">
        <v>362</v>
      </c>
    </row>
    <row r="16" spans="1:11" ht="54" customHeight="1" x14ac:dyDescent="0.25">
      <c r="A16" s="3" t="s">
        <v>104</v>
      </c>
      <c r="B16" s="3" t="s">
        <v>99</v>
      </c>
      <c r="C16" s="3">
        <v>13</v>
      </c>
      <c r="D16" s="3">
        <v>11</v>
      </c>
      <c r="E16" s="3" t="s">
        <v>174</v>
      </c>
      <c r="F16" s="3" t="s">
        <v>143</v>
      </c>
      <c r="G16" s="3" t="s">
        <v>175</v>
      </c>
      <c r="H16" s="3" t="s">
        <v>176</v>
      </c>
      <c r="I16" s="3" t="s">
        <v>368</v>
      </c>
      <c r="J16" s="3" t="s">
        <v>367</v>
      </c>
      <c r="K16" s="3" t="s">
        <v>362</v>
      </c>
    </row>
  </sheetData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pane ySplit="1" topLeftCell="A2" activePane="bottomLeft" state="frozen"/>
      <selection pane="bottomLeft" activeCell="D5" sqref="D5"/>
    </sheetView>
  </sheetViews>
  <sheetFormatPr defaultColWidth="11.42578125" defaultRowHeight="15" x14ac:dyDescent="0.25"/>
  <cols>
    <col min="1" max="1" width="10" style="2" customWidth="1"/>
    <col min="2" max="2" width="36" style="2" customWidth="1"/>
    <col min="3" max="4" width="60" style="2" customWidth="1"/>
    <col min="5" max="5" width="41.42578125" style="2" customWidth="1"/>
    <col min="6" max="16384" width="11.42578125" style="2"/>
  </cols>
  <sheetData>
    <row r="1" spans="1:5" x14ac:dyDescent="0.2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</row>
    <row r="2" spans="1:5" ht="60" x14ac:dyDescent="0.25">
      <c r="A2" s="3" t="s">
        <v>182</v>
      </c>
      <c r="B2" s="3" t="s">
        <v>183</v>
      </c>
      <c r="C2" s="3" t="s">
        <v>184</v>
      </c>
      <c r="D2" s="3" t="s">
        <v>185</v>
      </c>
      <c r="E2" s="3" t="s">
        <v>186</v>
      </c>
    </row>
    <row r="3" spans="1:5" ht="60" x14ac:dyDescent="0.25">
      <c r="A3" s="3" t="s">
        <v>187</v>
      </c>
      <c r="B3" s="3" t="s">
        <v>188</v>
      </c>
      <c r="C3" s="3" t="s">
        <v>189</v>
      </c>
      <c r="D3" s="3" t="s">
        <v>190</v>
      </c>
      <c r="E3" s="3" t="s">
        <v>191</v>
      </c>
    </row>
    <row r="4" spans="1:5" ht="45" x14ac:dyDescent="0.25">
      <c r="A4" s="3" t="s">
        <v>192</v>
      </c>
      <c r="B4" s="3" t="s">
        <v>193</v>
      </c>
      <c r="C4" s="3" t="s">
        <v>194</v>
      </c>
      <c r="D4" s="3" t="s">
        <v>195</v>
      </c>
      <c r="E4" s="3" t="s">
        <v>196</v>
      </c>
    </row>
    <row r="5" spans="1:5" ht="60" x14ac:dyDescent="0.25">
      <c r="A5" s="3" t="s">
        <v>197</v>
      </c>
      <c r="B5" s="3" t="s">
        <v>198</v>
      </c>
      <c r="C5" s="3" t="s">
        <v>199</v>
      </c>
      <c r="D5" s="3" t="s">
        <v>200</v>
      </c>
      <c r="E5" s="3" t="s">
        <v>201</v>
      </c>
    </row>
    <row r="6" spans="1:5" ht="45" x14ac:dyDescent="0.25">
      <c r="A6" s="3" t="s">
        <v>202</v>
      </c>
      <c r="B6" s="3" t="s">
        <v>203</v>
      </c>
      <c r="C6" s="3" t="s">
        <v>204</v>
      </c>
      <c r="D6" s="3" t="s">
        <v>205</v>
      </c>
      <c r="E6" s="3" t="s">
        <v>201</v>
      </c>
    </row>
    <row r="7" spans="1:5" ht="45" x14ac:dyDescent="0.25">
      <c r="A7" s="3" t="s">
        <v>206</v>
      </c>
      <c r="B7" s="3" t="s">
        <v>207</v>
      </c>
      <c r="C7" s="3" t="s">
        <v>208</v>
      </c>
      <c r="D7" s="3" t="s">
        <v>209</v>
      </c>
      <c r="E7" s="3" t="s">
        <v>210</v>
      </c>
    </row>
    <row r="8" spans="1:5" ht="45" x14ac:dyDescent="0.25">
      <c r="A8" s="3" t="s">
        <v>211</v>
      </c>
      <c r="B8" s="3" t="s">
        <v>212</v>
      </c>
      <c r="C8" s="3" t="s">
        <v>213</v>
      </c>
      <c r="D8" s="3" t="s">
        <v>214</v>
      </c>
      <c r="E8" s="3" t="s">
        <v>215</v>
      </c>
    </row>
    <row r="9" spans="1:5" ht="45" x14ac:dyDescent="0.25">
      <c r="A9" s="3" t="s">
        <v>216</v>
      </c>
      <c r="B9" s="3" t="s">
        <v>217</v>
      </c>
      <c r="C9" s="3" t="s">
        <v>218</v>
      </c>
      <c r="D9" s="3" t="s">
        <v>219</v>
      </c>
      <c r="E9" s="3" t="s">
        <v>220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Line_Leaderboard</vt:lpstr>
      <vt:lpstr>Peril_D2</vt:lpstr>
      <vt:lpstr>Peril_Calibration</vt:lpstr>
      <vt:lpstr>Peril_Freq_Sev_Spec</vt:lpstr>
      <vt:lpstr>Peril_Features</vt:lpstr>
      <vt:lpstr>Improvement_Ideas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Wendy Low Ching Ning</cp:lastModifiedBy>
  <dcterms:created xsi:type="dcterms:W3CDTF">2026-10-23T00:01:32Z</dcterms:created>
  <dcterms:modified xsi:type="dcterms:W3CDTF">2026-10-23T02:24:35Z</dcterms:modified>
</cp:coreProperties>
</file>