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<sst xmlns="http://schemas.openxmlformats.org/spreadsheetml/2006/main" count="924" uniqueCount="924">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</sst>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0"/>
      <color rgb="FF1F3864"/>
      <name val="Arial"/>
      <b/>
    </font>
    <font>
      <sz val="11"/>
      <color rgb="FF1F3864"/>
      <name val="Calibri"/>
      <b/>
    </font>
    <font>
      <sz val="14"/>
      <color rgb="FF1F3864"/>
      <name val="Arial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F4B183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6" fillId="3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6" fillId="3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0" borderId="0" xfId="0" applyFont="1" applyNumberFormat="1" applyAlignment="1" applyProtection="1">
      <alignment textRotation="0" horizontal="center" vertical="top" indent="0"/>
      <protection hidden="0" locked="0"/>
    </xf>
    <xf numFmtId="164" fontId="7" fillId="5" borderId="0" xfId="0" applyFont="1" applyNumberFormat="1" applyFill="1" applyAlignment="1" applyProtection="1">
      <alignment textRotation="0" horizontal="center" vertical="top" indent="0"/>
      <protection hidden="0" locked="0"/>
    </xf>
    <xf numFmtId="164" fontId="7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0" fontId="8" fillId="5" borderId="0" xfId="0" applyFont="1" applyFill="1"/>
    <xf numFmtId="164" fontId="9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15" t="s">
        <v>811</v>
      </c>
      <c r="B1" s="13"/>
    </row>
    <row r="2" ht="35.05" customHeight="1">
      <c r="A2" s="13" t="s">
        <v>812</v>
      </c>
      <c r="B2" s="13" t="s">
        <v>813</v>
      </c>
    </row>
    <row r="3" ht="15" customHeight="1">
      <c r="A3" s="13" t="s">
        <v>814</v>
      </c>
      <c r="B3" s="13" t="s">
        <v>815</v>
      </c>
    </row>
    <row r="4" ht="15" customHeight="1">
      <c r="A4" s="13" t="s">
        <v>816</v>
      </c>
      <c r="B4" s="13" t="s">
        <v>817</v>
      </c>
    </row>
    <row r="5" ht="23.85" customHeight="1">
      <c r="A5" s="13" t="s">
        <v>818</v>
      </c>
      <c r="B5" s="13" t="s">
        <v>819</v>
      </c>
    </row>
    <row r="6" ht="23.85" customHeight="1">
      <c r="A6" s="13" t="s">
        <v>820</v>
      </c>
      <c r="B6" s="13" t="s">
        <v>821</v>
      </c>
    </row>
    <row r="7" ht="15" customHeight="1">
      <c r="A7" s="13" t="s">
        <v>822</v>
      </c>
      <c r="B7" s="13" t="s">
        <v>823</v>
      </c>
    </row>
    <row r="8" ht="35.05" customHeight="1">
      <c r="A8" s="2" t="s">
        <v>13</v>
      </c>
      <c r="B8" s="1" t="s">
        <v>14</v>
      </c>
    </row>
    <row r="9" ht="23.85" customHeight="1">
      <c r="A9" s="2" t="s">
        <v>824</v>
      </c>
      <c r="B9" s="1"/>
    </row>
    <row r="10" ht="23.85" customHeight="1">
      <c r="A10" s="2" t="s">
        <v>1</v>
      </c>
      <c r="B10" s="1" t="s">
        <v>2</v>
      </c>
    </row>
    <row r="11" ht="46.25" customHeight="1">
      <c r="A11" s="2" t="s">
        <v>3</v>
      </c>
      <c r="B11" s="1" t="s">
        <v>4</v>
      </c>
    </row>
    <row r="12" ht="23.85" customHeight="1">
      <c r="A12" s="2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ht="15" customHeight="1">
      <c r="A2" s="1" t="s">
        <v>30</v>
      </c>
      <c r="B2" s="1" t="s">
        <v>31</v>
      </c>
      <c r="C2" s="4" t="n">
        <f aca="false">COUNTIFS(Features_Motor!$G:$G,"Y",Features_Motor!J:J,"F")+COUNTIFS(Features_Motor!$G:$G,"Y",Features_Motor!J:J,"B")</f>
        <v>38</v>
      </c>
      <c r="D2" s="4" t="n">
        <f aca="false">COUNTIFS(Features_Motor!$G:$G,"Y",Features_Motor!J:J,"S")+COUNTIFS(Features_Motor!$G:$G,"Y",Features_Motor!J:J,"B")</f>
        <v>11</v>
      </c>
      <c r="E2" s="5" t="str">
        <f aca="false">Model_Spec!D2</f>
        <v>gamma_gbm</v>
      </c>
      <c r="F2" s="5" t="n">
        <f aca="false">Model_Spec!F2</f>
        <v>0.999</v>
      </c>
      <c r="G2" s="5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4" t="n">
        <f aca="false">COUNTIFS(Features_Motor!$G:$G,"Y",Features_Motor!K:K,"F")+COUNTIFS(Features_Motor!$G:$G,"Y",Features_Motor!K:K,"B")</f>
        <v>33</v>
      </c>
      <c r="D3" s="4" t="n">
        <f aca="false">COUNTIFS(Features_Motor!$G:$G,"Y",Features_Motor!K:K,"S")+COUNTIFS(Features_Motor!$G:$G,"Y",Features_Motor!K:K,"B")</f>
        <v>5</v>
      </c>
      <c r="E3" s="5" t="str">
        <f aca="false">Model_Spec!D3</f>
        <v>gamma_gbm</v>
      </c>
      <c r="F3" s="5" t="n">
        <f aca="false">Model_Spec!F3</f>
        <v>0.999</v>
      </c>
      <c r="G3" s="5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4" t="n">
        <f aca="false">COUNTIFS(Features_Motor!$G:$G,"Y",Features_Motor!L:L,"F")+COUNTIFS(Features_Motor!$G:$G,"Y",Features_Motor!L:L,"B")</f>
        <v>17</v>
      </c>
      <c r="D4" s="4" t="n">
        <f aca="false">COUNTIFS(Features_Motor!$G:$G,"Y",Features_Motor!L:L,"S")+COUNTIFS(Features_Motor!$G:$G,"Y",Features_Motor!L:L,"B")</f>
        <v>4</v>
      </c>
      <c r="E4" s="5" t="str">
        <f aca="false">Model_Spec!D4</f>
        <v>gamma_glm</v>
      </c>
      <c r="F4" s="5" t="n">
        <f aca="false">Model_Spec!F4</f>
        <v>0.995</v>
      </c>
      <c r="G4" s="5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4" t="n">
        <f aca="false">COUNTIFS(Features_Motor!$G:$G,"Y",Features_Motor!M:M,"F")+COUNTIFS(Features_Motor!$G:$G,"Y",Features_Motor!M:M,"B")</f>
        <v>21</v>
      </c>
      <c r="D5" s="4" t="n">
        <f aca="false">COUNTIFS(Features_Motor!$G:$G,"Y",Features_Motor!M:M,"S")+COUNTIFS(Features_Motor!$G:$G,"Y",Features_Motor!M:M,"B")</f>
        <v>9</v>
      </c>
      <c r="E5" s="5" t="str">
        <f aca="false">Model_Spec!D5</f>
        <v>gamma_gbm</v>
      </c>
      <c r="F5" s="5" t="n">
        <f aca="false">Model_Spec!F5</f>
        <v>0.999</v>
      </c>
      <c r="G5" s="5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4" t="n">
        <f aca="false">COUNTIFS(Features_Motor!$G:$G,"Y",Features_Motor!N:N,"F")+COUNTIFS(Features_Motor!$G:$G,"Y",Features_Motor!N:N,"B")</f>
        <v>16</v>
      </c>
      <c r="D6" s="4" t="n">
        <f aca="false">COUNTIFS(Features_Motor!$G:$G,"Y",Features_Motor!N:N,"S")+COUNTIFS(Features_Motor!$G:$G,"Y",Features_Motor!N:N,"B")</f>
        <v>9</v>
      </c>
      <c r="E6" s="5" t="str">
        <f aca="false">Model_Spec!D6</f>
        <v>gamma_gbm</v>
      </c>
      <c r="F6" s="5" t="n">
        <f aca="false">Model_Spec!F6</f>
        <v>0.999</v>
      </c>
      <c r="G6" s="5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4" t="n">
        <f aca="false">COUNTIFS(Features_Buildings!$G:$G,"Y",Features_Buildings!J:J,"F")+COUNTIFS(Features_Buildings!$G:$G,"Y",Features_Buildings!J:J,"B")</f>
        <v>17</v>
      </c>
      <c r="D7" s="4" t="n">
        <f aca="false">COUNTIFS(Features_Buildings!$G:$G,"Y",Features_Buildings!J:J,"S")+COUNTIFS(Features_Buildings!$G:$G,"Y",Features_Buildings!J:J,"B")</f>
        <v>11</v>
      </c>
      <c r="E7" s="5" t="str">
        <f aca="false">Model_Spec!D7</f>
        <v>gamma_gbm</v>
      </c>
      <c r="F7" s="5" t="n">
        <f aca="false">Model_Spec!F7</f>
        <v>0.999</v>
      </c>
      <c r="G7" s="5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4" t="n">
        <f aca="false">COUNTIFS(Features_Buildings!$G:$G,"Y",Features_Buildings!K:K,"F")+COUNTIFS(Features_Buildings!$G:$G,"Y",Features_Buildings!K:K,"B")</f>
        <v>12</v>
      </c>
      <c r="D8" s="4" t="n">
        <f aca="false">COUNTIFS(Features_Buildings!$G:$G,"Y",Features_Buildings!K:K,"S")+COUNTIFS(Features_Buildings!$G:$G,"Y",Features_Buildings!K:K,"B")</f>
        <v>10</v>
      </c>
      <c r="E8" s="5" t="str">
        <f aca="false">Model_Spec!D8</f>
        <v>gamma_glm</v>
      </c>
      <c r="F8" s="5" t="n">
        <f aca="false">Model_Spec!F8</f>
        <v>0.995</v>
      </c>
      <c r="G8" s="5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4" t="n">
        <f aca="false">COUNTIFS(Features_Buildings!$G:$G,"Y",Features_Buildings!L:L,"F")+COUNTIFS(Features_Buildings!$G:$G,"Y",Features_Buildings!L:L,"B")</f>
        <v>28</v>
      </c>
      <c r="D9" s="4" t="n">
        <f aca="false">COUNTIFS(Features_Buildings!$G:$G,"Y",Features_Buildings!L:L,"S")+COUNTIFS(Features_Buildings!$G:$G,"Y",Features_Buildings!L:L,"B")</f>
        <v>10</v>
      </c>
      <c r="E9" s="5" t="str">
        <f aca="false">Model_Spec!D9</f>
        <v>gamma_gbm</v>
      </c>
      <c r="F9" s="5" t="n">
        <f aca="false">Model_Spec!F9</f>
        <v>0.999</v>
      </c>
      <c r="G9" s="5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4" t="n">
        <f aca="false">COUNTIFS(Features_Buildings!$G:$G,"Y",Features_Buildings!M:M,"F")+COUNTIFS(Features_Buildings!$G:$G,"Y",Features_Buildings!M:M,"B")</f>
        <v>14</v>
      </c>
      <c r="D10" s="4" t="n">
        <f aca="false">COUNTIFS(Features_Buildings!$G:$G,"Y",Features_Buildings!M:M,"S")+COUNTIFS(Features_Buildings!$G:$G,"Y",Features_Buildings!M:M,"B")</f>
        <v>11</v>
      </c>
      <c r="E10" s="5" t="str">
        <f aca="false">Model_Spec!D10</f>
        <v>gamma_glm</v>
      </c>
      <c r="F10" s="5" t="n">
        <f aca="false">Model_Spec!F10</f>
        <v>0.995</v>
      </c>
      <c r="G10" s="5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4" t="n">
        <f aca="false">COUNTIFS(Features_Buildings!$G:$G,"Y",Features_Buildings!N:N,"F")+COUNTIFS(Features_Buildings!$G:$G,"Y",Features_Buildings!N:N,"B")</f>
        <v>19</v>
      </c>
      <c r="D11" s="4" t="n">
        <f aca="false">COUNTIFS(Features_Buildings!$G:$G,"Y",Features_Buildings!N:N,"S")+COUNTIFS(Features_Buildings!$G:$G,"Y",Features_Buildings!N:N,"B")</f>
        <v>9</v>
      </c>
      <c r="E11" s="5" t="str">
        <f aca="false">Model_Spec!D11</f>
        <v>gamma_glm</v>
      </c>
      <c r="F11" s="5" t="n">
        <f aca="false">Model_Spec!F11</f>
        <v>0.99</v>
      </c>
      <c r="G11" s="5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4" t="n">
        <f aca="false">COUNTIFS(Features_Buildings!$G:$G,"Y",Features_Buildings!O:O,"F")+COUNTIFS(Features_Buildings!$G:$G,"Y",Features_Buildings!O:O,"B")</f>
        <v>21</v>
      </c>
      <c r="D12" s="4" t="n">
        <f aca="false">COUNTIFS(Features_Buildings!$G:$G,"Y",Features_Buildings!O:O,"S")+COUNTIFS(Features_Buildings!$G:$G,"Y",Features_Buildings!O:O,"B")</f>
        <v>5</v>
      </c>
      <c r="E12" s="5" t="str">
        <f aca="false">Model_Spec!D12</f>
        <v>gamma_gbm</v>
      </c>
      <c r="F12" s="5" t="n">
        <f aca="false">Model_Spec!F12</f>
        <v>0.999</v>
      </c>
      <c r="G12" s="5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4" t="n">
        <f aca="false">COUNTIFS(Features_Contents!$G:$G,"Y",Features_Contents!J:J,"F")+COUNTIFS(Features_Contents!$G:$G,"Y",Features_Contents!J:J,"B")</f>
        <v>25</v>
      </c>
      <c r="D13" s="4" t="n">
        <f aca="false">COUNTIFS(Features_Contents!$G:$G,"Y",Features_Contents!J:J,"S")+COUNTIFS(Features_Contents!$G:$G,"Y",Features_Contents!J:J,"B")</f>
        <v>9</v>
      </c>
      <c r="E13" s="5" t="str">
        <f aca="false">Model_Spec!D13</f>
        <v>gamma_gbm</v>
      </c>
      <c r="F13" s="5" t="n">
        <f aca="false">Model_Spec!F13</f>
        <v>0.999</v>
      </c>
      <c r="G13" s="5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4" t="n">
        <f aca="false">COUNTIFS(Features_Contents!$G:$G,"Y",Features_Contents!K:K,"F")+COUNTIFS(Features_Contents!$G:$G,"Y",Features_Contents!K:K,"B")</f>
        <v>19</v>
      </c>
      <c r="D14" s="4" t="n">
        <f aca="false">COUNTIFS(Features_Contents!$G:$G,"Y",Features_Contents!K:K,"S")+COUNTIFS(Features_Contents!$G:$G,"Y",Features_Contents!K:K,"B")</f>
        <v>8</v>
      </c>
      <c r="E14" s="5" t="str">
        <f aca="false">Model_Spec!D14</f>
        <v>gamma_gbm</v>
      </c>
      <c r="F14" s="5" t="n">
        <f aca="false">Model_Spec!F14</f>
        <v>0.999</v>
      </c>
      <c r="G14" s="5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4" t="n">
        <f aca="false">COUNTIFS(Features_Contents!$G:$G,"Y",Features_Contents!L:L,"F")+COUNTIFS(Features_Contents!$G:$G,"Y",Features_Contents!L:L,"B")</f>
        <v>21</v>
      </c>
      <c r="D15" s="4" t="n">
        <f aca="false">COUNTIFS(Features_Contents!$G:$G,"Y",Features_Contents!L:L,"S")+COUNTIFS(Features_Contents!$G:$G,"Y",Features_Contents!L:L,"B")</f>
        <v>7</v>
      </c>
      <c r="E15" s="5" t="str">
        <f aca="false">Model_Spec!D15</f>
        <v>gamma_gbm</v>
      </c>
      <c r="F15" s="5" t="n">
        <f aca="false">Model_Spec!F15</f>
        <v>0.999</v>
      </c>
      <c r="G15" s="5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4" t="n">
        <f aca="false">COUNTIFS(Features_Contents!$G:$G,"Y",Features_Contents!M:M,"F")+COUNTIFS(Features_Contents!$G:$G,"Y",Features_Contents!M:M,"B")</f>
        <v>13</v>
      </c>
      <c r="D16" s="4" t="n">
        <f aca="false">COUNTIFS(Features_Contents!$G:$G,"Y",Features_Contents!M:M,"S")+COUNTIFS(Features_Contents!$G:$G,"Y",Features_Contents!M:M,"B")</f>
        <v>10</v>
      </c>
      <c r="E16" s="5" t="str">
        <f aca="false">Model_Spec!D16</f>
        <v>gamma_glm</v>
      </c>
      <c r="F16" s="5" t="n">
        <f aca="false">Model_Spec!F16</f>
        <v>0.995</v>
      </c>
      <c r="G16" s="5" t="str">
        <f aca="false">Model_Spec!Q16</f>
        <v>~1.6k claims: GLM severity.</v>
      </c>
    </row>
    <row r="18" ht="15" customHeight="1">
      <c r="A18" s="6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199</v>
      </c>
      <c r="P1" s="3" t="s">
        <v>200</v>
      </c>
    </row>
    <row r="2" ht="23.85" customHeight="1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  <c r="F2" s="1" t="s">
        <v>206</v>
      </c>
      <c r="G2" s="7" t="s">
        <v>207</v>
      </c>
      <c r="H2" s="7" t="n">
        <v>0</v>
      </c>
      <c r="I2" s="7" t="n">
        <v>0</v>
      </c>
      <c r="J2" s="8" t="s">
        <v>208</v>
      </c>
      <c r="K2" s="8" t="s">
        <v>208</v>
      </c>
      <c r="L2" s="8" t="s">
        <v>208</v>
      </c>
      <c r="M2" s="8" t="s">
        <v>209</v>
      </c>
      <c r="N2" s="8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7" t="s">
        <v>207</v>
      </c>
      <c r="H3" s="7" t="n">
        <v>0</v>
      </c>
      <c r="I3" s="7" t="n">
        <v>0</v>
      </c>
      <c r="J3" s="8" t="s">
        <v>209</v>
      </c>
      <c r="K3" s="8" t="s">
        <v>209</v>
      </c>
      <c r="L3" s="8" t="s">
        <v>209</v>
      </c>
      <c r="M3" s="8" t="s">
        <v>84</v>
      </c>
      <c r="N3" s="8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7" t="s">
        <v>207</v>
      </c>
      <c r="H4" s="7" t="n">
        <v>-1</v>
      </c>
      <c r="I4" s="7" t="n">
        <v>0</v>
      </c>
      <c r="J4" s="8" t="s">
        <v>209</v>
      </c>
      <c r="K4" s="8" t="s">
        <v>209</v>
      </c>
      <c r="L4" s="8" t="s">
        <v>209</v>
      </c>
      <c r="M4" s="8" t="s">
        <v>84</v>
      </c>
      <c r="N4" s="8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7" t="s">
        <v>207</v>
      </c>
      <c r="H5" s="7" t="n">
        <v>0</v>
      </c>
      <c r="I5" s="7" t="n">
        <v>1</v>
      </c>
      <c r="J5" s="8" t="s">
        <v>208</v>
      </c>
      <c r="K5" s="8" t="s">
        <v>84</v>
      </c>
      <c r="L5" s="8" t="s">
        <v>84</v>
      </c>
      <c r="M5" s="8" t="s">
        <v>208</v>
      </c>
      <c r="N5" s="8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7" t="s">
        <v>207</v>
      </c>
      <c r="H6" s="7" t="n">
        <v>0</v>
      </c>
      <c r="I6" s="7" t="n">
        <v>0</v>
      </c>
      <c r="J6" s="8" t="s">
        <v>208</v>
      </c>
      <c r="K6" s="8" t="s">
        <v>209</v>
      </c>
      <c r="L6" s="8" t="s">
        <v>84</v>
      </c>
      <c r="M6" s="8" t="s">
        <v>208</v>
      </c>
      <c r="N6" s="8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7" t="s">
        <v>207</v>
      </c>
      <c r="H7" s="7" t="n">
        <v>0</v>
      </c>
      <c r="I7" s="7" t="n">
        <v>0</v>
      </c>
      <c r="J7" s="8" t="s">
        <v>208</v>
      </c>
      <c r="K7" s="8" t="s">
        <v>209</v>
      </c>
      <c r="L7" s="8" t="s">
        <v>84</v>
      </c>
      <c r="M7" s="8" t="s">
        <v>208</v>
      </c>
      <c r="N7" s="8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7" t="s">
        <v>207</v>
      </c>
      <c r="H8" s="7" t="n">
        <v>0</v>
      </c>
      <c r="I8" s="7" t="n">
        <v>0</v>
      </c>
      <c r="J8" s="8" t="s">
        <v>209</v>
      </c>
      <c r="K8" s="8" t="s">
        <v>208</v>
      </c>
      <c r="L8" s="8" t="s">
        <v>209</v>
      </c>
      <c r="M8" s="8" t="s">
        <v>209</v>
      </c>
      <c r="N8" s="8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7" t="s">
        <v>207</v>
      </c>
      <c r="H9" s="7" t="n">
        <v>0</v>
      </c>
      <c r="I9" s="7" t="n">
        <v>0</v>
      </c>
      <c r="J9" s="8" t="s">
        <v>208</v>
      </c>
      <c r="K9" s="8" t="s">
        <v>208</v>
      </c>
      <c r="L9" s="8" t="s">
        <v>84</v>
      </c>
      <c r="M9" s="8" t="s">
        <v>209</v>
      </c>
      <c r="N9" s="8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7" t="s">
        <v>207</v>
      </c>
      <c r="H10" s="7" t="n">
        <v>0</v>
      </c>
      <c r="I10" s="7" t="n">
        <v>0</v>
      </c>
      <c r="J10" s="8" t="s">
        <v>209</v>
      </c>
      <c r="K10" s="8" t="s">
        <v>84</v>
      </c>
      <c r="L10" s="8" t="s">
        <v>84</v>
      </c>
      <c r="M10" s="8" t="s">
        <v>84</v>
      </c>
      <c r="N10" s="8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7" t="s">
        <v>207</v>
      </c>
      <c r="H11" s="7" t="n">
        <v>0</v>
      </c>
      <c r="I11" s="7" t="n">
        <v>0</v>
      </c>
      <c r="J11" s="8" t="s">
        <v>84</v>
      </c>
      <c r="K11" s="8" t="s">
        <v>84</v>
      </c>
      <c r="L11" s="8" t="s">
        <v>226</v>
      </c>
      <c r="M11" s="8" t="s">
        <v>84</v>
      </c>
      <c r="N11" s="8" t="s">
        <v>84</v>
      </c>
      <c r="O11" s="1" t="s">
        <v>250</v>
      </c>
      <c r="P11" s="1"/>
    </row>
    <row r="12" ht="23.85" customHeight="1">
      <c r="A12" s="9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9" t="s">
        <v>254</v>
      </c>
      <c r="G12" s="7" t="s">
        <v>255</v>
      </c>
      <c r="H12" s="7" t="n">
        <v>0</v>
      </c>
      <c r="I12" s="7" t="n">
        <v>0</v>
      </c>
      <c r="J12" s="8" t="s">
        <v>84</v>
      </c>
      <c r="K12" s="8" t="s">
        <v>84</v>
      </c>
      <c r="L12" s="8" t="s">
        <v>84</v>
      </c>
      <c r="M12" s="8" t="s">
        <v>84</v>
      </c>
      <c r="N12" s="8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226</v>
      </c>
      <c r="K13" s="8" t="s">
        <v>84</v>
      </c>
      <c r="L13" s="8" t="s">
        <v>84</v>
      </c>
      <c r="M13" s="8" t="s">
        <v>209</v>
      </c>
      <c r="N13" s="8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7" t="s">
        <v>207</v>
      </c>
      <c r="H14" s="7" t="n">
        <v>0</v>
      </c>
      <c r="I14" s="7" t="n">
        <v>0</v>
      </c>
      <c r="J14" s="8" t="s">
        <v>209</v>
      </c>
      <c r="K14" s="8" t="s">
        <v>209</v>
      </c>
      <c r="L14" s="8" t="s">
        <v>209</v>
      </c>
      <c r="M14" s="8" t="s">
        <v>84</v>
      </c>
      <c r="N14" s="8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7" t="s">
        <v>207</v>
      </c>
      <c r="H15" s="7" t="n">
        <v>0</v>
      </c>
      <c r="I15" s="7" t="n">
        <v>0</v>
      </c>
      <c r="J15" s="8" t="s">
        <v>208</v>
      </c>
      <c r="K15" s="8" t="s">
        <v>209</v>
      </c>
      <c r="L15" s="8" t="s">
        <v>209</v>
      </c>
      <c r="M15" s="8" t="s">
        <v>208</v>
      </c>
      <c r="N15" s="8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206</v>
      </c>
      <c r="G16" s="7" t="s">
        <v>207</v>
      </c>
      <c r="H16" s="7" t="n">
        <v>1</v>
      </c>
      <c r="I16" s="7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8" t="s">
        <v>209</v>
      </c>
      <c r="O16" s="1" t="s">
        <v>275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7" t="s">
        <v>207</v>
      </c>
      <c r="H17" s="7" t="n">
        <v>0</v>
      </c>
      <c r="I17" s="7" t="n">
        <v>0</v>
      </c>
      <c r="J17" s="8" t="s">
        <v>209</v>
      </c>
      <c r="K17" s="8" t="s">
        <v>84</v>
      </c>
      <c r="L17" s="8" t="s">
        <v>84</v>
      </c>
      <c r="M17" s="8" t="s">
        <v>208</v>
      </c>
      <c r="N17" s="8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7" t="s">
        <v>207</v>
      </c>
      <c r="H18" s="7" t="n">
        <v>0</v>
      </c>
      <c r="I18" s="7" t="n">
        <v>0</v>
      </c>
      <c r="J18" s="8" t="s">
        <v>209</v>
      </c>
      <c r="K18" s="8" t="s">
        <v>209</v>
      </c>
      <c r="L18" s="8" t="s">
        <v>209</v>
      </c>
      <c r="M18" s="8" t="s">
        <v>84</v>
      </c>
      <c r="N18" s="8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7" t="s">
        <v>207</v>
      </c>
      <c r="H19" s="7" t="n">
        <v>1</v>
      </c>
      <c r="I19" s="7" t="n">
        <v>0</v>
      </c>
      <c r="J19" s="8" t="s">
        <v>209</v>
      </c>
      <c r="K19" s="8" t="s">
        <v>209</v>
      </c>
      <c r="L19" s="8" t="s">
        <v>209</v>
      </c>
      <c r="M19" s="8" t="s">
        <v>84</v>
      </c>
      <c r="N19" s="8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232</v>
      </c>
      <c r="G20" s="7" t="s">
        <v>207</v>
      </c>
      <c r="H20" s="7" t="n">
        <v>0</v>
      </c>
      <c r="I20" s="7" t="n">
        <v>0</v>
      </c>
      <c r="J20" s="8" t="s">
        <v>209</v>
      </c>
      <c r="K20" s="8" t="s">
        <v>209</v>
      </c>
      <c r="L20" s="8" t="s">
        <v>209</v>
      </c>
      <c r="M20" s="8" t="s">
        <v>84</v>
      </c>
      <c r="N20" s="8" t="s">
        <v>84</v>
      </c>
      <c r="O20" s="1" t="s">
        <v>290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232</v>
      </c>
      <c r="G21" s="7" t="s">
        <v>207</v>
      </c>
      <c r="H21" s="7" t="n">
        <v>0</v>
      </c>
      <c r="I21" s="7" t="n">
        <v>0</v>
      </c>
      <c r="J21" s="8" t="s">
        <v>209</v>
      </c>
      <c r="K21" s="8" t="s">
        <v>209</v>
      </c>
      <c r="L21" s="8" t="s">
        <v>209</v>
      </c>
      <c r="M21" s="8" t="s">
        <v>84</v>
      </c>
      <c r="N21" s="8" t="s">
        <v>84</v>
      </c>
      <c r="O21" s="1" t="s">
        <v>294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7" t="s">
        <v>207</v>
      </c>
      <c r="H22" s="7" t="n">
        <v>-1</v>
      </c>
      <c r="I22" s="7" t="n">
        <v>0</v>
      </c>
      <c r="J22" s="8" t="s">
        <v>208</v>
      </c>
      <c r="K22" s="12" t="s">
        <v>208</v>
      </c>
      <c r="L22" s="12" t="s">
        <v>208</v>
      </c>
      <c r="M22" s="8" t="s">
        <v>208</v>
      </c>
      <c r="N22" s="8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206</v>
      </c>
      <c r="G23" s="7" t="s">
        <v>207</v>
      </c>
      <c r="H23" s="7" t="n">
        <v>0</v>
      </c>
      <c r="I23" s="7" t="n">
        <v>0</v>
      </c>
      <c r="J23" s="8" t="s">
        <v>208</v>
      </c>
      <c r="K23" s="8" t="s">
        <v>84</v>
      </c>
      <c r="L23" s="8" t="s">
        <v>84</v>
      </c>
      <c r="M23" s="8" t="s">
        <v>208</v>
      </c>
      <c r="N23" s="8" t="s">
        <v>208</v>
      </c>
      <c r="O23" s="1" t="s">
        <v>305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7" t="s">
        <v>207</v>
      </c>
      <c r="H24" s="7" t="n">
        <v>0</v>
      </c>
      <c r="I24" s="7" t="n">
        <v>0</v>
      </c>
      <c r="J24" s="8" t="s">
        <v>209</v>
      </c>
      <c r="K24" s="8" t="s">
        <v>209</v>
      </c>
      <c r="L24" s="8" t="s">
        <v>84</v>
      </c>
      <c r="M24" s="8" t="s">
        <v>84</v>
      </c>
      <c r="N24" s="8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7" t="s">
        <v>207</v>
      </c>
      <c r="H25" s="7" t="n">
        <v>0</v>
      </c>
      <c r="I25" s="7" t="n">
        <v>0</v>
      </c>
      <c r="J25" s="8" t="s">
        <v>209</v>
      </c>
      <c r="K25" s="8" t="s">
        <v>209</v>
      </c>
      <c r="L25" s="8" t="s">
        <v>84</v>
      </c>
      <c r="M25" s="8" t="s">
        <v>209</v>
      </c>
      <c r="N25" s="8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7" t="s">
        <v>207</v>
      </c>
      <c r="H26" s="7" t="n">
        <v>1</v>
      </c>
      <c r="I26" s="7" t="n">
        <v>0</v>
      </c>
      <c r="J26" s="8" t="s">
        <v>209</v>
      </c>
      <c r="K26" s="8" t="s">
        <v>209</v>
      </c>
      <c r="L26" s="8" t="s">
        <v>84</v>
      </c>
      <c r="M26" s="8" t="s">
        <v>209</v>
      </c>
      <c r="N26" s="8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7" t="s">
        <v>207</v>
      </c>
      <c r="H27" s="7" t="n">
        <v>0</v>
      </c>
      <c r="I27" s="7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8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7" t="s">
        <v>207</v>
      </c>
      <c r="H28" s="7" t="n">
        <v>0</v>
      </c>
      <c r="I28" s="7" t="n">
        <v>0</v>
      </c>
      <c r="J28" s="8" t="s">
        <v>209</v>
      </c>
      <c r="K28" s="8" t="s">
        <v>209</v>
      </c>
      <c r="L28" s="8" t="s">
        <v>84</v>
      </c>
      <c r="M28" s="8" t="s">
        <v>84</v>
      </c>
      <c r="N28" s="8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7" t="s">
        <v>207</v>
      </c>
      <c r="H29" s="7" t="n">
        <v>0</v>
      </c>
      <c r="I29" s="7" t="n">
        <v>0</v>
      </c>
      <c r="J29" s="8" t="s">
        <v>209</v>
      </c>
      <c r="K29" s="8" t="s">
        <v>209</v>
      </c>
      <c r="L29" s="8" t="s">
        <v>84</v>
      </c>
      <c r="M29" s="8" t="s">
        <v>84</v>
      </c>
      <c r="N29" s="8" t="s">
        <v>84</v>
      </c>
      <c r="O29" s="1" t="s">
        <v>328</v>
      </c>
      <c r="P29" s="1"/>
    </row>
    <row r="30" ht="15" customHeight="1">
      <c r="A30" s="9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1" t="s">
        <v>332</v>
      </c>
      <c r="P30" s="1" t="s">
        <v>333</v>
      </c>
    </row>
    <row r="31" ht="23.85" customHeight="1">
      <c r="A31" s="9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7" t="s">
        <v>207</v>
      </c>
      <c r="H32" s="7" t="n">
        <v>0</v>
      </c>
      <c r="I32" s="7" t="n">
        <v>0</v>
      </c>
      <c r="J32" s="8" t="s">
        <v>209</v>
      </c>
      <c r="K32" s="8" t="s">
        <v>209</v>
      </c>
      <c r="L32" s="8" t="s">
        <v>84</v>
      </c>
      <c r="M32" s="8" t="s">
        <v>84</v>
      </c>
      <c r="N32" s="8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7" t="s">
        <v>207</v>
      </c>
      <c r="H33" s="7" t="n">
        <v>0</v>
      </c>
      <c r="I33" s="7" t="n">
        <v>0</v>
      </c>
      <c r="J33" s="8" t="s">
        <v>209</v>
      </c>
      <c r="K33" s="8" t="s">
        <v>209</v>
      </c>
      <c r="L33" s="8" t="s">
        <v>84</v>
      </c>
      <c r="M33" s="8" t="s">
        <v>84</v>
      </c>
      <c r="N33" s="8" t="s">
        <v>84</v>
      </c>
      <c r="O33" s="1" t="s">
        <v>347</v>
      </c>
      <c r="P33" s="1" t="s">
        <v>348</v>
      </c>
    </row>
    <row r="34" ht="15" customHeight="1">
      <c r="A34" s="9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232</v>
      </c>
      <c r="G35" s="7" t="s">
        <v>207</v>
      </c>
      <c r="H35" s="7" t="n">
        <v>0</v>
      </c>
      <c r="I35" s="7" t="n">
        <v>0</v>
      </c>
      <c r="J35" s="8" t="s">
        <v>209</v>
      </c>
      <c r="K35" s="8" t="s">
        <v>209</v>
      </c>
      <c r="L35" s="8" t="s">
        <v>84</v>
      </c>
      <c r="M35" s="8" t="s">
        <v>209</v>
      </c>
      <c r="N35" s="8" t="s">
        <v>84</v>
      </c>
      <c r="O35" s="1" t="s">
        <v>356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7" t="s">
        <v>207</v>
      </c>
      <c r="H36" s="7" t="n">
        <v>1</v>
      </c>
      <c r="I36" s="7" t="n">
        <v>0</v>
      </c>
      <c r="J36" s="8" t="s">
        <v>209</v>
      </c>
      <c r="K36" s="8" t="s">
        <v>209</v>
      </c>
      <c r="L36" s="8" t="s">
        <v>209</v>
      </c>
      <c r="M36" s="8" t="s">
        <v>209</v>
      </c>
      <c r="N36" s="8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7" t="s">
        <v>207</v>
      </c>
      <c r="H37" s="7" t="n">
        <v>1</v>
      </c>
      <c r="I37" s="7" t="n">
        <v>0</v>
      </c>
      <c r="J37" s="8" t="s">
        <v>209</v>
      </c>
      <c r="K37" s="8" t="s">
        <v>209</v>
      </c>
      <c r="L37" s="8" t="s">
        <v>209</v>
      </c>
      <c r="M37" s="8" t="s">
        <v>84</v>
      </c>
      <c r="N37" s="8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7" t="s">
        <v>207</v>
      </c>
      <c r="H38" s="7" t="n">
        <v>0</v>
      </c>
      <c r="I38" s="7" t="n">
        <v>0</v>
      </c>
      <c r="J38" s="8" t="s">
        <v>209</v>
      </c>
      <c r="K38" s="8" t="s">
        <v>84</v>
      </c>
      <c r="L38" s="8" t="s">
        <v>84</v>
      </c>
      <c r="M38" s="8" t="s">
        <v>209</v>
      </c>
      <c r="N38" s="8" t="s">
        <v>84</v>
      </c>
      <c r="O38" s="1" t="s">
        <v>366</v>
      </c>
      <c r="P38" s="1"/>
    </row>
    <row r="39" ht="23.85" customHeight="1">
      <c r="A39" s="9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9" t="s">
        <v>254</v>
      </c>
      <c r="G39" s="7" t="s">
        <v>255</v>
      </c>
      <c r="H39" s="7" t="n">
        <v>0</v>
      </c>
      <c r="I39" s="7" t="n">
        <v>0</v>
      </c>
      <c r="J39" s="8" t="s">
        <v>84</v>
      </c>
      <c r="K39" s="8" t="s">
        <v>84</v>
      </c>
      <c r="L39" s="8" t="s">
        <v>84</v>
      </c>
      <c r="M39" s="8" t="s">
        <v>84</v>
      </c>
      <c r="N39" s="8" t="s">
        <v>84</v>
      </c>
      <c r="O39" s="1" t="s">
        <v>370</v>
      </c>
      <c r="P39" s="1" t="s">
        <v>371</v>
      </c>
    </row>
    <row r="40" ht="15" customHeight="1">
      <c r="A40" s="9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9" t="s">
        <v>254</v>
      </c>
      <c r="G40" s="7" t="s">
        <v>255</v>
      </c>
      <c r="H40" s="7" t="n">
        <v>0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84</v>
      </c>
      <c r="N40" s="8" t="s">
        <v>84</v>
      </c>
      <c r="O40" s="1" t="s">
        <v>374</v>
      </c>
      <c r="P40" s="1" t="s">
        <v>375</v>
      </c>
    </row>
    <row r="41" ht="15" customHeight="1">
      <c r="A41" s="9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9" t="s">
        <v>254</v>
      </c>
      <c r="G41" s="7" t="s">
        <v>255</v>
      </c>
      <c r="H41" s="7" t="n">
        <v>0</v>
      </c>
      <c r="I41" s="7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8" t="s">
        <v>84</v>
      </c>
      <c r="O41" s="1" t="s">
        <v>379</v>
      </c>
      <c r="P41" s="1" t="s">
        <v>379</v>
      </c>
    </row>
    <row r="42" ht="15" customHeight="1">
      <c r="A42" s="9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9" t="s">
        <v>254</v>
      </c>
      <c r="G42" s="7" t="s">
        <v>255</v>
      </c>
      <c r="H42" s="7" t="n">
        <v>0</v>
      </c>
      <c r="I42" s="7" t="n">
        <v>0</v>
      </c>
      <c r="J42" s="8" t="s">
        <v>84</v>
      </c>
      <c r="K42" s="8" t="s">
        <v>84</v>
      </c>
      <c r="L42" s="8" t="s">
        <v>84</v>
      </c>
      <c r="M42" s="8" t="s">
        <v>84</v>
      </c>
      <c r="N42" s="8" t="s">
        <v>84</v>
      </c>
      <c r="O42" s="1" t="s">
        <v>379</v>
      </c>
      <c r="P42" s="1" t="s">
        <v>383</v>
      </c>
    </row>
    <row r="43" ht="23.85" customHeight="1">
      <c r="A43" s="9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9" t="s">
        <v>254</v>
      </c>
      <c r="G43" s="7" t="s">
        <v>255</v>
      </c>
      <c r="H43" s="7" t="n">
        <v>0</v>
      </c>
      <c r="I43" s="7" t="n">
        <v>0</v>
      </c>
      <c r="J43" s="8" t="s">
        <v>84</v>
      </c>
      <c r="K43" s="8" t="s">
        <v>84</v>
      </c>
      <c r="L43" s="8" t="s">
        <v>84</v>
      </c>
      <c r="M43" s="8" t="s">
        <v>84</v>
      </c>
      <c r="N43" s="8" t="s">
        <v>84</v>
      </c>
      <c r="O43" s="1" t="s">
        <v>387</v>
      </c>
      <c r="P43" s="1" t="s">
        <v>388</v>
      </c>
    </row>
    <row r="44" ht="15" customHeight="1">
      <c r="A44" s="9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9" t="s">
        <v>254</v>
      </c>
      <c r="G44" s="7" t="s">
        <v>255</v>
      </c>
      <c r="H44" s="7" t="n">
        <v>0</v>
      </c>
      <c r="I44" s="7" t="n">
        <v>0</v>
      </c>
      <c r="J44" s="8" t="s">
        <v>84</v>
      </c>
      <c r="K44" s="8" t="s">
        <v>84</v>
      </c>
      <c r="L44" s="8" t="s">
        <v>84</v>
      </c>
      <c r="M44" s="8" t="s">
        <v>84</v>
      </c>
      <c r="N44" s="8" t="s">
        <v>84</v>
      </c>
      <c r="O44" s="1" t="s">
        <v>391</v>
      </c>
      <c r="P44" s="1" t="s">
        <v>392</v>
      </c>
    </row>
    <row r="45" ht="23.85" customHeight="1">
      <c r="A45" s="9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9" t="s">
        <v>254</v>
      </c>
      <c r="G45" s="7" t="s">
        <v>255</v>
      </c>
      <c r="H45" s="7" t="n">
        <v>0</v>
      </c>
      <c r="I45" s="7" t="n">
        <v>0</v>
      </c>
      <c r="J45" s="8" t="s">
        <v>84</v>
      </c>
      <c r="K45" s="8" t="s">
        <v>84</v>
      </c>
      <c r="L45" s="8" t="s">
        <v>84</v>
      </c>
      <c r="M45" s="8" t="s">
        <v>84</v>
      </c>
      <c r="N45" s="8" t="s">
        <v>84</v>
      </c>
      <c r="O45" s="1" t="s">
        <v>396</v>
      </c>
      <c r="P45" s="1" t="s">
        <v>396</v>
      </c>
    </row>
    <row r="46" ht="23.85" customHeight="1">
      <c r="A46" s="9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9" t="s">
        <v>254</v>
      </c>
      <c r="G46" s="7" t="s">
        <v>255</v>
      </c>
      <c r="H46" s="7" t="n">
        <v>0</v>
      </c>
      <c r="I46" s="7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8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206</v>
      </c>
      <c r="G47" s="7" t="s">
        <v>207</v>
      </c>
      <c r="H47" s="7" t="n">
        <v>0</v>
      </c>
      <c r="I47" s="7" t="n">
        <v>0</v>
      </c>
      <c r="J47" s="8" t="s">
        <v>208</v>
      </c>
      <c r="K47" s="8" t="s">
        <v>208</v>
      </c>
      <c r="L47" s="8" t="s">
        <v>208</v>
      </c>
      <c r="M47" s="8" t="s">
        <v>208</v>
      </c>
      <c r="N47" s="8" t="s">
        <v>208</v>
      </c>
      <c r="O47" s="1" t="s">
        <v>405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7" t="s">
        <v>207</v>
      </c>
      <c r="H48" s="7" t="n">
        <v>0</v>
      </c>
      <c r="I48" s="7" t="n">
        <v>0</v>
      </c>
      <c r="J48" s="8" t="s">
        <v>208</v>
      </c>
      <c r="K48" s="8" t="s">
        <v>208</v>
      </c>
      <c r="L48" s="8" t="s">
        <v>208</v>
      </c>
      <c r="M48" s="8" t="s">
        <v>208</v>
      </c>
      <c r="N48" s="8" t="s">
        <v>209</v>
      </c>
      <c r="O48" s="1" t="s">
        <v>409</v>
      </c>
      <c r="P48" s="1"/>
    </row>
    <row r="49" ht="15" customHeight="1">
      <c r="A49" s="9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9" t="s">
        <v>254</v>
      </c>
      <c r="G49" s="7" t="s">
        <v>255</v>
      </c>
      <c r="H49" s="7" t="n">
        <v>0</v>
      </c>
      <c r="I49" s="7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8" t="s">
        <v>84</v>
      </c>
      <c r="O49" s="1" t="s">
        <v>413</v>
      </c>
      <c r="P49" s="1"/>
    </row>
    <row r="50" ht="15" customHeight="1">
      <c r="A50" s="9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9" t="s">
        <v>254</v>
      </c>
      <c r="G50" s="7" t="s">
        <v>255</v>
      </c>
      <c r="H50" s="7" t="n">
        <v>0</v>
      </c>
      <c r="I50" s="7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8" t="s">
        <v>84</v>
      </c>
      <c r="O50" s="1" t="s">
        <v>416</v>
      </c>
      <c r="P50" s="1"/>
    </row>
    <row r="51" ht="15" customHeight="1">
      <c r="A51" s="9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9" t="s">
        <v>254</v>
      </c>
      <c r="G51" s="7" t="s">
        <v>255</v>
      </c>
      <c r="H51" s="7" t="n">
        <v>0</v>
      </c>
      <c r="I51" s="7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8" t="s">
        <v>84</v>
      </c>
      <c r="O51" s="1" t="s">
        <v>416</v>
      </c>
      <c r="P51" s="1"/>
    </row>
    <row r="52" ht="23.85" customHeight="1">
      <c r="A52" s="9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9" t="s">
        <v>254</v>
      </c>
      <c r="G52" s="7" t="s">
        <v>255</v>
      </c>
      <c r="H52" s="7" t="n">
        <v>0</v>
      </c>
      <c r="I52" s="7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8" t="s">
        <v>84</v>
      </c>
      <c r="O52" s="1" t="s">
        <v>416</v>
      </c>
      <c r="P52" s="1"/>
    </row>
    <row r="53" ht="15" customHeight="1">
      <c r="A53" s="9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9" t="s">
        <v>254</v>
      </c>
      <c r="G53" s="7" t="s">
        <v>255</v>
      </c>
      <c r="H53" s="7" t="n">
        <v>0</v>
      </c>
      <c r="I53" s="7" t="n">
        <v>0</v>
      </c>
      <c r="J53" s="8" t="s">
        <v>84</v>
      </c>
      <c r="K53" s="8" t="s">
        <v>84</v>
      </c>
      <c r="L53" s="8" t="s">
        <v>84</v>
      </c>
      <c r="M53" s="8" t="s">
        <v>84</v>
      </c>
      <c r="N53" s="8" t="s">
        <v>84</v>
      </c>
      <c r="O53" s="1" t="s">
        <v>425</v>
      </c>
      <c r="P53" s="1"/>
    </row>
    <row r="54" ht="15" customHeight="1">
      <c r="A54" s="9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9" t="s">
        <v>254</v>
      </c>
      <c r="G54" s="7" t="s">
        <v>255</v>
      </c>
      <c r="H54" s="7" t="n">
        <v>0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84</v>
      </c>
      <c r="O54" s="1" t="s">
        <v>425</v>
      </c>
      <c r="P54" s="1"/>
    </row>
    <row r="55" ht="15" customHeight="1">
      <c r="A55" s="9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9" t="s">
        <v>254</v>
      </c>
      <c r="G55" s="7" t="s">
        <v>255</v>
      </c>
      <c r="H55" s="7" t="n">
        <v>0</v>
      </c>
      <c r="I55" s="7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8" t="s">
        <v>84</v>
      </c>
      <c r="O55" s="1" t="s">
        <v>425</v>
      </c>
      <c r="P55" s="1"/>
    </row>
    <row r="56" ht="15" customHeight="1">
      <c r="A56" s="9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9" t="s">
        <v>254</v>
      </c>
      <c r="G56" s="7" t="s">
        <v>255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84</v>
      </c>
      <c r="M56" s="8" t="s">
        <v>84</v>
      </c>
      <c r="N56" s="8" t="s">
        <v>84</v>
      </c>
      <c r="O56" s="1" t="s">
        <v>425</v>
      </c>
      <c r="P56" s="1"/>
    </row>
    <row r="57" ht="23.85" customHeight="1">
      <c r="A57" s="9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9" t="s">
        <v>254</v>
      </c>
      <c r="G57" s="7" t="s">
        <v>255</v>
      </c>
      <c r="H57" s="7" t="n">
        <v>0</v>
      </c>
      <c r="I57" s="7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1" t="s">
        <v>425</v>
      </c>
      <c r="P57" s="1"/>
    </row>
    <row r="58" ht="15" customHeight="1">
      <c r="A58" s="9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9" t="s">
        <v>254</v>
      </c>
      <c r="G58" s="7" t="s">
        <v>255</v>
      </c>
      <c r="H58" s="7" t="n">
        <v>0</v>
      </c>
      <c r="I58" s="7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8" t="s">
        <v>84</v>
      </c>
      <c r="O58" s="1" t="s">
        <v>425</v>
      </c>
      <c r="P58" s="1"/>
    </row>
    <row r="59" ht="15" customHeight="1">
      <c r="A59" s="9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9" t="s">
        <v>254</v>
      </c>
      <c r="G59" s="7" t="s">
        <v>255</v>
      </c>
      <c r="H59" s="7" t="n">
        <v>0</v>
      </c>
      <c r="I59" s="7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1" t="s">
        <v>425</v>
      </c>
      <c r="P59" s="1"/>
    </row>
    <row r="60" ht="15" customHeight="1">
      <c r="A60" s="9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9" t="s">
        <v>254</v>
      </c>
      <c r="G60" s="7" t="s">
        <v>255</v>
      </c>
      <c r="H60" s="7" t="n">
        <v>0</v>
      </c>
      <c r="I60" s="7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8" t="s">
        <v>84</v>
      </c>
      <c r="O60" s="1" t="s">
        <v>425</v>
      </c>
      <c r="P60" s="1" t="s">
        <v>447</v>
      </c>
    </row>
    <row r="61" ht="15" customHeight="1">
      <c r="A61" s="9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9" t="s">
        <v>254</v>
      </c>
      <c r="G61" s="7" t="s">
        <v>255</v>
      </c>
      <c r="H61" s="7" t="n">
        <v>0</v>
      </c>
      <c r="I61" s="7" t="n">
        <v>0</v>
      </c>
      <c r="J61" s="8" t="s">
        <v>84</v>
      </c>
      <c r="K61" s="8" t="s">
        <v>84</v>
      </c>
      <c r="L61" s="8" t="s">
        <v>84</v>
      </c>
      <c r="M61" s="8" t="s">
        <v>84</v>
      </c>
      <c r="N61" s="8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7" t="s">
        <v>207</v>
      </c>
      <c r="H62" s="7" t="n">
        <v>1</v>
      </c>
      <c r="I62" s="7" t="n">
        <v>0</v>
      </c>
      <c r="J62" s="8" t="s">
        <v>84</v>
      </c>
      <c r="K62" s="8" t="s">
        <v>84</v>
      </c>
      <c r="L62" s="8" t="s">
        <v>84</v>
      </c>
      <c r="M62" s="8" t="s">
        <v>84</v>
      </c>
      <c r="N62" s="8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7" t="s">
        <v>207</v>
      </c>
      <c r="H63" s="7" t="n">
        <v>0</v>
      </c>
      <c r="I63" s="7" t="n">
        <v>0</v>
      </c>
      <c r="J63" s="8" t="s">
        <v>84</v>
      </c>
      <c r="K63" s="8" t="s">
        <v>84</v>
      </c>
      <c r="L63" s="8" t="s">
        <v>84</v>
      </c>
      <c r="M63" s="8" t="s">
        <v>84</v>
      </c>
      <c r="N63" s="8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7" t="s">
        <v>207</v>
      </c>
      <c r="H64" s="7" t="n">
        <v>0</v>
      </c>
      <c r="I64" s="7" t="n">
        <v>0</v>
      </c>
      <c r="J64" s="8" t="s">
        <v>209</v>
      </c>
      <c r="K64" s="12" t="s">
        <v>84</v>
      </c>
      <c r="L64" s="8" t="s">
        <v>84</v>
      </c>
      <c r="M64" s="8" t="s">
        <v>84</v>
      </c>
      <c r="N64" s="8" t="s">
        <v>209</v>
      </c>
      <c r="O64" s="1" t="s">
        <v>465</v>
      </c>
      <c r="P64" s="1" t="s">
        <v>461</v>
      </c>
    </row>
    <row r="65" ht="15" customHeight="1">
      <c r="A65" s="9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9" t="s">
        <v>254</v>
      </c>
      <c r="G65" s="7" t="s">
        <v>255</v>
      </c>
      <c r="H65" s="7" t="n">
        <v>0</v>
      </c>
      <c r="I65" s="7" t="n">
        <v>0</v>
      </c>
      <c r="J65" s="8" t="s">
        <v>84</v>
      </c>
      <c r="K65" s="8" t="s">
        <v>84</v>
      </c>
      <c r="L65" s="8" t="s">
        <v>84</v>
      </c>
      <c r="M65" s="8" t="s">
        <v>84</v>
      </c>
      <c r="N65" s="8" t="s">
        <v>84</v>
      </c>
      <c r="O65" s="1" t="s">
        <v>469</v>
      </c>
      <c r="P65" s="1" t="s">
        <v>461</v>
      </c>
    </row>
    <row r="66" ht="15" customHeight="1">
      <c r="A66" s="9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9" t="s">
        <v>254</v>
      </c>
      <c r="G66" s="7" t="s">
        <v>255</v>
      </c>
      <c r="H66" s="7" t="n">
        <v>0</v>
      </c>
      <c r="I66" s="7" t="n">
        <v>0</v>
      </c>
      <c r="J66" s="8" t="s">
        <v>84</v>
      </c>
      <c r="K66" s="8" t="s">
        <v>84</v>
      </c>
      <c r="L66" s="8" t="s">
        <v>84</v>
      </c>
      <c r="M66" s="8" t="s">
        <v>84</v>
      </c>
      <c r="N66" s="8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7" t="s">
        <v>207</v>
      </c>
      <c r="H67" s="7" t="n">
        <v>0</v>
      </c>
      <c r="I67" s="7" t="n">
        <v>0</v>
      </c>
      <c r="J67" s="8" t="s">
        <v>209</v>
      </c>
      <c r="K67" s="12" t="s">
        <v>84</v>
      </c>
      <c r="L67" s="8" t="s">
        <v>84</v>
      </c>
      <c r="M67" s="8" t="s">
        <v>84</v>
      </c>
      <c r="N67" s="8" t="s">
        <v>84</v>
      </c>
      <c r="O67" s="1" t="s">
        <v>477</v>
      </c>
      <c r="P67" s="1" t="s">
        <v>461</v>
      </c>
    </row>
    <row r="68" ht="15" customHeight="1">
      <c r="A68" s="9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9" t="s">
        <v>254</v>
      </c>
      <c r="G68" s="7" t="s">
        <v>255</v>
      </c>
      <c r="H68" s="7" t="n">
        <v>0</v>
      </c>
      <c r="I68" s="7" t="n">
        <v>0</v>
      </c>
      <c r="J68" s="8" t="s">
        <v>84</v>
      </c>
      <c r="K68" s="8" t="s">
        <v>84</v>
      </c>
      <c r="L68" s="8" t="s">
        <v>84</v>
      </c>
      <c r="M68" s="8" t="s">
        <v>84</v>
      </c>
      <c r="N68" s="8" t="s">
        <v>84</v>
      </c>
      <c r="O68" s="1" t="s">
        <v>352</v>
      </c>
      <c r="P68" s="1" t="s">
        <v>461</v>
      </c>
    </row>
    <row r="69" ht="23.85" customHeight="1">
      <c r="A69" s="9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9" t="s">
        <v>254</v>
      </c>
      <c r="G69" s="7" t="s">
        <v>255</v>
      </c>
      <c r="H69" s="7" t="n">
        <v>0</v>
      </c>
      <c r="I69" s="7" t="n">
        <v>0</v>
      </c>
      <c r="J69" s="8" t="s">
        <v>84</v>
      </c>
      <c r="K69" s="8" t="s">
        <v>84</v>
      </c>
      <c r="L69" s="8" t="s">
        <v>84</v>
      </c>
      <c r="M69" s="8" t="s">
        <v>84</v>
      </c>
      <c r="N69" s="8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7" t="s">
        <v>207</v>
      </c>
      <c r="H70" s="7" t="n">
        <v>0</v>
      </c>
      <c r="I70" s="7" t="n">
        <v>0</v>
      </c>
      <c r="J70" s="8" t="s">
        <v>209</v>
      </c>
      <c r="K70" s="8" t="s">
        <v>209</v>
      </c>
      <c r="L70" s="8" t="s">
        <v>84</v>
      </c>
      <c r="M70" s="8" t="s">
        <v>209</v>
      </c>
      <c r="N70" s="8" t="s">
        <v>209</v>
      </c>
      <c r="O70" s="1" t="s">
        <v>488</v>
      </c>
      <c r="P70" s="1"/>
    </row>
    <row r="71" ht="15" customHeight="1">
      <c r="A71" s="9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9" t="s">
        <v>254</v>
      </c>
      <c r="G71" s="7" t="s">
        <v>255</v>
      </c>
      <c r="H71" s="7" t="n">
        <v>0</v>
      </c>
      <c r="I71" s="7" t="n">
        <v>0</v>
      </c>
      <c r="J71" s="8" t="s">
        <v>84</v>
      </c>
      <c r="K71" s="8" t="s">
        <v>84</v>
      </c>
      <c r="L71" s="8" t="s">
        <v>84</v>
      </c>
      <c r="M71" s="8" t="s">
        <v>84</v>
      </c>
      <c r="N71" s="8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7" t="s">
        <v>207</v>
      </c>
      <c r="H72" s="7" t="n">
        <v>1</v>
      </c>
      <c r="I72" s="7" t="n">
        <v>0</v>
      </c>
      <c r="J72" s="8" t="s">
        <v>209</v>
      </c>
      <c r="K72" s="8" t="s">
        <v>209</v>
      </c>
      <c r="L72" s="8" t="s">
        <v>209</v>
      </c>
      <c r="M72" s="8" t="s">
        <v>209</v>
      </c>
      <c r="N72" s="8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7" t="s">
        <v>207</v>
      </c>
      <c r="H73" s="7" t="n">
        <v>1</v>
      </c>
      <c r="I73" s="7" t="n">
        <v>0</v>
      </c>
      <c r="J73" s="8" t="s">
        <v>209</v>
      </c>
      <c r="K73" s="8" t="s">
        <v>209</v>
      </c>
      <c r="L73" s="8" t="s">
        <v>209</v>
      </c>
      <c r="M73" s="8" t="s">
        <v>209</v>
      </c>
      <c r="N73" s="8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199</v>
      </c>
      <c r="Q1" s="3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7" t="s">
        <v>207</v>
      </c>
      <c r="H2" s="7" t="n">
        <v>0</v>
      </c>
      <c r="I2" s="7" t="n">
        <v>0</v>
      </c>
      <c r="J2" s="8" t="s">
        <v>84</v>
      </c>
      <c r="K2" s="8" t="s">
        <v>84</v>
      </c>
      <c r="L2" s="8" t="s">
        <v>209</v>
      </c>
      <c r="M2" s="8" t="s">
        <v>84</v>
      </c>
      <c r="N2" s="8" t="s">
        <v>209</v>
      </c>
      <c r="O2" s="8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7" t="s">
        <v>207</v>
      </c>
      <c r="H3" s="7" t="n">
        <v>0</v>
      </c>
      <c r="I3" s="7" t="n">
        <v>1</v>
      </c>
      <c r="J3" s="8" t="s">
        <v>226</v>
      </c>
      <c r="K3" s="8" t="s">
        <v>226</v>
      </c>
      <c r="L3" s="8" t="s">
        <v>208</v>
      </c>
      <c r="M3" s="8" t="s">
        <v>226</v>
      </c>
      <c r="N3" s="8" t="s">
        <v>226</v>
      </c>
      <c r="O3" s="8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7" t="s">
        <v>207</v>
      </c>
      <c r="H4" s="7" t="n">
        <v>0</v>
      </c>
      <c r="I4" s="7" t="n">
        <v>0</v>
      </c>
      <c r="J4" s="8" t="s">
        <v>208</v>
      </c>
      <c r="K4" s="8" t="s">
        <v>84</v>
      </c>
      <c r="L4" s="8" t="s">
        <v>209</v>
      </c>
      <c r="M4" s="8" t="s">
        <v>208</v>
      </c>
      <c r="N4" s="8" t="s">
        <v>208</v>
      </c>
      <c r="O4" s="8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7" t="s">
        <v>207</v>
      </c>
      <c r="H5" s="7" t="n">
        <v>0</v>
      </c>
      <c r="I5" s="7" t="n">
        <v>0</v>
      </c>
      <c r="J5" s="8" t="s">
        <v>84</v>
      </c>
      <c r="K5" s="8" t="s">
        <v>84</v>
      </c>
      <c r="L5" s="8" t="s">
        <v>209</v>
      </c>
      <c r="M5" s="8" t="s">
        <v>84</v>
      </c>
      <c r="N5" s="8" t="s">
        <v>209</v>
      </c>
      <c r="O5" s="8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7" t="s">
        <v>207</v>
      </c>
      <c r="H6" s="7" t="n">
        <v>1</v>
      </c>
      <c r="I6" s="7" t="n">
        <v>0</v>
      </c>
      <c r="J6" s="8" t="s">
        <v>84</v>
      </c>
      <c r="K6" s="8" t="s">
        <v>84</v>
      </c>
      <c r="L6" s="8" t="s">
        <v>208</v>
      </c>
      <c r="M6" s="8" t="s">
        <v>84</v>
      </c>
      <c r="N6" s="8" t="s">
        <v>209</v>
      </c>
      <c r="O6" s="8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7" t="s">
        <v>207</v>
      </c>
      <c r="H7" s="7" t="n">
        <v>0</v>
      </c>
      <c r="I7" s="7" t="n">
        <v>0</v>
      </c>
      <c r="J7" s="8" t="s">
        <v>84</v>
      </c>
      <c r="K7" s="8" t="s">
        <v>84</v>
      </c>
      <c r="L7" s="8" t="s">
        <v>84</v>
      </c>
      <c r="M7" s="8" t="s">
        <v>84</v>
      </c>
      <c r="N7" s="8" t="s">
        <v>208</v>
      </c>
      <c r="O7" s="8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7" t="s">
        <v>207</v>
      </c>
      <c r="H8" s="7" t="n">
        <v>0</v>
      </c>
      <c r="I8" s="7" t="n">
        <v>0</v>
      </c>
      <c r="J8" s="8" t="s">
        <v>84</v>
      </c>
      <c r="K8" s="8" t="s">
        <v>84</v>
      </c>
      <c r="L8" s="8" t="s">
        <v>84</v>
      </c>
      <c r="M8" s="8" t="s">
        <v>84</v>
      </c>
      <c r="N8" s="8" t="s">
        <v>84</v>
      </c>
      <c r="O8" s="8" t="s">
        <v>208</v>
      </c>
      <c r="P8" s="1" t="s">
        <v>532</v>
      </c>
      <c r="Q8" s="1" t="s">
        <v>533</v>
      </c>
    </row>
    <row r="9" ht="15" customHeight="1">
      <c r="A9" s="9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9" t="s">
        <v>254</v>
      </c>
      <c r="G9" s="7" t="s">
        <v>255</v>
      </c>
      <c r="H9" s="7" t="n">
        <v>0</v>
      </c>
      <c r="I9" s="7" t="n">
        <v>0</v>
      </c>
      <c r="J9" s="8" t="s">
        <v>84</v>
      </c>
      <c r="K9" s="8" t="s">
        <v>84</v>
      </c>
      <c r="L9" s="8" t="s">
        <v>84</v>
      </c>
      <c r="M9" s="8" t="s">
        <v>84</v>
      </c>
      <c r="N9" s="8" t="s">
        <v>84</v>
      </c>
      <c r="O9" s="8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7" t="s">
        <v>207</v>
      </c>
      <c r="H10" s="7" t="n">
        <v>-1</v>
      </c>
      <c r="I10" s="7" t="n">
        <v>0</v>
      </c>
      <c r="J10" s="12" t="s">
        <v>208</v>
      </c>
      <c r="K10" s="12" t="s">
        <v>208</v>
      </c>
      <c r="L10" s="8" t="s">
        <v>208</v>
      </c>
      <c r="M10" s="12" t="s">
        <v>208</v>
      </c>
      <c r="N10" s="12" t="s">
        <v>208</v>
      </c>
      <c r="O10" s="8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206</v>
      </c>
      <c r="G11" s="7" t="s">
        <v>207</v>
      </c>
      <c r="H11" s="7" t="n">
        <v>0</v>
      </c>
      <c r="I11" s="7" t="n">
        <v>0</v>
      </c>
      <c r="J11" s="8" t="s">
        <v>226</v>
      </c>
      <c r="K11" s="8" t="s">
        <v>226</v>
      </c>
      <c r="L11" s="8" t="s">
        <v>226</v>
      </c>
      <c r="M11" s="8" t="s">
        <v>226</v>
      </c>
      <c r="N11" s="8" t="s">
        <v>226</v>
      </c>
      <c r="O11" s="8" t="s">
        <v>226</v>
      </c>
      <c r="P11" s="1" t="s">
        <v>539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7" t="s">
        <v>207</v>
      </c>
      <c r="H12" s="7" t="n">
        <v>0</v>
      </c>
      <c r="I12" s="7" t="n">
        <v>0</v>
      </c>
      <c r="J12" s="8" t="s">
        <v>209</v>
      </c>
      <c r="K12" s="8" t="s">
        <v>84</v>
      </c>
      <c r="L12" s="8" t="s">
        <v>209</v>
      </c>
      <c r="M12" s="8" t="s">
        <v>84</v>
      </c>
      <c r="N12" s="8" t="s">
        <v>84</v>
      </c>
      <c r="O12" s="8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84</v>
      </c>
      <c r="K13" s="8" t="s">
        <v>84</v>
      </c>
      <c r="L13" s="8" t="s">
        <v>209</v>
      </c>
      <c r="M13" s="8" t="s">
        <v>84</v>
      </c>
      <c r="N13" s="8" t="s">
        <v>84</v>
      </c>
      <c r="O13" s="8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7" t="s">
        <v>207</v>
      </c>
      <c r="H14" s="7" t="n">
        <v>1</v>
      </c>
      <c r="I14" s="7" t="n">
        <v>0</v>
      </c>
      <c r="J14" s="8" t="s">
        <v>84</v>
      </c>
      <c r="K14" s="8" t="s">
        <v>84</v>
      </c>
      <c r="L14" s="8" t="s">
        <v>209</v>
      </c>
      <c r="M14" s="8" t="s">
        <v>84</v>
      </c>
      <c r="N14" s="8" t="s">
        <v>209</v>
      </c>
      <c r="O14" s="8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7" t="s">
        <v>207</v>
      </c>
      <c r="H15" s="7" t="n">
        <v>0</v>
      </c>
      <c r="I15" s="7" t="n">
        <v>0</v>
      </c>
      <c r="J15" s="8" t="s">
        <v>84</v>
      </c>
      <c r="K15" s="8" t="s">
        <v>84</v>
      </c>
      <c r="L15" s="8" t="s">
        <v>209</v>
      </c>
      <c r="M15" s="8" t="s">
        <v>84</v>
      </c>
      <c r="N15" s="8" t="s">
        <v>84</v>
      </c>
      <c r="O15" s="8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7" t="s">
        <v>207</v>
      </c>
      <c r="H16" s="7" t="n">
        <v>0</v>
      </c>
      <c r="I16" s="7" t="n">
        <v>0</v>
      </c>
      <c r="J16" s="8" t="s">
        <v>84</v>
      </c>
      <c r="K16" s="8" t="s">
        <v>84</v>
      </c>
      <c r="L16" s="8" t="s">
        <v>209</v>
      </c>
      <c r="M16" s="8" t="s">
        <v>84</v>
      </c>
      <c r="N16" s="8" t="s">
        <v>84</v>
      </c>
      <c r="O16" s="8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7" t="s">
        <v>207</v>
      </c>
      <c r="H17" s="7" t="n">
        <v>0</v>
      </c>
      <c r="I17" s="7" t="n">
        <v>0</v>
      </c>
      <c r="J17" s="8" t="s">
        <v>209</v>
      </c>
      <c r="K17" s="12" t="s">
        <v>84</v>
      </c>
      <c r="L17" s="8" t="s">
        <v>209</v>
      </c>
      <c r="M17" s="8" t="s">
        <v>84</v>
      </c>
      <c r="N17" s="8" t="s">
        <v>84</v>
      </c>
      <c r="O17" s="8" t="s">
        <v>209</v>
      </c>
      <c r="P17" s="1" t="s">
        <v>543</v>
      </c>
      <c r="Q17" s="1"/>
    </row>
    <row r="18" ht="15" customHeight="1">
      <c r="A18" s="9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9" t="s">
        <v>254</v>
      </c>
      <c r="G18" s="7" t="s">
        <v>255</v>
      </c>
      <c r="H18" s="7" t="n">
        <v>0</v>
      </c>
      <c r="I18" s="7" t="n">
        <v>0</v>
      </c>
      <c r="J18" s="8" t="s">
        <v>84</v>
      </c>
      <c r="K18" s="8" t="s">
        <v>84</v>
      </c>
      <c r="L18" s="8" t="s">
        <v>84</v>
      </c>
      <c r="M18" s="8" t="s">
        <v>84</v>
      </c>
      <c r="N18" s="8" t="s">
        <v>84</v>
      </c>
      <c r="O18" s="8" t="s">
        <v>84</v>
      </c>
      <c r="P18" s="1" t="s">
        <v>544</v>
      </c>
      <c r="Q18" s="1" t="s">
        <v>333</v>
      </c>
    </row>
    <row r="19" ht="23.85" customHeight="1">
      <c r="A19" s="9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9" t="s">
        <v>254</v>
      </c>
      <c r="G19" s="7" t="s">
        <v>255</v>
      </c>
      <c r="H19" s="7" t="n">
        <v>0</v>
      </c>
      <c r="I19" s="7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8" t="s">
        <v>84</v>
      </c>
      <c r="O19" s="8" t="s">
        <v>84</v>
      </c>
      <c r="P19" s="1" t="s">
        <v>545</v>
      </c>
      <c r="Q19" s="1" t="s">
        <v>337</v>
      </c>
    </row>
    <row r="20" ht="15" customHeight="1">
      <c r="A20" s="9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9" t="s">
        <v>254</v>
      </c>
      <c r="G20" s="7" t="s">
        <v>255</v>
      </c>
      <c r="H20" s="7" t="n">
        <v>0</v>
      </c>
      <c r="I20" s="7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8" t="s">
        <v>84</v>
      </c>
      <c r="O20" s="8" t="s">
        <v>84</v>
      </c>
      <c r="P20" s="1" t="s">
        <v>546</v>
      </c>
      <c r="Q20" s="1" t="s">
        <v>343</v>
      </c>
    </row>
    <row r="21" ht="15" customHeight="1">
      <c r="A21" s="9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9" t="s">
        <v>254</v>
      </c>
      <c r="G21" s="7" t="s">
        <v>255</v>
      </c>
      <c r="H21" s="7" t="n">
        <v>0</v>
      </c>
      <c r="I21" s="7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8" t="s">
        <v>84</v>
      </c>
      <c r="O21" s="8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7" t="s">
        <v>207</v>
      </c>
      <c r="H22" s="7" t="n">
        <v>0</v>
      </c>
      <c r="I22" s="7" t="n">
        <v>0</v>
      </c>
      <c r="J22" s="8" t="s">
        <v>84</v>
      </c>
      <c r="K22" s="8" t="s">
        <v>84</v>
      </c>
      <c r="L22" s="8" t="s">
        <v>209</v>
      </c>
      <c r="M22" s="8" t="s">
        <v>84</v>
      </c>
      <c r="N22" s="8" t="s">
        <v>209</v>
      </c>
      <c r="O22" s="8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232</v>
      </c>
      <c r="G23" s="7" t="s">
        <v>207</v>
      </c>
      <c r="H23" s="7" t="n">
        <v>0</v>
      </c>
      <c r="I23" s="7" t="n">
        <v>0</v>
      </c>
      <c r="J23" s="8" t="s">
        <v>84</v>
      </c>
      <c r="K23" s="8" t="s">
        <v>84</v>
      </c>
      <c r="L23" s="8" t="s">
        <v>209</v>
      </c>
      <c r="M23" s="8" t="s">
        <v>84</v>
      </c>
      <c r="N23" s="8" t="s">
        <v>209</v>
      </c>
      <c r="O23" s="8" t="s">
        <v>209</v>
      </c>
      <c r="P23" s="1" t="s">
        <v>549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7" t="s">
        <v>207</v>
      </c>
      <c r="H24" s="7" t="n">
        <v>1</v>
      </c>
      <c r="I24" s="7" t="n">
        <v>0</v>
      </c>
      <c r="J24" s="8" t="s">
        <v>209</v>
      </c>
      <c r="K24" s="8" t="s">
        <v>209</v>
      </c>
      <c r="L24" s="8" t="s">
        <v>209</v>
      </c>
      <c r="M24" s="8" t="s">
        <v>209</v>
      </c>
      <c r="N24" s="8" t="s">
        <v>209</v>
      </c>
      <c r="O24" s="8" t="s">
        <v>209</v>
      </c>
      <c r="P24" s="1" t="s">
        <v>360</v>
      </c>
      <c r="Q24" s="1"/>
    </row>
    <row r="25" ht="15" customHeight="1">
      <c r="A25" s="9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9" t="s">
        <v>254</v>
      </c>
      <c r="G25" s="7" t="s">
        <v>255</v>
      </c>
      <c r="H25" s="7" t="n">
        <v>0</v>
      </c>
      <c r="I25" s="7" t="n">
        <v>0</v>
      </c>
      <c r="J25" s="8" t="s">
        <v>84</v>
      </c>
      <c r="K25" s="8" t="s">
        <v>84</v>
      </c>
      <c r="L25" s="8" t="s">
        <v>84</v>
      </c>
      <c r="M25" s="8" t="s">
        <v>84</v>
      </c>
      <c r="N25" s="8" t="s">
        <v>84</v>
      </c>
      <c r="O25" s="8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7" t="s">
        <v>207</v>
      </c>
      <c r="H26" s="7" t="n">
        <v>0</v>
      </c>
      <c r="I26" s="7" t="n">
        <v>0</v>
      </c>
      <c r="J26" s="8" t="s">
        <v>84</v>
      </c>
      <c r="K26" s="8" t="s">
        <v>84</v>
      </c>
      <c r="L26" s="8" t="s">
        <v>209</v>
      </c>
      <c r="M26" s="8" t="s">
        <v>84</v>
      </c>
      <c r="N26" s="8" t="s">
        <v>84</v>
      </c>
      <c r="O26" s="8" t="s">
        <v>209</v>
      </c>
      <c r="P26" s="1" t="s">
        <v>366</v>
      </c>
      <c r="Q26" s="1"/>
    </row>
    <row r="27" ht="23.85" customHeight="1">
      <c r="A27" s="9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9" t="s">
        <v>254</v>
      </c>
      <c r="G27" s="7" t="s">
        <v>255</v>
      </c>
      <c r="H27" s="7" t="n">
        <v>0</v>
      </c>
      <c r="I27" s="7" t="n">
        <v>0</v>
      </c>
      <c r="J27" s="8" t="s">
        <v>84</v>
      </c>
      <c r="K27" s="8" t="s">
        <v>84</v>
      </c>
      <c r="L27" s="8" t="s">
        <v>84</v>
      </c>
      <c r="M27" s="8" t="s">
        <v>84</v>
      </c>
      <c r="N27" s="8" t="s">
        <v>84</v>
      </c>
      <c r="O27" s="8" t="s">
        <v>84</v>
      </c>
      <c r="P27" s="1" t="s">
        <v>551</v>
      </c>
      <c r="Q27" s="1" t="s">
        <v>371</v>
      </c>
    </row>
    <row r="28" ht="15" customHeight="1">
      <c r="A28" s="9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9" t="s">
        <v>254</v>
      </c>
      <c r="G28" s="7" t="s">
        <v>255</v>
      </c>
      <c r="H28" s="7" t="n">
        <v>0</v>
      </c>
      <c r="I28" s="7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8" t="s">
        <v>84</v>
      </c>
      <c r="O28" s="8" t="s">
        <v>84</v>
      </c>
      <c r="P28" s="1" t="s">
        <v>374</v>
      </c>
      <c r="Q28" s="1" t="s">
        <v>375</v>
      </c>
    </row>
    <row r="29" ht="15" customHeight="1">
      <c r="A29" s="9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9" t="s">
        <v>254</v>
      </c>
      <c r="G29" s="7" t="s">
        <v>255</v>
      </c>
      <c r="H29" s="7" t="n">
        <v>0</v>
      </c>
      <c r="I29" s="7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8" t="s">
        <v>84</v>
      </c>
      <c r="O29" s="8" t="s">
        <v>84</v>
      </c>
      <c r="P29" s="1" t="s">
        <v>379</v>
      </c>
      <c r="Q29" s="1" t="s">
        <v>379</v>
      </c>
    </row>
    <row r="30" ht="15" customHeight="1">
      <c r="A30" s="9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8" t="s">
        <v>84</v>
      </c>
      <c r="P30" s="1" t="s">
        <v>379</v>
      </c>
      <c r="Q30" s="1" t="s">
        <v>383</v>
      </c>
    </row>
    <row r="31" ht="23.85" customHeight="1">
      <c r="A31" s="9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8" t="s">
        <v>84</v>
      </c>
      <c r="P31" s="1" t="s">
        <v>552</v>
      </c>
      <c r="Q31" s="1" t="s">
        <v>388</v>
      </c>
    </row>
    <row r="32" ht="15" customHeight="1">
      <c r="A32" s="9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9" t="s">
        <v>254</v>
      </c>
      <c r="G32" s="7" t="s">
        <v>255</v>
      </c>
      <c r="H32" s="7" t="n">
        <v>0</v>
      </c>
      <c r="I32" s="7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8" t="s">
        <v>84</v>
      </c>
      <c r="O32" s="8" t="s">
        <v>84</v>
      </c>
      <c r="P32" s="1" t="s">
        <v>553</v>
      </c>
      <c r="Q32" s="1" t="s">
        <v>392</v>
      </c>
    </row>
    <row r="33" ht="23.85" customHeight="1">
      <c r="A33" s="9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9" t="s">
        <v>254</v>
      </c>
      <c r="G33" s="7" t="s">
        <v>255</v>
      </c>
      <c r="H33" s="7" t="n">
        <v>0</v>
      </c>
      <c r="I33" s="7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8" t="s">
        <v>84</v>
      </c>
      <c r="O33" s="8" t="s">
        <v>84</v>
      </c>
      <c r="P33" s="1" t="s">
        <v>396</v>
      </c>
      <c r="Q33" s="1" t="s">
        <v>396</v>
      </c>
    </row>
    <row r="34" ht="23.85" customHeight="1">
      <c r="A34" s="9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8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206</v>
      </c>
      <c r="G35" s="7" t="s">
        <v>207</v>
      </c>
      <c r="H35" s="7" t="n">
        <v>0</v>
      </c>
      <c r="I35" s="7" t="n">
        <v>0</v>
      </c>
      <c r="J35" s="8" t="s">
        <v>208</v>
      </c>
      <c r="K35" s="8" t="s">
        <v>208</v>
      </c>
      <c r="L35" s="8" t="s">
        <v>208</v>
      </c>
      <c r="M35" s="8" t="s">
        <v>208</v>
      </c>
      <c r="N35" s="8" t="s">
        <v>208</v>
      </c>
      <c r="O35" s="8" t="s">
        <v>208</v>
      </c>
      <c r="P35" s="1" t="s">
        <v>555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7" t="s">
        <v>207</v>
      </c>
      <c r="H36" s="7" t="n">
        <v>0</v>
      </c>
      <c r="I36" s="7" t="n">
        <v>0</v>
      </c>
      <c r="J36" s="8" t="s">
        <v>209</v>
      </c>
      <c r="K36" s="8" t="s">
        <v>84</v>
      </c>
      <c r="L36" s="8" t="s">
        <v>209</v>
      </c>
      <c r="M36" s="8" t="s">
        <v>84</v>
      </c>
      <c r="N36" s="8" t="s">
        <v>209</v>
      </c>
      <c r="O36" s="8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7" t="s">
        <v>207</v>
      </c>
      <c r="H37" s="7" t="n">
        <v>1</v>
      </c>
      <c r="I37" s="7" t="n">
        <v>0</v>
      </c>
      <c r="J37" s="8" t="s">
        <v>84</v>
      </c>
      <c r="K37" s="8" t="s">
        <v>208</v>
      </c>
      <c r="L37" s="8" t="s">
        <v>84</v>
      </c>
      <c r="M37" s="8" t="s">
        <v>84</v>
      </c>
      <c r="N37" s="8" t="s">
        <v>84</v>
      </c>
      <c r="O37" s="8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7" t="s">
        <v>207</v>
      </c>
      <c r="H38" s="7" t="n">
        <v>-1</v>
      </c>
      <c r="I38" s="7" t="n">
        <v>0</v>
      </c>
      <c r="J38" s="8" t="s">
        <v>84</v>
      </c>
      <c r="K38" s="8" t="s">
        <v>208</v>
      </c>
      <c r="L38" s="8" t="s">
        <v>84</v>
      </c>
      <c r="M38" s="8" t="s">
        <v>84</v>
      </c>
      <c r="N38" s="8" t="s">
        <v>84</v>
      </c>
      <c r="O38" s="8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7" t="s">
        <v>207</v>
      </c>
      <c r="H39" s="7" t="n">
        <v>-1</v>
      </c>
      <c r="I39" s="7" t="n">
        <v>0</v>
      </c>
      <c r="J39" s="8" t="s">
        <v>84</v>
      </c>
      <c r="K39" s="8" t="s">
        <v>208</v>
      </c>
      <c r="L39" s="8" t="s">
        <v>84</v>
      </c>
      <c r="M39" s="8" t="s">
        <v>84</v>
      </c>
      <c r="N39" s="8" t="s">
        <v>84</v>
      </c>
      <c r="O39" s="8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7" t="s">
        <v>207</v>
      </c>
      <c r="H40" s="7" t="n">
        <v>0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8" t="s">
        <v>84</v>
      </c>
      <c r="O40" s="8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7" t="s">
        <v>207</v>
      </c>
      <c r="H41" s="7" t="n">
        <v>0</v>
      </c>
      <c r="I41" s="7" t="n">
        <v>0</v>
      </c>
      <c r="J41" s="8" t="s">
        <v>208</v>
      </c>
      <c r="K41" s="8" t="s">
        <v>84</v>
      </c>
      <c r="L41" s="8" t="s">
        <v>208</v>
      </c>
      <c r="M41" s="8" t="s">
        <v>208</v>
      </c>
      <c r="N41" s="8" t="s">
        <v>209</v>
      </c>
      <c r="O41" s="8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7" t="s">
        <v>207</v>
      </c>
      <c r="H42" s="7" t="n">
        <v>0</v>
      </c>
      <c r="I42" s="7" t="n">
        <v>0</v>
      </c>
      <c r="J42" s="8" t="s">
        <v>208</v>
      </c>
      <c r="K42" s="8" t="s">
        <v>208</v>
      </c>
      <c r="L42" s="8" t="s">
        <v>208</v>
      </c>
      <c r="M42" s="8" t="s">
        <v>208</v>
      </c>
      <c r="N42" s="8" t="s">
        <v>208</v>
      </c>
      <c r="O42" s="8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7" t="s">
        <v>207</v>
      </c>
      <c r="H43" s="7" t="n">
        <v>0</v>
      </c>
      <c r="I43" s="7" t="n">
        <v>0</v>
      </c>
      <c r="J43" s="8" t="s">
        <v>208</v>
      </c>
      <c r="K43" s="8" t="s">
        <v>84</v>
      </c>
      <c r="L43" s="8" t="s">
        <v>209</v>
      </c>
      <c r="M43" s="8" t="s">
        <v>84</v>
      </c>
      <c r="N43" s="8" t="s">
        <v>84</v>
      </c>
      <c r="O43" s="8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7" t="s">
        <v>207</v>
      </c>
      <c r="H44" s="7" t="n">
        <v>0</v>
      </c>
      <c r="I44" s="7" t="n">
        <v>0</v>
      </c>
      <c r="J44" s="8" t="s">
        <v>84</v>
      </c>
      <c r="K44" s="8" t="s">
        <v>208</v>
      </c>
      <c r="L44" s="8" t="s">
        <v>209</v>
      </c>
      <c r="M44" s="8" t="s">
        <v>209</v>
      </c>
      <c r="N44" s="8" t="s">
        <v>84</v>
      </c>
      <c r="O44" s="8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7" t="s">
        <v>207</v>
      </c>
      <c r="H45" s="7" t="n">
        <v>1</v>
      </c>
      <c r="I45" s="7" t="n">
        <v>0</v>
      </c>
      <c r="J45" s="8" t="s">
        <v>209</v>
      </c>
      <c r="K45" s="8" t="s">
        <v>84</v>
      </c>
      <c r="L45" s="8" t="s">
        <v>84</v>
      </c>
      <c r="M45" s="8" t="s">
        <v>208</v>
      </c>
      <c r="N45" s="8" t="s">
        <v>84</v>
      </c>
      <c r="O45" s="8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7" t="s">
        <v>207</v>
      </c>
      <c r="H46" s="7" t="n">
        <v>0</v>
      </c>
      <c r="I46" s="7" t="n">
        <v>0</v>
      </c>
      <c r="J46" s="8" t="s">
        <v>226</v>
      </c>
      <c r="K46" s="8" t="s">
        <v>84</v>
      </c>
      <c r="L46" s="8" t="s">
        <v>226</v>
      </c>
      <c r="M46" s="8" t="s">
        <v>226</v>
      </c>
      <c r="N46" s="8" t="s">
        <v>226</v>
      </c>
      <c r="O46" s="8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7" t="s">
        <v>207</v>
      </c>
      <c r="H47" s="7" t="n">
        <v>0</v>
      </c>
      <c r="I47" s="7" t="n">
        <v>0</v>
      </c>
      <c r="J47" s="8" t="s">
        <v>226</v>
      </c>
      <c r="K47" s="8" t="s">
        <v>226</v>
      </c>
      <c r="L47" s="8" t="s">
        <v>226</v>
      </c>
      <c r="M47" s="8" t="s">
        <v>226</v>
      </c>
      <c r="N47" s="8" t="s">
        <v>226</v>
      </c>
      <c r="O47" s="8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7" t="s">
        <v>207</v>
      </c>
      <c r="H48" s="7" t="n">
        <v>0</v>
      </c>
      <c r="I48" s="7" t="n">
        <v>0</v>
      </c>
      <c r="J48" s="8" t="s">
        <v>84</v>
      </c>
      <c r="K48" s="8" t="s">
        <v>84</v>
      </c>
      <c r="L48" s="8" t="s">
        <v>209</v>
      </c>
      <c r="M48" s="8" t="s">
        <v>84</v>
      </c>
      <c r="N48" s="8" t="s">
        <v>209</v>
      </c>
      <c r="O48" s="8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7" t="s">
        <v>207</v>
      </c>
      <c r="H49" s="7" t="n">
        <v>0</v>
      </c>
      <c r="I49" s="7" t="n">
        <v>0</v>
      </c>
      <c r="J49" s="8" t="s">
        <v>226</v>
      </c>
      <c r="K49" s="8" t="s">
        <v>84</v>
      </c>
      <c r="L49" s="8" t="s">
        <v>84</v>
      </c>
      <c r="M49" s="8" t="s">
        <v>84</v>
      </c>
      <c r="N49" s="8" t="s">
        <v>209</v>
      </c>
      <c r="O49" s="8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7" t="s">
        <v>207</v>
      </c>
      <c r="H50" s="7" t="n">
        <v>0</v>
      </c>
      <c r="I50" s="7" t="n">
        <v>0</v>
      </c>
      <c r="J50" s="8" t="s">
        <v>209</v>
      </c>
      <c r="K50" s="8" t="s">
        <v>84</v>
      </c>
      <c r="L50" s="8" t="s">
        <v>84</v>
      </c>
      <c r="M50" s="8" t="s">
        <v>84</v>
      </c>
      <c r="N50" s="8" t="s">
        <v>84</v>
      </c>
      <c r="O50" s="8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7" t="s">
        <v>207</v>
      </c>
      <c r="H51" s="7" t="n">
        <v>1</v>
      </c>
      <c r="I51" s="7" t="n">
        <v>0</v>
      </c>
      <c r="J51" s="8" t="s">
        <v>208</v>
      </c>
      <c r="K51" s="8" t="s">
        <v>84</v>
      </c>
      <c r="L51" s="8" t="s">
        <v>84</v>
      </c>
      <c r="M51" s="8" t="s">
        <v>84</v>
      </c>
      <c r="N51" s="8" t="s">
        <v>84</v>
      </c>
      <c r="O51" s="8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7" t="s">
        <v>207</v>
      </c>
      <c r="H52" s="7" t="n">
        <v>1</v>
      </c>
      <c r="I52" s="7" t="n">
        <v>0</v>
      </c>
      <c r="J52" s="8" t="s">
        <v>84</v>
      </c>
      <c r="K52" s="8" t="s">
        <v>84</v>
      </c>
      <c r="L52" s="8" t="s">
        <v>208</v>
      </c>
      <c r="M52" s="8" t="s">
        <v>84</v>
      </c>
      <c r="N52" s="8" t="s">
        <v>84</v>
      </c>
      <c r="O52" s="8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7" t="s">
        <v>207</v>
      </c>
      <c r="H53" s="7" t="n">
        <v>1</v>
      </c>
      <c r="I53" s="7" t="n">
        <v>0</v>
      </c>
      <c r="J53" s="8" t="s">
        <v>84</v>
      </c>
      <c r="K53" s="8" t="s">
        <v>84</v>
      </c>
      <c r="L53" s="8" t="s">
        <v>84</v>
      </c>
      <c r="M53" s="8" t="s">
        <v>208</v>
      </c>
      <c r="N53" s="8" t="s">
        <v>209</v>
      </c>
      <c r="O53" s="8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7" t="s">
        <v>207</v>
      </c>
      <c r="H54" s="7" t="n">
        <v>1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209</v>
      </c>
      <c r="O54" s="8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7" t="s">
        <v>207</v>
      </c>
      <c r="H55" s="7" t="n">
        <v>0</v>
      </c>
      <c r="I55" s="7" t="n">
        <v>0</v>
      </c>
      <c r="J55" s="8" t="s">
        <v>209</v>
      </c>
      <c r="K55" s="8" t="s">
        <v>208</v>
      </c>
      <c r="L55" s="8" t="s">
        <v>84</v>
      </c>
      <c r="M55" s="8" t="s">
        <v>209</v>
      </c>
      <c r="N55" s="8" t="s">
        <v>84</v>
      </c>
      <c r="O55" s="8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7" t="s">
        <v>207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209</v>
      </c>
      <c r="M56" s="8" t="s">
        <v>209</v>
      </c>
      <c r="N56" s="8" t="s">
        <v>84</v>
      </c>
      <c r="O56" s="8" t="s">
        <v>84</v>
      </c>
      <c r="P56" s="1" t="s">
        <v>570</v>
      </c>
      <c r="Q56" s="1" t="s">
        <v>461</v>
      </c>
    </row>
    <row r="57" ht="23.85" customHeight="1">
      <c r="A57" s="9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9" t="s">
        <v>254</v>
      </c>
      <c r="G57" s="7" t="s">
        <v>255</v>
      </c>
      <c r="H57" s="7" t="n">
        <v>0</v>
      </c>
      <c r="I57" s="7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8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7" t="s">
        <v>207</v>
      </c>
      <c r="H58" s="7" t="n">
        <v>0</v>
      </c>
      <c r="I58" s="7" t="n">
        <v>0</v>
      </c>
      <c r="J58" s="8" t="s">
        <v>209</v>
      </c>
      <c r="K58" s="12" t="s">
        <v>84</v>
      </c>
      <c r="L58" s="8" t="s">
        <v>209</v>
      </c>
      <c r="M58" s="8" t="s">
        <v>209</v>
      </c>
      <c r="N58" s="8" t="s">
        <v>209</v>
      </c>
      <c r="O58" s="8" t="s">
        <v>84</v>
      </c>
      <c r="P58" s="1" t="s">
        <v>488</v>
      </c>
      <c r="Q58" s="1"/>
    </row>
    <row r="59" ht="15" customHeight="1">
      <c r="A59" s="9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9" t="s">
        <v>254</v>
      </c>
      <c r="G59" s="7" t="s">
        <v>255</v>
      </c>
      <c r="H59" s="7" t="n">
        <v>0</v>
      </c>
      <c r="I59" s="7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8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7" t="s">
        <v>207</v>
      </c>
      <c r="H60" s="7" t="n">
        <v>1</v>
      </c>
      <c r="I60" s="7" t="n">
        <v>0</v>
      </c>
      <c r="J60" s="8" t="s">
        <v>209</v>
      </c>
      <c r="K60" s="8" t="s">
        <v>209</v>
      </c>
      <c r="L60" s="8" t="s">
        <v>209</v>
      </c>
      <c r="M60" s="8" t="s">
        <v>209</v>
      </c>
      <c r="N60" s="8" t="s">
        <v>209</v>
      </c>
      <c r="O60" s="8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7" t="s">
        <v>207</v>
      </c>
      <c r="H61" s="7" t="n">
        <v>1</v>
      </c>
      <c r="I61" s="7" t="n">
        <v>0</v>
      </c>
      <c r="J61" s="8" t="s">
        <v>209</v>
      </c>
      <c r="K61" s="8" t="s">
        <v>84</v>
      </c>
      <c r="L61" s="8" t="s">
        <v>209</v>
      </c>
      <c r="M61" s="8" t="s">
        <v>84</v>
      </c>
      <c r="N61" s="8" t="s">
        <v>84</v>
      </c>
      <c r="O61" s="8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34</v>
      </c>
      <c r="K1" s="3" t="s">
        <v>39</v>
      </c>
      <c r="L1" s="3" t="s">
        <v>42</v>
      </c>
      <c r="M1" s="3" t="s">
        <v>38</v>
      </c>
      <c r="N1" s="3" t="s">
        <v>199</v>
      </c>
      <c r="O1" s="3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7" t="s">
        <v>207</v>
      </c>
      <c r="H2" s="7" t="n">
        <v>0</v>
      </c>
      <c r="I2" s="7" t="n">
        <v>0</v>
      </c>
      <c r="J2" s="8" t="s">
        <v>209</v>
      </c>
      <c r="K2" s="8" t="s">
        <v>84</v>
      </c>
      <c r="L2" s="8" t="s">
        <v>209</v>
      </c>
      <c r="M2" s="8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7" t="s">
        <v>207</v>
      </c>
      <c r="H3" s="7" t="n">
        <v>0</v>
      </c>
      <c r="I3" s="7" t="n">
        <v>1</v>
      </c>
      <c r="J3" s="8" t="s">
        <v>208</v>
      </c>
      <c r="K3" s="8" t="s">
        <v>226</v>
      </c>
      <c r="L3" s="8" t="s">
        <v>208</v>
      </c>
      <c r="M3" s="8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7" t="s">
        <v>207</v>
      </c>
      <c r="H4" s="7" t="n">
        <v>0</v>
      </c>
      <c r="I4" s="7" t="n">
        <v>0</v>
      </c>
      <c r="J4" s="8" t="s">
        <v>84</v>
      </c>
      <c r="K4" s="8" t="s">
        <v>84</v>
      </c>
      <c r="L4" s="8" t="s">
        <v>208</v>
      </c>
      <c r="M4" s="8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7" t="s">
        <v>207</v>
      </c>
      <c r="H5" s="7" t="n">
        <v>0</v>
      </c>
      <c r="I5" s="7" t="n">
        <v>0</v>
      </c>
      <c r="J5" s="8" t="s">
        <v>209</v>
      </c>
      <c r="K5" s="8" t="s">
        <v>209</v>
      </c>
      <c r="L5" s="8" t="s">
        <v>209</v>
      </c>
      <c r="M5" s="8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7" t="s">
        <v>207</v>
      </c>
      <c r="H6" s="7" t="n">
        <v>0</v>
      </c>
      <c r="I6" s="7" t="n">
        <v>0</v>
      </c>
      <c r="J6" s="8" t="s">
        <v>208</v>
      </c>
      <c r="K6" s="8" t="s">
        <v>84</v>
      </c>
      <c r="L6" s="8" t="s">
        <v>84</v>
      </c>
      <c r="M6" s="8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7" t="s">
        <v>207</v>
      </c>
      <c r="H7" s="7" t="n">
        <v>1</v>
      </c>
      <c r="I7" s="7" t="n">
        <v>0</v>
      </c>
      <c r="J7" s="8" t="s">
        <v>208</v>
      </c>
      <c r="K7" s="8" t="s">
        <v>84</v>
      </c>
      <c r="L7" s="8" t="s">
        <v>226</v>
      </c>
      <c r="M7" s="8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7" t="s">
        <v>207</v>
      </c>
      <c r="H8" s="7" t="n">
        <v>0</v>
      </c>
      <c r="I8" s="7" t="n">
        <v>0</v>
      </c>
      <c r="J8" s="8" t="s">
        <v>209</v>
      </c>
      <c r="K8" s="8" t="s">
        <v>209</v>
      </c>
      <c r="L8" s="8" t="s">
        <v>209</v>
      </c>
      <c r="M8" s="8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7" t="s">
        <v>207</v>
      </c>
      <c r="H9" s="7" t="n">
        <v>0</v>
      </c>
      <c r="I9" s="7" t="n">
        <v>0</v>
      </c>
      <c r="J9" s="8" t="s">
        <v>209</v>
      </c>
      <c r="K9" s="8" t="s">
        <v>84</v>
      </c>
      <c r="L9" s="8" t="s">
        <v>209</v>
      </c>
      <c r="M9" s="8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7" t="s">
        <v>207</v>
      </c>
      <c r="H10" s="7" t="n">
        <v>0</v>
      </c>
      <c r="I10" s="7" t="n">
        <v>0</v>
      </c>
      <c r="J10" s="8" t="s">
        <v>208</v>
      </c>
      <c r="K10" s="8" t="s">
        <v>84</v>
      </c>
      <c r="L10" s="8" t="s">
        <v>84</v>
      </c>
      <c r="M10" s="8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7" t="s">
        <v>207</v>
      </c>
      <c r="H11" s="7" t="n">
        <v>-1</v>
      </c>
      <c r="I11" s="7" t="n">
        <v>0</v>
      </c>
      <c r="J11" s="8" t="s">
        <v>208</v>
      </c>
      <c r="K11" s="8" t="s">
        <v>208</v>
      </c>
      <c r="L11" s="8" t="s">
        <v>208</v>
      </c>
      <c r="M11" s="12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206</v>
      </c>
      <c r="G12" s="7" t="s">
        <v>207</v>
      </c>
      <c r="H12" s="7" t="n">
        <v>0</v>
      </c>
      <c r="I12" s="7" t="n">
        <v>0</v>
      </c>
      <c r="J12" s="8" t="s">
        <v>226</v>
      </c>
      <c r="K12" s="8" t="s">
        <v>226</v>
      </c>
      <c r="L12" s="8" t="s">
        <v>226</v>
      </c>
      <c r="M12" s="8" t="s">
        <v>226</v>
      </c>
      <c r="N12" s="1" t="s">
        <v>539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209</v>
      </c>
      <c r="K13" s="8" t="s">
        <v>84</v>
      </c>
      <c r="L13" s="8" t="s">
        <v>209</v>
      </c>
      <c r="M13" s="8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7" t="s">
        <v>207</v>
      </c>
      <c r="H14" s="7" t="n">
        <v>0</v>
      </c>
      <c r="I14" s="7" t="n">
        <v>0</v>
      </c>
      <c r="J14" s="8" t="s">
        <v>209</v>
      </c>
      <c r="K14" s="8" t="s">
        <v>84</v>
      </c>
      <c r="L14" s="8" t="s">
        <v>209</v>
      </c>
      <c r="M14" s="8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7" t="s">
        <v>207</v>
      </c>
      <c r="H15" s="7" t="n">
        <v>1</v>
      </c>
      <c r="I15" s="7" t="n">
        <v>0</v>
      </c>
      <c r="J15" s="8" t="s">
        <v>209</v>
      </c>
      <c r="K15" s="8" t="s">
        <v>84</v>
      </c>
      <c r="L15" s="8" t="s">
        <v>209</v>
      </c>
      <c r="M15" s="8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7" t="s">
        <v>207</v>
      </c>
      <c r="H16" s="7" t="n">
        <v>0</v>
      </c>
      <c r="I16" s="7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7" t="s">
        <v>207</v>
      </c>
      <c r="H17" s="7" t="n">
        <v>0</v>
      </c>
      <c r="I17" s="7" t="n">
        <v>0</v>
      </c>
      <c r="J17" s="8" t="s">
        <v>209</v>
      </c>
      <c r="K17" s="8" t="s">
        <v>209</v>
      </c>
      <c r="L17" s="8" t="s">
        <v>209</v>
      </c>
      <c r="M17" s="8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7" t="s">
        <v>207</v>
      </c>
      <c r="H18" s="7" t="n">
        <v>0</v>
      </c>
      <c r="I18" s="7" t="n">
        <v>0</v>
      </c>
      <c r="J18" s="8" t="s">
        <v>209</v>
      </c>
      <c r="K18" s="8" t="s">
        <v>84</v>
      </c>
      <c r="L18" s="8" t="s">
        <v>209</v>
      </c>
      <c r="M18" s="8" t="s">
        <v>209</v>
      </c>
      <c r="N18" s="1" t="s">
        <v>598</v>
      </c>
      <c r="O18" s="1"/>
    </row>
    <row r="19" ht="15" customHeight="1">
      <c r="A19" s="9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9" t="s">
        <v>254</v>
      </c>
      <c r="G19" s="7" t="s">
        <v>255</v>
      </c>
      <c r="H19" s="7" t="n">
        <v>0</v>
      </c>
      <c r="I19" s="7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1" t="s">
        <v>544</v>
      </c>
      <c r="O19" s="1" t="s">
        <v>333</v>
      </c>
    </row>
    <row r="20" ht="23.85" customHeight="1">
      <c r="A20" s="9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9" t="s">
        <v>254</v>
      </c>
      <c r="G20" s="7" t="s">
        <v>255</v>
      </c>
      <c r="H20" s="7" t="n">
        <v>0</v>
      </c>
      <c r="I20" s="7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1" t="s">
        <v>599</v>
      </c>
      <c r="O20" s="1" t="s">
        <v>337</v>
      </c>
    </row>
    <row r="21" ht="15" customHeight="1">
      <c r="A21" s="9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9" t="s">
        <v>254</v>
      </c>
      <c r="G21" s="7" t="s">
        <v>255</v>
      </c>
      <c r="H21" s="7" t="n">
        <v>0</v>
      </c>
      <c r="I21" s="7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1" t="s">
        <v>600</v>
      </c>
      <c r="O21" s="1" t="s">
        <v>343</v>
      </c>
    </row>
    <row r="22" ht="15" customHeight="1">
      <c r="A22" s="9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9" t="s">
        <v>254</v>
      </c>
      <c r="G22" s="7" t="s">
        <v>255</v>
      </c>
      <c r="H22" s="7" t="n">
        <v>0</v>
      </c>
      <c r="I22" s="7" t="n">
        <v>0</v>
      </c>
      <c r="J22" s="8" t="s">
        <v>84</v>
      </c>
      <c r="K22" s="8" t="s">
        <v>84</v>
      </c>
      <c r="L22" s="8" t="s">
        <v>84</v>
      </c>
      <c r="M22" s="8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7" t="s">
        <v>207</v>
      </c>
      <c r="H23" s="7" t="n">
        <v>0</v>
      </c>
      <c r="I23" s="7" t="n">
        <v>0</v>
      </c>
      <c r="J23" s="8" t="s">
        <v>209</v>
      </c>
      <c r="K23" s="8" t="s">
        <v>209</v>
      </c>
      <c r="L23" s="8" t="s">
        <v>209</v>
      </c>
      <c r="M23" s="8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232</v>
      </c>
      <c r="G24" s="7" t="s">
        <v>207</v>
      </c>
      <c r="H24" s="7" t="n">
        <v>0</v>
      </c>
      <c r="I24" s="7" t="n">
        <v>0</v>
      </c>
      <c r="J24" s="8" t="s">
        <v>209</v>
      </c>
      <c r="K24" s="8" t="s">
        <v>209</v>
      </c>
      <c r="L24" s="8" t="s">
        <v>209</v>
      </c>
      <c r="M24" s="8" t="s">
        <v>84</v>
      </c>
      <c r="N24" s="1" t="s">
        <v>603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7" t="s">
        <v>207</v>
      </c>
      <c r="H25" s="7" t="n">
        <v>1</v>
      </c>
      <c r="I25" s="7" t="n">
        <v>0</v>
      </c>
      <c r="J25" s="8" t="s">
        <v>209</v>
      </c>
      <c r="K25" s="8" t="s">
        <v>209</v>
      </c>
      <c r="L25" s="8" t="s">
        <v>209</v>
      </c>
      <c r="M25" s="8" t="s">
        <v>209</v>
      </c>
      <c r="N25" s="1" t="s">
        <v>360</v>
      </c>
      <c r="O25" s="1"/>
    </row>
    <row r="26" ht="15" customHeight="1">
      <c r="A26" s="9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9" t="s">
        <v>254</v>
      </c>
      <c r="G26" s="7" t="s">
        <v>255</v>
      </c>
      <c r="H26" s="7" t="n">
        <v>0</v>
      </c>
      <c r="I26" s="7" t="n">
        <v>0</v>
      </c>
      <c r="J26" s="8" t="s">
        <v>84</v>
      </c>
      <c r="K26" s="8" t="s">
        <v>84</v>
      </c>
      <c r="L26" s="8" t="s">
        <v>84</v>
      </c>
      <c r="M26" s="8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7" t="s">
        <v>207</v>
      </c>
      <c r="H27" s="7" t="n">
        <v>0</v>
      </c>
      <c r="I27" s="7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1" t="s">
        <v>366</v>
      </c>
      <c r="O27" s="1"/>
    </row>
    <row r="28" ht="23.85" customHeight="1">
      <c r="A28" s="9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9" t="s">
        <v>254</v>
      </c>
      <c r="G28" s="7" t="s">
        <v>255</v>
      </c>
      <c r="H28" s="7" t="n">
        <v>0</v>
      </c>
      <c r="I28" s="7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1" t="s">
        <v>551</v>
      </c>
      <c r="O28" s="1" t="s">
        <v>371</v>
      </c>
    </row>
    <row r="29" ht="15" customHeight="1">
      <c r="A29" s="9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9" t="s">
        <v>254</v>
      </c>
      <c r="G29" s="7" t="s">
        <v>255</v>
      </c>
      <c r="H29" s="7" t="n">
        <v>0</v>
      </c>
      <c r="I29" s="7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1" t="s">
        <v>374</v>
      </c>
      <c r="O29" s="1" t="s">
        <v>375</v>
      </c>
    </row>
    <row r="30" ht="15" customHeight="1">
      <c r="A30" s="9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1" t="s">
        <v>379</v>
      </c>
      <c r="O30" s="1" t="s">
        <v>379</v>
      </c>
    </row>
    <row r="31" ht="15" customHeight="1">
      <c r="A31" s="9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1" t="s">
        <v>379</v>
      </c>
      <c r="O31" s="1" t="s">
        <v>383</v>
      </c>
    </row>
    <row r="32" ht="23.85" customHeight="1">
      <c r="A32" s="9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9" t="s">
        <v>254</v>
      </c>
      <c r="G32" s="7" t="s">
        <v>255</v>
      </c>
      <c r="H32" s="7" t="n">
        <v>0</v>
      </c>
      <c r="I32" s="7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1" t="s">
        <v>601</v>
      </c>
      <c r="O32" s="1" t="s">
        <v>388</v>
      </c>
    </row>
    <row r="33" ht="15" customHeight="1">
      <c r="A33" s="9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9" t="s">
        <v>254</v>
      </c>
      <c r="G33" s="7" t="s">
        <v>255</v>
      </c>
      <c r="H33" s="7" t="n">
        <v>0</v>
      </c>
      <c r="I33" s="7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1" t="s">
        <v>391</v>
      </c>
      <c r="O33" s="1" t="s">
        <v>392</v>
      </c>
    </row>
    <row r="34" ht="23.85" customHeight="1">
      <c r="A34" s="9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1" t="s">
        <v>396</v>
      </c>
      <c r="O34" s="1" t="s">
        <v>396</v>
      </c>
    </row>
    <row r="35" ht="23.85" customHeight="1">
      <c r="A35" s="9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9" t="s">
        <v>254</v>
      </c>
      <c r="G35" s="7" t="s">
        <v>255</v>
      </c>
      <c r="H35" s="7" t="n">
        <v>0</v>
      </c>
      <c r="I35" s="7" t="n">
        <v>0</v>
      </c>
      <c r="J35" s="8" t="s">
        <v>84</v>
      </c>
      <c r="K35" s="8" t="s">
        <v>84</v>
      </c>
      <c r="L35" s="8" t="s">
        <v>84</v>
      </c>
      <c r="M35" s="8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206</v>
      </c>
      <c r="G36" s="7" t="s">
        <v>207</v>
      </c>
      <c r="H36" s="7" t="n">
        <v>0</v>
      </c>
      <c r="I36" s="7" t="n">
        <v>0</v>
      </c>
      <c r="J36" s="8" t="s">
        <v>208</v>
      </c>
      <c r="K36" s="8" t="s">
        <v>208</v>
      </c>
      <c r="L36" s="8" t="s">
        <v>208</v>
      </c>
      <c r="M36" s="8" t="s">
        <v>208</v>
      </c>
      <c r="N36" s="1" t="s">
        <v>404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7" t="s">
        <v>207</v>
      </c>
      <c r="H37" s="7" t="n">
        <v>0</v>
      </c>
      <c r="I37" s="7" t="n">
        <v>0</v>
      </c>
      <c r="J37" s="8" t="s">
        <v>208</v>
      </c>
      <c r="K37" s="8" t="s">
        <v>84</v>
      </c>
      <c r="L37" s="8" t="s">
        <v>209</v>
      </c>
      <c r="M37" s="8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7" t="s">
        <v>207</v>
      </c>
      <c r="H38" s="7" t="n">
        <v>1</v>
      </c>
      <c r="I38" s="7" t="n">
        <v>0</v>
      </c>
      <c r="J38" s="8" t="s">
        <v>84</v>
      </c>
      <c r="K38" s="8" t="s">
        <v>84</v>
      </c>
      <c r="L38" s="8" t="s">
        <v>84</v>
      </c>
      <c r="M38" s="8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7" t="s">
        <v>207</v>
      </c>
      <c r="H39" s="7" t="n">
        <v>-1</v>
      </c>
      <c r="I39" s="7" t="n">
        <v>0</v>
      </c>
      <c r="J39" s="8" t="s">
        <v>84</v>
      </c>
      <c r="K39" s="8" t="s">
        <v>84</v>
      </c>
      <c r="L39" s="8" t="s">
        <v>84</v>
      </c>
      <c r="M39" s="8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7" t="s">
        <v>207</v>
      </c>
      <c r="H40" s="7" t="n">
        <v>-1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1" t="s">
        <v>412</v>
      </c>
      <c r="O40" s="1"/>
    </row>
    <row r="41" ht="23.85" customHeight="1">
      <c r="A41" s="9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9" t="s">
        <v>254</v>
      </c>
      <c r="G41" s="7" t="s">
        <v>255</v>
      </c>
      <c r="H41" s="7" t="n">
        <v>0</v>
      </c>
      <c r="I41" s="7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7" t="s">
        <v>207</v>
      </c>
      <c r="H42" s="7" t="n">
        <v>0</v>
      </c>
      <c r="I42" s="7" t="n">
        <v>0</v>
      </c>
      <c r="J42" s="8" t="s">
        <v>84</v>
      </c>
      <c r="K42" s="8" t="s">
        <v>208</v>
      </c>
      <c r="L42" s="8" t="s">
        <v>84</v>
      </c>
      <c r="M42" s="8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7" t="s">
        <v>207</v>
      </c>
      <c r="H43" s="7" t="n">
        <v>0</v>
      </c>
      <c r="I43" s="7" t="n">
        <v>0</v>
      </c>
      <c r="J43" s="8" t="s">
        <v>209</v>
      </c>
      <c r="K43" s="8" t="s">
        <v>208</v>
      </c>
      <c r="L43" s="8" t="s">
        <v>209</v>
      </c>
      <c r="M43" s="8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7" t="s">
        <v>207</v>
      </c>
      <c r="H44" s="7" t="n">
        <v>0</v>
      </c>
      <c r="I44" s="7" t="n">
        <v>0</v>
      </c>
      <c r="J44" s="8" t="s">
        <v>84</v>
      </c>
      <c r="K44" s="8" t="s">
        <v>209</v>
      </c>
      <c r="L44" s="8" t="s">
        <v>84</v>
      </c>
      <c r="M44" s="8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7" t="s">
        <v>207</v>
      </c>
      <c r="H45" s="7" t="n">
        <v>0</v>
      </c>
      <c r="I45" s="7" t="n">
        <v>0</v>
      </c>
      <c r="J45" s="8" t="s">
        <v>84</v>
      </c>
      <c r="K45" s="8" t="s">
        <v>209</v>
      </c>
      <c r="L45" s="8" t="s">
        <v>84</v>
      </c>
      <c r="M45" s="8" t="s">
        <v>208</v>
      </c>
      <c r="N45" s="1" t="s">
        <v>611</v>
      </c>
      <c r="O45" s="1"/>
    </row>
    <row r="46" ht="23.85" customHeight="1">
      <c r="A46" s="9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9" t="s">
        <v>254</v>
      </c>
      <c r="G46" s="7" t="s">
        <v>255</v>
      </c>
      <c r="H46" s="7" t="n">
        <v>0</v>
      </c>
      <c r="I46" s="7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1" t="s">
        <v>601</v>
      </c>
      <c r="O46" s="1"/>
    </row>
    <row r="47" ht="15" customHeight="1">
      <c r="A47" s="9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9" t="s">
        <v>254</v>
      </c>
      <c r="G47" s="7" t="s">
        <v>255</v>
      </c>
      <c r="H47" s="7" t="n">
        <v>0</v>
      </c>
      <c r="I47" s="7" t="n">
        <v>0</v>
      </c>
      <c r="J47" s="8" t="s">
        <v>84</v>
      </c>
      <c r="K47" s="8" t="s">
        <v>84</v>
      </c>
      <c r="L47" s="8" t="s">
        <v>84</v>
      </c>
      <c r="M47" s="8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7" t="s">
        <v>207</v>
      </c>
      <c r="H48" s="7" t="n">
        <v>0</v>
      </c>
      <c r="I48" s="7" t="n">
        <v>0</v>
      </c>
      <c r="J48" s="8" t="s">
        <v>226</v>
      </c>
      <c r="K48" s="8" t="s">
        <v>226</v>
      </c>
      <c r="L48" s="8" t="s">
        <v>226</v>
      </c>
      <c r="M48" s="8" t="s">
        <v>226</v>
      </c>
      <c r="N48" s="1" t="s">
        <v>613</v>
      </c>
      <c r="O48" s="1"/>
    </row>
    <row r="49" ht="15" customHeight="1">
      <c r="A49" s="9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9" t="s">
        <v>254</v>
      </c>
      <c r="G49" s="7" t="s">
        <v>255</v>
      </c>
      <c r="H49" s="7" t="n">
        <v>0</v>
      </c>
      <c r="I49" s="7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1" t="s">
        <v>601</v>
      </c>
      <c r="O49" s="1" t="s">
        <v>447</v>
      </c>
    </row>
    <row r="50" ht="15" customHeight="1">
      <c r="A50" s="9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9" t="s">
        <v>254</v>
      </c>
      <c r="G50" s="7" t="s">
        <v>255</v>
      </c>
      <c r="H50" s="7" t="n">
        <v>0</v>
      </c>
      <c r="I50" s="7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1" t="s">
        <v>601</v>
      </c>
      <c r="O50" s="1"/>
    </row>
    <row r="51" ht="23.85" customHeight="1">
      <c r="A51" s="9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9" t="s">
        <v>254</v>
      </c>
      <c r="G51" s="7" t="s">
        <v>255</v>
      </c>
      <c r="H51" s="7" t="n">
        <v>0</v>
      </c>
      <c r="I51" s="7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1" t="s">
        <v>614</v>
      </c>
      <c r="O51" s="1" t="s">
        <v>456</v>
      </c>
    </row>
    <row r="52" ht="15" customHeight="1">
      <c r="A52" s="9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9" t="s">
        <v>254</v>
      </c>
      <c r="G52" s="7" t="s">
        <v>255</v>
      </c>
      <c r="H52" s="7" t="n">
        <v>0</v>
      </c>
      <c r="I52" s="7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7" t="s">
        <v>207</v>
      </c>
      <c r="H53" s="7" t="n">
        <v>1</v>
      </c>
      <c r="I53" s="7" t="n">
        <v>0</v>
      </c>
      <c r="J53" s="8" t="s">
        <v>84</v>
      </c>
      <c r="K53" s="8" t="s">
        <v>208</v>
      </c>
      <c r="L53" s="8" t="s">
        <v>84</v>
      </c>
      <c r="M53" s="8" t="s">
        <v>84</v>
      </c>
      <c r="N53" s="1" t="s">
        <v>567</v>
      </c>
      <c r="O53" s="1" t="s">
        <v>461</v>
      </c>
    </row>
    <row r="54" ht="15" customHeight="1">
      <c r="A54" s="9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9" t="s">
        <v>254</v>
      </c>
      <c r="G54" s="7" t="s">
        <v>255</v>
      </c>
      <c r="H54" s="7" t="n">
        <v>0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1" t="s">
        <v>601</v>
      </c>
      <c r="O54" s="1" t="s">
        <v>461</v>
      </c>
    </row>
    <row r="55" ht="15" customHeight="1">
      <c r="A55" s="9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9" t="s">
        <v>254</v>
      </c>
      <c r="G55" s="7" t="s">
        <v>255</v>
      </c>
      <c r="H55" s="7" t="n">
        <v>0</v>
      </c>
      <c r="I55" s="7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7" t="s">
        <v>207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84</v>
      </c>
      <c r="M56" s="8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7" t="s">
        <v>207</v>
      </c>
      <c r="H57" s="7" t="n">
        <v>0</v>
      </c>
      <c r="I57" s="7" t="n">
        <v>0</v>
      </c>
      <c r="J57" s="8" t="s">
        <v>84</v>
      </c>
      <c r="K57" s="8" t="s">
        <v>209</v>
      </c>
      <c r="L57" s="8" t="s">
        <v>84</v>
      </c>
      <c r="M57" s="8" t="s">
        <v>84</v>
      </c>
      <c r="N57" s="1" t="s">
        <v>618</v>
      </c>
      <c r="O57" s="1" t="s">
        <v>461</v>
      </c>
    </row>
    <row r="58" ht="23.85" customHeight="1">
      <c r="A58" s="9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9" t="s">
        <v>254</v>
      </c>
      <c r="G58" s="7" t="s">
        <v>255</v>
      </c>
      <c r="H58" s="7" t="n">
        <v>0</v>
      </c>
      <c r="I58" s="7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7" t="s">
        <v>207</v>
      </c>
      <c r="H59" s="7" t="n">
        <v>0</v>
      </c>
      <c r="I59" s="7" t="n">
        <v>0</v>
      </c>
      <c r="J59" s="8" t="s">
        <v>209</v>
      </c>
      <c r="K59" s="8" t="s">
        <v>209</v>
      </c>
      <c r="L59" s="8" t="s">
        <v>84</v>
      </c>
      <c r="M59" s="8" t="s">
        <v>209</v>
      </c>
      <c r="N59" s="1" t="s">
        <v>619</v>
      </c>
      <c r="O59" s="1"/>
    </row>
    <row r="60" ht="15" customHeight="1">
      <c r="A60" s="9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9" t="s">
        <v>254</v>
      </c>
      <c r="G60" s="7" t="s">
        <v>255</v>
      </c>
      <c r="H60" s="7" t="n">
        <v>0</v>
      </c>
      <c r="I60" s="7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7" t="s">
        <v>207</v>
      </c>
      <c r="H61" s="7" t="n">
        <v>1</v>
      </c>
      <c r="I61" s="7" t="n">
        <v>0</v>
      </c>
      <c r="J61" s="8" t="s">
        <v>209</v>
      </c>
      <c r="K61" s="8" t="s">
        <v>209</v>
      </c>
      <c r="L61" s="8" t="s">
        <v>209</v>
      </c>
      <c r="M61" s="8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7" t="s">
        <v>207</v>
      </c>
      <c r="H62" s="7" t="n">
        <v>1</v>
      </c>
      <c r="I62" s="7" t="n">
        <v>0</v>
      </c>
      <c r="J62" s="8" t="s">
        <v>209</v>
      </c>
      <c r="K62" s="8" t="s">
        <v>209</v>
      </c>
      <c r="L62" s="8" t="s">
        <v>209</v>
      </c>
      <c r="M62" s="8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620</v>
      </c>
      <c r="D1" s="3" t="s">
        <v>27</v>
      </c>
      <c r="E1" s="3" t="s">
        <v>621</v>
      </c>
      <c r="F1" s="3" t="s">
        <v>28</v>
      </c>
      <c r="G1" s="3" t="s">
        <v>622</v>
      </c>
      <c r="H1" s="3" t="s">
        <v>623</v>
      </c>
      <c r="I1" s="3" t="s">
        <v>624</v>
      </c>
      <c r="J1" s="3" t="s">
        <v>625</v>
      </c>
      <c r="K1" s="3" t="s">
        <v>626</v>
      </c>
      <c r="L1" s="3" t="s">
        <v>627</v>
      </c>
      <c r="M1" s="3" t="s">
        <v>628</v>
      </c>
      <c r="N1" s="3" t="s">
        <v>629</v>
      </c>
      <c r="O1" s="3" t="s">
        <v>630</v>
      </c>
      <c r="P1" s="3" t="s">
        <v>631</v>
      </c>
      <c r="Q1" s="3" t="s">
        <v>29</v>
      </c>
    </row>
    <row r="2" ht="15" customHeight="1">
      <c r="A2" s="1" t="s">
        <v>30</v>
      </c>
      <c r="B2" s="1" t="s">
        <v>31</v>
      </c>
      <c r="C2" s="7" t="s">
        <v>632</v>
      </c>
      <c r="D2" s="7" t="s">
        <v>633</v>
      </c>
      <c r="E2" s="7" t="s">
        <v>207</v>
      </c>
      <c r="F2" s="7" t="n">
        <v>0.999</v>
      </c>
      <c r="G2" s="7" t="s">
        <v>634</v>
      </c>
      <c r="H2" s="7" t="s">
        <v>634</v>
      </c>
      <c r="I2" s="7" t="n">
        <v>0</v>
      </c>
      <c r="J2" s="7" t="n">
        <v>4</v>
      </c>
      <c r="K2" s="7" t="n">
        <v>0.05</v>
      </c>
      <c r="L2" s="7" t="n">
        <v>50</v>
      </c>
      <c r="M2" s="7" t="n">
        <v>3</v>
      </c>
      <c r="N2" s="7" t="n">
        <v>0.05</v>
      </c>
      <c r="O2" s="7" t="n">
        <v>100</v>
      </c>
      <c r="P2" s="7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7" t="s">
        <v>632</v>
      </c>
      <c r="D3" s="7" t="s">
        <v>633</v>
      </c>
      <c r="E3" s="7" t="s">
        <v>207</v>
      </c>
      <c r="F3" s="7" t="n">
        <v>0.999</v>
      </c>
      <c r="G3" s="7" t="s">
        <v>634</v>
      </c>
      <c r="H3" s="7" t="s">
        <v>634</v>
      </c>
      <c r="I3" s="7" t="n">
        <v>0</v>
      </c>
      <c r="J3" s="7" t="n">
        <v>4</v>
      </c>
      <c r="K3" s="7" t="n">
        <v>0.05</v>
      </c>
      <c r="L3" s="7" t="n">
        <v>50</v>
      </c>
      <c r="M3" s="7" t="n">
        <v>3</v>
      </c>
      <c r="N3" s="7" t="n">
        <v>0.05</v>
      </c>
      <c r="O3" s="7" t="n">
        <v>100</v>
      </c>
      <c r="P3" s="7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7" t="s">
        <v>632</v>
      </c>
      <c r="D4" s="7" t="s">
        <v>637</v>
      </c>
      <c r="E4" s="7" t="s">
        <v>207</v>
      </c>
      <c r="F4" s="7" t="n">
        <v>0.995</v>
      </c>
      <c r="G4" s="13" t="s">
        <v>639</v>
      </c>
      <c r="H4" s="13" t="s">
        <v>639</v>
      </c>
      <c r="I4" s="7" t="n">
        <v>1</v>
      </c>
      <c r="J4" s="7" t="n">
        <v>3</v>
      </c>
      <c r="K4" s="7" t="n">
        <v>0.05</v>
      </c>
      <c r="L4" s="7" t="n">
        <v>100</v>
      </c>
      <c r="M4" s="7" t="n">
        <v>0</v>
      </c>
      <c r="N4" s="7" t="n">
        <v>0</v>
      </c>
      <c r="O4" s="7" t="n">
        <v>0</v>
      </c>
      <c r="P4" s="7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7" t="s">
        <v>632</v>
      </c>
      <c r="D5" s="13" t="s">
        <v>637</v>
      </c>
      <c r="E5" s="7" t="s">
        <v>207</v>
      </c>
      <c r="F5" s="7" t="n">
        <v>0.999</v>
      </c>
      <c r="G5" s="7" t="s">
        <v>634</v>
      </c>
      <c r="H5" s="7" t="s">
        <v>639</v>
      </c>
      <c r="I5" s="7" t="n">
        <v>0</v>
      </c>
      <c r="J5" s="7" t="n">
        <v>3</v>
      </c>
      <c r="K5" s="7" t="n">
        <v>0.05</v>
      </c>
      <c r="L5" s="7" t="n">
        <v>50</v>
      </c>
      <c r="M5" s="7" t="n">
        <v>3</v>
      </c>
      <c r="N5" s="7" t="n">
        <v>0.05</v>
      </c>
      <c r="O5" s="7" t="n">
        <v>100</v>
      </c>
      <c r="P5" s="7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7" t="s">
        <v>632</v>
      </c>
      <c r="D6" s="7" t="s">
        <v>633</v>
      </c>
      <c r="E6" s="7" t="s">
        <v>207</v>
      </c>
      <c r="F6" s="7" t="n">
        <v>0.999</v>
      </c>
      <c r="G6" s="7" t="s">
        <v>634</v>
      </c>
      <c r="H6" s="7" t="s">
        <v>639</v>
      </c>
      <c r="I6" s="7" t="n">
        <v>0</v>
      </c>
      <c r="J6" s="7" t="n">
        <v>3</v>
      </c>
      <c r="K6" s="7" t="n">
        <v>0.05</v>
      </c>
      <c r="L6" s="7" t="n">
        <v>50</v>
      </c>
      <c r="M6" s="7" t="n">
        <v>3</v>
      </c>
      <c r="N6" s="7" t="n">
        <v>0.05</v>
      </c>
      <c r="O6" s="7" t="n">
        <v>100</v>
      </c>
      <c r="P6" s="7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7" t="s">
        <v>632</v>
      </c>
      <c r="D7" s="7" t="s">
        <v>633</v>
      </c>
      <c r="E7" s="7" t="s">
        <v>207</v>
      </c>
      <c r="F7" s="7" t="n">
        <v>0.999</v>
      </c>
      <c r="G7" s="7" t="s">
        <v>634</v>
      </c>
      <c r="H7" s="7" t="s">
        <v>639</v>
      </c>
      <c r="I7" s="7" t="n">
        <v>0</v>
      </c>
      <c r="J7" s="7" t="n">
        <v>3</v>
      </c>
      <c r="K7" s="7" t="n">
        <v>0.05</v>
      </c>
      <c r="L7" s="7" t="n">
        <v>50</v>
      </c>
      <c r="M7" s="7" t="n">
        <v>3</v>
      </c>
      <c r="N7" s="7" t="n">
        <v>0.05</v>
      </c>
      <c r="O7" s="7" t="n">
        <v>100</v>
      </c>
      <c r="P7" s="7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7" t="s">
        <v>632</v>
      </c>
      <c r="D8" s="7" t="s">
        <v>637</v>
      </c>
      <c r="E8" s="7" t="s">
        <v>207</v>
      </c>
      <c r="F8" s="7" t="n">
        <v>0.995</v>
      </c>
      <c r="G8" s="7" t="s">
        <v>634</v>
      </c>
      <c r="H8" s="7" t="s">
        <v>639</v>
      </c>
      <c r="I8" s="7" t="n">
        <v>0</v>
      </c>
      <c r="J8" s="7" t="n">
        <v>3</v>
      </c>
      <c r="K8" s="7" t="n">
        <v>0.05</v>
      </c>
      <c r="L8" s="7" t="n">
        <v>30</v>
      </c>
      <c r="M8" s="7" t="n">
        <v>0</v>
      </c>
      <c r="N8" s="7" t="n">
        <v>0</v>
      </c>
      <c r="O8" s="7" t="n">
        <v>0</v>
      </c>
      <c r="P8" s="7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7" t="s">
        <v>632</v>
      </c>
      <c r="D9" s="13" t="s">
        <v>637</v>
      </c>
      <c r="E9" s="7" t="s">
        <v>207</v>
      </c>
      <c r="F9" s="7" t="n">
        <v>0.999</v>
      </c>
      <c r="G9" s="7" t="s">
        <v>634</v>
      </c>
      <c r="H9" s="7" t="s">
        <v>639</v>
      </c>
      <c r="I9" s="7" t="n">
        <v>0</v>
      </c>
      <c r="J9" s="7" t="n">
        <v>4</v>
      </c>
      <c r="K9" s="7" t="n">
        <v>0.05</v>
      </c>
      <c r="L9" s="7" t="n">
        <v>50</v>
      </c>
      <c r="M9" s="7" t="n">
        <v>3</v>
      </c>
      <c r="N9" s="7" t="n">
        <v>0.05</v>
      </c>
      <c r="O9" s="7" t="n">
        <v>100</v>
      </c>
      <c r="P9" s="7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7" t="s">
        <v>632</v>
      </c>
      <c r="D10" s="7" t="s">
        <v>637</v>
      </c>
      <c r="E10" s="7" t="s">
        <v>207</v>
      </c>
      <c r="F10" s="7" t="n">
        <v>0.995</v>
      </c>
      <c r="G10" s="7" t="s">
        <v>634</v>
      </c>
      <c r="H10" s="7" t="s">
        <v>639</v>
      </c>
      <c r="I10" s="7" t="n">
        <v>1</v>
      </c>
      <c r="J10" s="7" t="n">
        <v>3</v>
      </c>
      <c r="K10" s="7" t="n">
        <v>0.05</v>
      </c>
      <c r="L10" s="7" t="n">
        <v>30</v>
      </c>
      <c r="M10" s="7" t="n">
        <v>0</v>
      </c>
      <c r="N10" s="7" t="n">
        <v>0</v>
      </c>
      <c r="O10" s="7" t="n">
        <v>0</v>
      </c>
      <c r="P10" s="7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7" t="s">
        <v>632</v>
      </c>
      <c r="D11" s="7" t="s">
        <v>637</v>
      </c>
      <c r="E11" s="7" t="s">
        <v>207</v>
      </c>
      <c r="F11" s="7" t="n">
        <v>0.99</v>
      </c>
      <c r="G11" s="7" t="s">
        <v>634</v>
      </c>
      <c r="H11" s="7" t="s">
        <v>639</v>
      </c>
      <c r="I11" s="7" t="n">
        <v>0</v>
      </c>
      <c r="J11" s="7" t="n">
        <v>3</v>
      </c>
      <c r="K11" s="7" t="n">
        <v>0.05</v>
      </c>
      <c r="L11" s="13" t="n">
        <v>15</v>
      </c>
      <c r="M11" s="7" t="n">
        <v>0</v>
      </c>
      <c r="N11" s="7" t="n">
        <v>0</v>
      </c>
      <c r="O11" s="7" t="n">
        <v>0</v>
      </c>
      <c r="P11" s="7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7" t="s">
        <v>632</v>
      </c>
      <c r="D12" s="7" t="s">
        <v>633</v>
      </c>
      <c r="E12" s="7" t="s">
        <v>207</v>
      </c>
      <c r="F12" s="7" t="n">
        <v>0.999</v>
      </c>
      <c r="G12" s="7" t="s">
        <v>634</v>
      </c>
      <c r="H12" s="7" t="s">
        <v>639</v>
      </c>
      <c r="I12" s="7" t="n">
        <v>0</v>
      </c>
      <c r="J12" s="7" t="n">
        <v>3</v>
      </c>
      <c r="K12" s="7" t="n">
        <v>0.05</v>
      </c>
      <c r="L12" s="7" t="n">
        <v>30</v>
      </c>
      <c r="M12" s="7" t="n">
        <v>3</v>
      </c>
      <c r="N12" s="7" t="n">
        <v>0.05</v>
      </c>
      <c r="O12" s="7" t="n">
        <v>100</v>
      </c>
      <c r="P12" s="7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7" t="s">
        <v>632</v>
      </c>
      <c r="D13" s="13" t="s">
        <v>637</v>
      </c>
      <c r="E13" s="7" t="s">
        <v>207</v>
      </c>
      <c r="F13" s="7" t="n">
        <v>0.999</v>
      </c>
      <c r="G13" s="7" t="s">
        <v>634</v>
      </c>
      <c r="H13" s="7" t="s">
        <v>639</v>
      </c>
      <c r="I13" s="7" t="n">
        <v>0</v>
      </c>
      <c r="J13" s="7" t="n">
        <v>4</v>
      </c>
      <c r="K13" s="7" t="n">
        <v>0.05</v>
      </c>
      <c r="L13" s="7" t="n">
        <v>50</v>
      </c>
      <c r="M13" s="7" t="n">
        <v>3</v>
      </c>
      <c r="N13" s="7" t="n">
        <v>0.05</v>
      </c>
      <c r="O13" s="7" t="n">
        <v>100</v>
      </c>
      <c r="P13" s="7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7" t="s">
        <v>632</v>
      </c>
      <c r="D14" s="7" t="s">
        <v>633</v>
      </c>
      <c r="E14" s="7" t="s">
        <v>207</v>
      </c>
      <c r="F14" s="7" t="n">
        <v>0.999</v>
      </c>
      <c r="G14" s="7" t="s">
        <v>634</v>
      </c>
      <c r="H14" s="7" t="s">
        <v>639</v>
      </c>
      <c r="I14" s="7" t="n">
        <v>0</v>
      </c>
      <c r="J14" s="7" t="n">
        <v>3</v>
      </c>
      <c r="K14" s="7" t="n">
        <v>0.05</v>
      </c>
      <c r="L14" s="7" t="n">
        <v>50</v>
      </c>
      <c r="M14" s="7" t="n">
        <v>3</v>
      </c>
      <c r="N14" s="7" t="n">
        <v>0.05</v>
      </c>
      <c r="O14" s="7" t="n">
        <v>100</v>
      </c>
      <c r="P14" s="7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7" t="s">
        <v>632</v>
      </c>
      <c r="D15" s="7" t="s">
        <v>633</v>
      </c>
      <c r="E15" s="7" t="s">
        <v>207</v>
      </c>
      <c r="F15" s="7" t="n">
        <v>0.999</v>
      </c>
      <c r="G15" s="7" t="s">
        <v>634</v>
      </c>
      <c r="H15" s="7" t="s">
        <v>639</v>
      </c>
      <c r="I15" s="7" t="n">
        <v>0</v>
      </c>
      <c r="J15" s="7" t="n">
        <v>3</v>
      </c>
      <c r="K15" s="7" t="n">
        <v>0.05</v>
      </c>
      <c r="L15" s="7" t="n">
        <v>50</v>
      </c>
      <c r="M15" s="7" t="n">
        <v>3</v>
      </c>
      <c r="N15" s="7" t="n">
        <v>0.05</v>
      </c>
      <c r="O15" s="7" t="n">
        <v>100</v>
      </c>
      <c r="P15" s="7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7" t="s">
        <v>632</v>
      </c>
      <c r="D16" s="7" t="s">
        <v>637</v>
      </c>
      <c r="E16" s="7" t="s">
        <v>207</v>
      </c>
      <c r="F16" s="7" t="n">
        <v>0.995</v>
      </c>
      <c r="G16" s="7" t="s">
        <v>634</v>
      </c>
      <c r="H16" s="7" t="s">
        <v>639</v>
      </c>
      <c r="I16" s="7" t="n">
        <v>0</v>
      </c>
      <c r="J16" s="7" t="n">
        <v>3</v>
      </c>
      <c r="K16" s="7" t="n">
        <v>0.05</v>
      </c>
      <c r="L16" s="7" t="n">
        <v>30</v>
      </c>
      <c r="M16" s="7" t="n">
        <v>0</v>
      </c>
      <c r="N16" s="7" t="n">
        <v>0</v>
      </c>
      <c r="O16" s="7" t="n">
        <v>0</v>
      </c>
      <c r="P16" s="7" t="n">
        <v>1.6</v>
      </c>
      <c r="Q16" s="1" t="s">
        <v>651</v>
      </c>
    </row>
    <row r="18" ht="15" customHeight="1">
      <c r="A18" s="10" t="s">
        <v>652</v>
      </c>
    </row>
    <row r="19" ht="15" customHeight="1">
      <c r="A19" s="6" t="s">
        <v>653</v>
      </c>
    </row>
    <row r="20" ht="15" customHeight="1">
      <c r="A20" s="6" t="s">
        <v>654</v>
      </c>
    </row>
    <row r="21" ht="15" customHeight="1">
      <c r="A21" s="6" t="s">
        <v>655</v>
      </c>
    </row>
    <row r="22" ht="15" customHeight="1">
      <c r="A22" s="6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191</v>
      </c>
      <c r="D1" s="3" t="s">
        <v>657</v>
      </c>
      <c r="E1" s="3" t="s">
        <v>29</v>
      </c>
    </row>
    <row r="2" ht="15" customHeight="1">
      <c r="A2" s="7" t="s">
        <v>30</v>
      </c>
      <c r="B2" s="7" t="s">
        <v>31</v>
      </c>
      <c r="C2" s="7" t="s">
        <v>267</v>
      </c>
      <c r="D2" s="7" t="s">
        <v>658</v>
      </c>
      <c r="E2" s="1" t="s">
        <v>659</v>
      </c>
    </row>
    <row r="3" ht="23.85" customHeight="1">
      <c r="A3" s="7" t="s">
        <v>30</v>
      </c>
      <c r="B3" s="7" t="s">
        <v>35</v>
      </c>
      <c r="C3" s="7" t="s">
        <v>267</v>
      </c>
      <c r="D3" s="7" t="s">
        <v>658</v>
      </c>
      <c r="E3" s="1" t="s">
        <v>660</v>
      </c>
    </row>
    <row r="4" ht="15" customHeight="1">
      <c r="A4" s="7" t="s">
        <v>30</v>
      </c>
      <c r="B4" s="7" t="s">
        <v>34</v>
      </c>
      <c r="C4" s="7" t="s">
        <v>267</v>
      </c>
      <c r="D4" s="7" t="s">
        <v>661</v>
      </c>
      <c r="E4" s="1" t="s">
        <v>662</v>
      </c>
    </row>
    <row r="5" ht="15" customHeight="1">
      <c r="A5" s="7" t="s">
        <v>36</v>
      </c>
      <c r="B5" s="7" t="s">
        <v>42</v>
      </c>
      <c r="C5" s="7" t="s">
        <v>529</v>
      </c>
      <c r="D5" s="7" t="s">
        <v>663</v>
      </c>
      <c r="E5" s="1" t="s">
        <v>664</v>
      </c>
    </row>
    <row r="6" ht="15" customHeight="1">
      <c r="A6" s="7" t="s">
        <v>43</v>
      </c>
      <c r="B6" s="7" t="s">
        <v>42</v>
      </c>
      <c r="C6" s="7" t="s">
        <v>529</v>
      </c>
      <c r="D6" s="7" t="s">
        <v>663</v>
      </c>
      <c r="E6" s="1" t="s">
        <v>664</v>
      </c>
    </row>
    <row r="8" ht="15" customHeight="1">
      <c r="A8" s="6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3" t="s">
        <v>666</v>
      </c>
      <c r="B1" s="3" t="s">
        <v>667</v>
      </c>
      <c r="C1" s="3" t="s">
        <v>668</v>
      </c>
    </row>
    <row r="2" ht="15" customHeight="1">
      <c r="A2" s="1" t="s">
        <v>669</v>
      </c>
      <c r="B2" s="7" t="s">
        <v>670</v>
      </c>
      <c r="C2" s="1" t="s">
        <v>671</v>
      </c>
    </row>
    <row r="3" ht="15" customHeight="1">
      <c r="A3" s="1" t="s">
        <v>672</v>
      </c>
      <c r="B3" s="7" t="s">
        <v>673</v>
      </c>
      <c r="C3" s="1" t="s">
        <v>674</v>
      </c>
    </row>
    <row r="4" ht="15" customHeight="1">
      <c r="A4" s="1" t="s">
        <v>675</v>
      </c>
      <c r="B4" s="7" t="s">
        <v>676</v>
      </c>
      <c r="C4" s="1" t="s">
        <v>677</v>
      </c>
    </row>
    <row r="5" ht="15" customHeight="1">
      <c r="A5" s="1" t="s">
        <v>678</v>
      </c>
      <c r="B5" s="7" t="s">
        <v>679</v>
      </c>
      <c r="C5" s="1" t="s">
        <v>680</v>
      </c>
    </row>
    <row r="6" ht="15" customHeight="1">
      <c r="A6" s="1" t="s">
        <v>681</v>
      </c>
      <c r="B6" s="7" t="s">
        <v>682</v>
      </c>
      <c r="C6" s="1" t="s">
        <v>683</v>
      </c>
    </row>
    <row r="7" ht="15" customHeight="1">
      <c r="A7" s="1" t="s">
        <v>684</v>
      </c>
      <c r="B7" s="7" t="s">
        <v>685</v>
      </c>
      <c r="C7" s="1" t="s">
        <v>686</v>
      </c>
    </row>
    <row r="8" ht="15" customHeight="1">
      <c r="A8" s="1" t="s">
        <v>687</v>
      </c>
      <c r="B8" s="7" t="s">
        <v>688</v>
      </c>
      <c r="C8" s="1" t="s">
        <v>689</v>
      </c>
    </row>
    <row r="9" ht="15" customHeight="1">
      <c r="A9" s="1" t="s">
        <v>690</v>
      </c>
      <c r="B9" s="7" t="s">
        <v>691</v>
      </c>
      <c r="C9" s="1" t="s">
        <v>692</v>
      </c>
    </row>
    <row r="10" ht="15" customHeight="1">
      <c r="A10" s="1" t="s">
        <v>693</v>
      </c>
      <c r="B10" s="7" t="s">
        <v>694</v>
      </c>
      <c r="C10" s="1" t="s">
        <v>695</v>
      </c>
    </row>
    <row r="11" ht="15" customHeight="1">
      <c r="A11" s="1" t="s">
        <v>696</v>
      </c>
      <c r="B11" s="7" t="s">
        <v>207</v>
      </c>
      <c r="C11" s="1" t="s">
        <v>697</v>
      </c>
    </row>
    <row r="12" ht="15" customHeight="1">
      <c r="A12" s="1" t="s">
        <v>698</v>
      </c>
      <c r="B12" s="7" t="s">
        <v>207</v>
      </c>
      <c r="C12" s="1" t="s">
        <v>699</v>
      </c>
    </row>
    <row r="13" ht="15" customHeight="1">
      <c r="A13" s="1" t="s">
        <v>700</v>
      </c>
      <c r="B13" s="7" t="s">
        <v>701</v>
      </c>
      <c r="C13" s="1" t="s">
        <v>702</v>
      </c>
    </row>
    <row r="14" ht="15" customHeight="1">
      <c r="A14" s="1" t="s">
        <v>703</v>
      </c>
      <c r="B14" s="7" t="s">
        <v>704</v>
      </c>
      <c r="C14" s="1"/>
    </row>
    <row r="15" ht="15" customHeight="1">
      <c r="A15" s="1" t="s">
        <v>705</v>
      </c>
      <c r="B15" s="7" t="s">
        <v>685</v>
      </c>
      <c r="C15" s="1" t="s">
        <v>706</v>
      </c>
    </row>
    <row r="16" ht="15" customHeight="1">
      <c r="A16" s="1" t="s">
        <v>707</v>
      </c>
      <c r="B16" s="7" t="s">
        <v>708</v>
      </c>
      <c r="C16" s="1" t="s">
        <v>709</v>
      </c>
    </row>
    <row r="17" ht="15" customHeight="1">
      <c r="A17" s="1" t="s">
        <v>710</v>
      </c>
      <c r="B17" s="7" t="s">
        <v>708</v>
      </c>
      <c r="C17" s="1" t="s">
        <v>711</v>
      </c>
    </row>
    <row r="18" ht="15" customHeight="1">
      <c r="A18" s="1" t="s">
        <v>712</v>
      </c>
      <c r="B18" s="7" t="s">
        <v>713</v>
      </c>
      <c r="C18" s="1" t="s">
        <v>714</v>
      </c>
    </row>
    <row r="19" ht="15" customHeight="1">
      <c r="A19" s="1" t="s">
        <v>715</v>
      </c>
      <c r="B19" s="7" t="s">
        <v>716</v>
      </c>
      <c r="C19" s="1" t="s">
        <v>717</v>
      </c>
    </row>
    <row r="20" ht="23.85" customHeight="1">
      <c r="A20" s="1" t="s">
        <v>718</v>
      </c>
      <c r="B20" s="7" t="s">
        <v>719</v>
      </c>
      <c r="C20" s="1" t="s">
        <v>720</v>
      </c>
    </row>
    <row r="21" ht="15" customHeight="1">
      <c r="A21" s="1" t="s">
        <v>721</v>
      </c>
      <c r="B21" s="7" t="s">
        <v>722</v>
      </c>
      <c r="C21" s="1" t="s">
        <v>723</v>
      </c>
    </row>
    <row r="22" ht="15" customHeight="1">
      <c r="A22" s="1" t="s">
        <v>724</v>
      </c>
      <c r="B22" s="7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713</v>
      </c>
      <c r="C25" s="14" t="s">
        <v>801</v>
      </c>
    </row>
    <row r="26">
      <c r="A26" s="14" t="s">
        <v>802</v>
      </c>
      <c r="B26" s="14" t="s">
        <v>803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3" t="s">
        <v>191</v>
      </c>
      <c r="B1" s="3" t="s">
        <v>192</v>
      </c>
      <c r="C1" s="3" t="s">
        <v>194</v>
      </c>
      <c r="D1" s="3" t="s">
        <v>195</v>
      </c>
      <c r="E1" s="3" t="s">
        <v>30</v>
      </c>
      <c r="F1" s="3" t="s">
        <v>36</v>
      </c>
      <c r="G1" s="3" t="s">
        <v>43</v>
      </c>
      <c r="H1" s="3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1" t="str">
        <f aca="false">IFERROR(INDEX(Features_Motor!$F:$F,MATCH($A21,Features_Motor!$A:$A,0)),"n/a")</f>
        <v>Include</v>
      </c>
      <c r="F21" s="11" t="str">
        <f aca="false">IFERROR(INDEX(Features_Buildings!$F:$F,MATCH($A21,Features_Buildings!$A:$A,0)),"n/a")</f>
        <v>n/a</v>
      </c>
      <c r="G21" s="11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1" t="str">
        <f aca="false">IFERROR(INDEX(Features_Motor!$F:$F,MATCH($A22,Features_Motor!$A:$A,0)),"n/a")</f>
        <v>Include</v>
      </c>
      <c r="F22" s="11" t="str">
        <f aca="false">IFERROR(INDEX(Features_Buildings!$F:$F,MATCH($A22,Features_Buildings!$A:$A,0)),"n/a")</f>
        <v>n/a</v>
      </c>
      <c r="G22" s="11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1" t="str">
        <f aca="false">IFERROR(INDEX(Features_Motor!$F:$F,MATCH($A23,Features_Motor!$A:$A,0)),"n/a")</f>
        <v>Include</v>
      </c>
      <c r="F23" s="11" t="str">
        <f aca="false">IFERROR(INDEX(Features_Buildings!$F:$F,MATCH($A23,Features_Buildings!$A:$A,0)),"n/a")</f>
        <v>n/a</v>
      </c>
      <c r="G23" s="11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1" t="str">
        <f aca="false">IFERROR(INDEX(Features_Motor!$F:$F,MATCH($A24,Features_Motor!$A:$A,0)),"n/a")</f>
        <v>Include</v>
      </c>
      <c r="F24" s="11" t="str">
        <f aca="false">IFERROR(INDEX(Features_Buildings!$F:$F,MATCH($A24,Features_Buildings!$A:$A,0)),"n/a")</f>
        <v>n/a</v>
      </c>
      <c r="G24" s="11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1" t="str">
        <f aca="false">IFERROR(INDEX(Features_Motor!$F:$F,MATCH($A25,Features_Motor!$A:$A,0)),"n/a")</f>
        <v>Include</v>
      </c>
      <c r="F25" s="11" t="str">
        <f aca="false">IFERROR(INDEX(Features_Buildings!$F:$F,MATCH($A25,Features_Buildings!$A:$A,0)),"n/a")</f>
        <v>n/a</v>
      </c>
      <c r="G25" s="11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1" t="str">
        <f aca="false">IFERROR(INDEX(Features_Motor!$F:$F,MATCH($A26,Features_Motor!$A:$A,0)),"n/a")</f>
        <v>Test</v>
      </c>
      <c r="F26" s="11" t="str">
        <f aca="false">IFERROR(INDEX(Features_Buildings!$F:$F,MATCH($A26,Features_Buildings!$A:$A,0)),"n/a")</f>
        <v>n/a</v>
      </c>
      <c r="G26" s="11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1" t="str">
        <f aca="false">IFERROR(INDEX(Features_Motor!$F:$F,MATCH($A27,Features_Motor!$A:$A,0)),"n/a")</f>
        <v>Include</v>
      </c>
      <c r="F27" s="11" t="str">
        <f aca="false">IFERROR(INDEX(Features_Buildings!$F:$F,MATCH($A27,Features_Buildings!$A:$A,0)),"n/a")</f>
        <v>n/a</v>
      </c>
      <c r="G27" s="11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1" t="str">
        <f aca="false">IFERROR(INDEX(Features_Motor!$F:$F,MATCH($A28,Features_Motor!$A:$A,0)),"n/a")</f>
        <v>Include</v>
      </c>
      <c r="F28" s="11" t="str">
        <f aca="false">IFERROR(INDEX(Features_Buildings!$F:$F,MATCH($A28,Features_Buildings!$A:$A,0)),"n/a")</f>
        <v>n/a</v>
      </c>
      <c r="G28" s="11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1" t="str">
        <f aca="false">IFERROR(INDEX(Features_Motor!$F:$F,MATCH($A29,Features_Motor!$A:$A,0)),"n/a")</f>
        <v>Test</v>
      </c>
      <c r="F29" s="11" t="str">
        <f aca="false">IFERROR(INDEX(Features_Buildings!$F:$F,MATCH($A29,Features_Buildings!$A:$A,0)),"n/a")</f>
        <v>n/a</v>
      </c>
      <c r="G29" s="11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1" t="str">
        <f aca="false">IFERROR(INDEX(Features_Motor!$F:$F,MATCH($A30,Features_Motor!$A:$A,0)),"n/a")</f>
        <v>Test</v>
      </c>
      <c r="F30" s="11" t="str">
        <f aca="false">IFERROR(INDEX(Features_Buildings!$F:$F,MATCH($A30,Features_Buildings!$A:$A,0)),"n/a")</f>
        <v>n/a</v>
      </c>
      <c r="G30" s="11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1" t="str">
        <f aca="false">IFERROR(INDEX(Features_Motor!$F:$F,MATCH($A31,Features_Motor!$A:$A,0)),"n/a")</f>
        <v>Exclude</v>
      </c>
      <c r="F31" s="11" t="str">
        <f aca="false">IFERROR(INDEX(Features_Buildings!$F:$F,MATCH($A31,Features_Buildings!$A:$A,0)),"n/a")</f>
        <v>n/a</v>
      </c>
      <c r="G31" s="11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1" t="str">
        <f aca="false">IFERROR(INDEX(Features_Motor!$F:$F,MATCH($A32,Features_Motor!$A:$A,0)),"n/a")</f>
        <v>Test</v>
      </c>
      <c r="F32" s="11" t="str">
        <f aca="false">IFERROR(INDEX(Features_Buildings!$F:$F,MATCH($A32,Features_Buildings!$A:$A,0)),"n/a")</f>
        <v>n/a</v>
      </c>
      <c r="G32" s="11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1" t="str">
        <f aca="false">IFERROR(INDEX(Features_Motor!$F:$F,MATCH($A33,Features_Motor!$A:$A,0)),"n/a")</f>
        <v>Include</v>
      </c>
      <c r="F33" s="11" t="str">
        <f aca="false">IFERROR(INDEX(Features_Buildings!$F:$F,MATCH($A33,Features_Buildings!$A:$A,0)),"n/a")</f>
        <v>n/a</v>
      </c>
      <c r="G33" s="11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1" t="str">
        <f aca="false">IFERROR(INDEX(Features_Motor!$F:$F,MATCH($A34,Features_Motor!$A:$A,0)),"n/a")</f>
        <v>Include</v>
      </c>
      <c r="F34" s="11" t="str">
        <f aca="false">IFERROR(INDEX(Features_Buildings!$F:$F,MATCH($A34,Features_Buildings!$A:$A,0)),"n/a")</f>
        <v>n/a</v>
      </c>
      <c r="G34" s="11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1" t="str">
        <f aca="false">IFERROR(INDEX(Features_Motor!$F:$F,MATCH($A35,Features_Motor!$A:$A,0)),"n/a")</f>
        <v>Include</v>
      </c>
      <c r="F35" s="11" t="str">
        <f aca="false">IFERROR(INDEX(Features_Buildings!$F:$F,MATCH($A35,Features_Buildings!$A:$A,0)),"n/a")</f>
        <v>n/a</v>
      </c>
      <c r="G35" s="11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1" t="str">
        <f aca="false">IFERROR(INDEX(Features_Motor!$F:$F,MATCH($A36,Features_Motor!$A:$A,0)),"n/a")</f>
        <v>Include</v>
      </c>
      <c r="F36" s="11" t="str">
        <f aca="false">IFERROR(INDEX(Features_Buildings!$F:$F,MATCH($A36,Features_Buildings!$A:$A,0)),"n/a")</f>
        <v>n/a</v>
      </c>
      <c r="G36" s="11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1" t="str">
        <f aca="false">IFERROR(INDEX(Features_Motor!$F:$F,MATCH($A37,Features_Motor!$A:$A,0)),"n/a")</f>
        <v>Include</v>
      </c>
      <c r="F37" s="11" t="str">
        <f aca="false">IFERROR(INDEX(Features_Buildings!$F:$F,MATCH($A37,Features_Buildings!$A:$A,0)),"n/a")</f>
        <v>n/a</v>
      </c>
      <c r="G37" s="11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1" t="str">
        <f aca="false">IFERROR(INDEX(Features_Motor!$F:$F,MATCH($A38,Features_Motor!$A:$A,0)),"n/a")</f>
        <v>Include</v>
      </c>
      <c r="F38" s="11" t="str">
        <f aca="false">IFERROR(INDEX(Features_Buildings!$F:$F,MATCH($A38,Features_Buildings!$A:$A,0)),"n/a")</f>
        <v>n/a</v>
      </c>
      <c r="G38" s="11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1" t="str">
        <f aca="false">IFERROR(INDEX(Features_Motor!$F:$F,MATCH($A39,Features_Motor!$A:$A,0)),"n/a")</f>
        <v>Test</v>
      </c>
      <c r="F39" s="11" t="str">
        <f aca="false">IFERROR(INDEX(Features_Buildings!$F:$F,MATCH($A39,Features_Buildings!$A:$A,0)),"n/a")</f>
        <v>n/a</v>
      </c>
      <c r="G39" s="11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1" t="str">
        <f aca="false">IFERROR(INDEX(Features_Motor!$F:$F,MATCH($A40,Features_Motor!$A:$A,0)),"n/a")</f>
        <v>Test</v>
      </c>
      <c r="F40" s="11" t="str">
        <f aca="false">IFERROR(INDEX(Features_Buildings!$F:$F,MATCH($A40,Features_Buildings!$A:$A,0)),"n/a")</f>
        <v>n/a</v>
      </c>
      <c r="G40" s="11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1" t="str">
        <f aca="false">IFERROR(INDEX(Features_Motor!$F:$F,MATCH($A41,Features_Motor!$A:$A,0)),"n/a")</f>
        <v>n/a</v>
      </c>
      <c r="F41" s="11" t="str">
        <f aca="false">IFERROR(INDEX(Features_Buildings!$F:$F,MATCH($A41,Features_Buildings!$A:$A,0)),"n/a")</f>
        <v>Test</v>
      </c>
      <c r="G41" s="11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1" t="str">
        <f aca="false">IFERROR(INDEX(Features_Motor!$F:$F,MATCH($A42,Features_Motor!$A:$A,0)),"n/a")</f>
        <v>n/a</v>
      </c>
      <c r="F42" s="11" t="str">
        <f aca="false">IFERROR(INDEX(Features_Buildings!$F:$F,MATCH($A42,Features_Buildings!$A:$A,0)),"n/a")</f>
        <v>Include</v>
      </c>
      <c r="G42" s="11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1" t="str">
        <f aca="false">IFERROR(INDEX(Features_Motor!$F:$F,MATCH($A43,Features_Motor!$A:$A,0)),"n/a")</f>
        <v>n/a</v>
      </c>
      <c r="F43" s="11" t="str">
        <f aca="false">IFERROR(INDEX(Features_Buildings!$F:$F,MATCH($A43,Features_Buildings!$A:$A,0)),"n/a")</f>
        <v>Include</v>
      </c>
      <c r="G43" s="11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1" t="str">
        <f aca="false">IFERROR(INDEX(Features_Motor!$F:$F,MATCH($A44,Features_Motor!$A:$A,0)),"n/a")</f>
        <v>n/a</v>
      </c>
      <c r="F44" s="11" t="str">
        <f aca="false">IFERROR(INDEX(Features_Buildings!$F:$F,MATCH($A44,Features_Buildings!$A:$A,0)),"n/a")</f>
        <v>Include</v>
      </c>
      <c r="G44" s="11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1" t="str">
        <f aca="false">IFERROR(INDEX(Features_Motor!$F:$F,MATCH($A45,Features_Motor!$A:$A,0)),"n/a")</f>
        <v>n/a</v>
      </c>
      <c r="F45" s="11" t="str">
        <f aca="false">IFERROR(INDEX(Features_Buildings!$F:$F,MATCH($A45,Features_Buildings!$A:$A,0)),"n/a")</f>
        <v>Include</v>
      </c>
      <c r="G45" s="11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1" t="str">
        <f aca="false">IFERROR(INDEX(Features_Motor!$F:$F,MATCH($A46,Features_Motor!$A:$A,0)),"n/a")</f>
        <v>n/a</v>
      </c>
      <c r="F46" s="11" t="str">
        <f aca="false">IFERROR(INDEX(Features_Buildings!$F:$F,MATCH($A46,Features_Buildings!$A:$A,0)),"n/a")</f>
        <v>Include</v>
      </c>
      <c r="G46" s="11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1" t="str">
        <f aca="false">IFERROR(INDEX(Features_Motor!$F:$F,MATCH($A47,Features_Motor!$A:$A,0)),"n/a")</f>
        <v>n/a</v>
      </c>
      <c r="F47" s="11" t="str">
        <f aca="false">IFERROR(INDEX(Features_Buildings!$F:$F,MATCH($A47,Features_Buildings!$A:$A,0)),"n/a")</f>
        <v>Include</v>
      </c>
      <c r="G47" s="11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1" t="str">
        <f aca="false">IFERROR(INDEX(Features_Motor!$F:$F,MATCH($A48,Features_Motor!$A:$A,0)),"n/a")</f>
        <v>n/a</v>
      </c>
      <c r="F48" s="11" t="str">
        <f aca="false">IFERROR(INDEX(Features_Buildings!$F:$F,MATCH($A48,Features_Buildings!$A:$A,0)),"n/a")</f>
        <v>Exclude</v>
      </c>
      <c r="G48" s="11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1" t="str">
        <f aca="false">IFERROR(INDEX(Features_Motor!$F:$F,MATCH($A49,Features_Motor!$A:$A,0)),"n/a")</f>
        <v>n/a</v>
      </c>
      <c r="F49" s="11" t="str">
        <f aca="false">IFERROR(INDEX(Features_Buildings!$F:$F,MATCH($A49,Features_Buildings!$A:$A,0)),"n/a")</f>
        <v>n/a</v>
      </c>
      <c r="G49" s="11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1" t="str">
        <f aca="false">IFERROR(INDEX(Features_Motor!$F:$F,MATCH($A50,Features_Motor!$A:$A,0)),"n/a")</f>
        <v>n/a</v>
      </c>
      <c r="F50" s="11" t="str">
        <f aca="false">IFERROR(INDEX(Features_Buildings!$F:$F,MATCH($A50,Features_Buildings!$A:$A,0)),"n/a")</f>
        <v>n/a</v>
      </c>
      <c r="G50" s="11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1" t="str">
        <f aca="false">IFERROR(INDEX(Features_Motor!$F:$F,MATCH($A51,Features_Motor!$A:$A,0)),"n/a")</f>
        <v>n/a</v>
      </c>
      <c r="F51" s="11" t="str">
        <f aca="false">IFERROR(INDEX(Features_Buildings!$F:$F,MATCH($A51,Features_Buildings!$A:$A,0)),"n/a")</f>
        <v>n/a</v>
      </c>
      <c r="G51" s="11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1" t="str">
        <f aca="false">IFERROR(INDEX(Features_Motor!$F:$F,MATCH($A52,Features_Motor!$A:$A,0)),"n/a")</f>
        <v>n/a</v>
      </c>
      <c r="F52" s="11" t="str">
        <f aca="false">IFERROR(INDEX(Features_Buildings!$F:$F,MATCH($A52,Features_Buildings!$A:$A,0)),"n/a")</f>
        <v>n/a</v>
      </c>
      <c r="G52" s="11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1" t="str">
        <f aca="false">IFERROR(INDEX(Features_Motor!$F:$F,MATCH($A53,Features_Motor!$A:$A,0)),"n/a")</f>
        <v>n/a</v>
      </c>
      <c r="F53" s="11" t="str">
        <f aca="false">IFERROR(INDEX(Features_Buildings!$F:$F,MATCH($A53,Features_Buildings!$A:$A,0)),"n/a")</f>
        <v>n/a</v>
      </c>
      <c r="G53" s="11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1" t="str">
        <f aca="false">IFERROR(INDEX(Features_Motor!$F:$F,MATCH($A54,Features_Motor!$A:$A,0)),"n/a")</f>
        <v>n/a</v>
      </c>
      <c r="F54" s="11" t="str">
        <f aca="false">IFERROR(INDEX(Features_Buildings!$F:$F,MATCH($A54,Features_Buildings!$A:$A,0)),"n/a")</f>
        <v>n/a</v>
      </c>
      <c r="G54" s="11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1" t="str">
        <f aca="false">IFERROR(INDEX(Features_Motor!$F:$F,MATCH($A55,Features_Motor!$A:$A,0)),"n/a")</f>
        <v>Include</v>
      </c>
      <c r="F55" s="11" t="str">
        <f aca="false">IFERROR(INDEX(Features_Buildings!$F:$F,MATCH($A55,Features_Buildings!$A:$A,0)),"n/a")</f>
        <v>Include</v>
      </c>
      <c r="G55" s="11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1" t="str">
        <f aca="false">IFERROR(INDEX(Features_Motor!$F:$F,MATCH($A56,Features_Motor!$A:$A,0)),"n/a")</f>
        <v>Include</v>
      </c>
      <c r="F56" s="11" t="str">
        <f aca="false">IFERROR(INDEX(Features_Buildings!$F:$F,MATCH($A56,Features_Buildings!$A:$A,0)),"n/a")</f>
        <v>Include</v>
      </c>
      <c r="G56" s="11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1" t="str">
        <f aca="false">IFERROR(INDEX(Features_Motor!$F:$F,MATCH($A57,Features_Motor!$A:$A,0)),"n/a")</f>
        <v>Test</v>
      </c>
      <c r="F57" s="11" t="str">
        <f aca="false">IFERROR(INDEX(Features_Buildings!$F:$F,MATCH($A57,Features_Buildings!$A:$A,0)),"n/a")</f>
        <v>Test</v>
      </c>
      <c r="G57" s="11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1" t="str">
        <f aca="false">IFERROR(INDEX(Features_Motor!$F:$F,MATCH($A58,Features_Motor!$A:$A,0)),"n/a")</f>
        <v>Test</v>
      </c>
      <c r="F58" s="11" t="str">
        <f aca="false">IFERROR(INDEX(Features_Buildings!$F:$F,MATCH($A58,Features_Buildings!$A:$A,0)),"n/a")</f>
        <v>Test</v>
      </c>
      <c r="G58" s="11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1" t="str">
        <f aca="false">IFERROR(INDEX(Features_Motor!$F:$F,MATCH($A59,Features_Motor!$A:$A,0)),"n/a")</f>
        <v>Test</v>
      </c>
      <c r="F59" s="11" t="str">
        <f aca="false">IFERROR(INDEX(Features_Buildings!$F:$F,MATCH($A59,Features_Buildings!$A:$A,0)),"n/a")</f>
        <v>Test</v>
      </c>
      <c r="G59" s="11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1" t="str">
        <f aca="false">IFERROR(INDEX(Features_Motor!$F:$F,MATCH($A60,Features_Motor!$A:$A,0)),"n/a")</f>
        <v>Test</v>
      </c>
      <c r="F60" s="11" t="str">
        <f aca="false">IFERROR(INDEX(Features_Buildings!$F:$F,MATCH($A60,Features_Buildings!$A:$A,0)),"n/a")</f>
        <v>Test</v>
      </c>
      <c r="G60" s="11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1" t="str">
        <f aca="false">IFERROR(INDEX(Features_Motor!$F:$F,MATCH($A61,Features_Motor!$A:$A,0)),"n/a")</f>
        <v>Test</v>
      </c>
      <c r="F61" s="11" t="str">
        <f aca="false">IFERROR(INDEX(Features_Buildings!$F:$F,MATCH($A61,Features_Buildings!$A:$A,0)),"n/a")</f>
        <v>Test</v>
      </c>
      <c r="G61" s="11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1" t="str">
        <f aca="false">IFERROR(INDEX(Features_Motor!$F:$F,MATCH($A62,Features_Motor!$A:$A,0)),"n/a")</f>
        <v>Test</v>
      </c>
      <c r="F62" s="11" t="str">
        <f aca="false">IFERROR(INDEX(Features_Buildings!$F:$F,MATCH($A62,Features_Buildings!$A:$A,0)),"n/a")</f>
        <v>Test</v>
      </c>
      <c r="G62" s="11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1" t="str">
        <f aca="false">IFERROR(INDEX(Features_Motor!$F:$F,MATCH($A63,Features_Motor!$A:$A,0)),"n/a")</f>
        <v>Exclude</v>
      </c>
      <c r="F63" s="11" t="str">
        <f aca="false">IFERROR(INDEX(Features_Buildings!$F:$F,MATCH($A63,Features_Buildings!$A:$A,0)),"n/a")</f>
        <v>Exclude</v>
      </c>
      <c r="G63" s="11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1" t="str">
        <f aca="false">IFERROR(INDEX(Features_Motor!$F:$F,MATCH($A64,Features_Motor!$A:$A,0)),"n/a")</f>
        <v>Exclude</v>
      </c>
      <c r="F64" s="11" t="str">
        <f aca="false">IFERROR(INDEX(Features_Buildings!$F:$F,MATCH($A64,Features_Buildings!$A:$A,0)),"n/a")</f>
        <v>Exclude</v>
      </c>
      <c r="G64" s="11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1" t="str">
        <f aca="false">IFERROR(INDEX(Features_Motor!$F:$F,MATCH($A65,Features_Motor!$A:$A,0)),"n/a")</f>
        <v>n/a</v>
      </c>
      <c r="F65" s="11" t="str">
        <f aca="false">IFERROR(INDEX(Features_Buildings!$F:$F,MATCH($A65,Features_Buildings!$A:$A,0)),"n/a")</f>
        <v>n/a</v>
      </c>
      <c r="G65" s="11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1" t="str">
        <f aca="false">IFERROR(INDEX(Features_Motor!$F:$F,MATCH($A66,Features_Motor!$A:$A,0)),"n/a")</f>
        <v>Test</v>
      </c>
      <c r="F66" s="11" t="str">
        <f aca="false">IFERROR(INDEX(Features_Buildings!$F:$F,MATCH($A66,Features_Buildings!$A:$A,0)),"n/a")</f>
        <v>Exclude</v>
      </c>
      <c r="G66" s="11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1" t="str">
        <f aca="false">IFERROR(INDEX(Features_Motor!$F:$F,MATCH($A67,Features_Motor!$A:$A,0)),"n/a")</f>
        <v>Test</v>
      </c>
      <c r="F67" s="11" t="str">
        <f aca="false">IFERROR(INDEX(Features_Buildings!$F:$F,MATCH($A67,Features_Buildings!$A:$A,0)),"n/a")</f>
        <v>Exclude</v>
      </c>
      <c r="G67" s="11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1" t="str">
        <f aca="false">IFERROR(INDEX(Features_Motor!$F:$F,MATCH($A68,Features_Motor!$A:$A,0)),"n/a")</f>
        <v>Exclude</v>
      </c>
      <c r="F68" s="11" t="str">
        <f aca="false">IFERROR(INDEX(Features_Buildings!$F:$F,MATCH($A68,Features_Buildings!$A:$A,0)),"n/a")</f>
        <v>Test</v>
      </c>
      <c r="G68" s="11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1" t="str">
        <f aca="false">IFERROR(INDEX(Features_Motor!$F:$F,MATCH($A69,Features_Motor!$A:$A,0)),"n/a")</f>
        <v>Test</v>
      </c>
      <c r="F69" s="11" t="str">
        <f aca="false">IFERROR(INDEX(Features_Buildings!$F:$F,MATCH($A69,Features_Buildings!$A:$A,0)),"n/a")</f>
        <v>Test</v>
      </c>
      <c r="G69" s="11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1" t="str">
        <f aca="false">IFERROR(INDEX(Features_Motor!$F:$F,MATCH($A70,Features_Motor!$A:$A,0)),"n/a")</f>
        <v>Include</v>
      </c>
      <c r="F70" s="11" t="str">
        <f aca="false">IFERROR(INDEX(Features_Buildings!$F:$F,MATCH($A70,Features_Buildings!$A:$A,0)),"n/a")</f>
        <v>Include</v>
      </c>
      <c r="G70" s="11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1" t="str">
        <f aca="false">IFERROR(INDEX(Features_Motor!$F:$F,MATCH($A71,Features_Motor!$A:$A,0)),"n/a")</f>
        <v>Include</v>
      </c>
      <c r="F71" s="11" t="str">
        <f aca="false">IFERROR(INDEX(Features_Buildings!$F:$F,MATCH($A71,Features_Buildings!$A:$A,0)),"n/a")</f>
        <v>Exclude</v>
      </c>
      <c r="G71" s="11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1" t="str">
        <f aca="false">IFERROR(INDEX(Features_Motor!$F:$F,MATCH($A72,Features_Motor!$A:$A,0)),"n/a")</f>
        <v>Test</v>
      </c>
      <c r="F72" s="11" t="str">
        <f aca="false">IFERROR(INDEX(Features_Buildings!$F:$F,MATCH($A72,Features_Buildings!$A:$A,0)),"n/a")</f>
        <v>Test</v>
      </c>
      <c r="G72" s="11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1" t="str">
        <f aca="false">IFERROR(INDEX(Features_Motor!$F:$F,MATCH($A73,Features_Motor!$A:$A,0)),"n/a")</f>
        <v>Exclude</v>
      </c>
      <c r="F73" s="11" t="str">
        <f aca="false">IFERROR(INDEX(Features_Buildings!$F:$F,MATCH($A73,Features_Buildings!$A:$A,0)),"n/a")</f>
        <v>Exclude</v>
      </c>
      <c r="G73" s="11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1" t="str">
        <f aca="false">IFERROR(INDEX(Features_Motor!$F:$F,MATCH($A74,Features_Motor!$A:$A,0)),"n/a")</f>
        <v>Exclude</v>
      </c>
      <c r="F74" s="11" t="str">
        <f aca="false">IFERROR(INDEX(Features_Buildings!$F:$F,MATCH($A74,Features_Buildings!$A:$A,0)),"n/a")</f>
        <v>Exclude</v>
      </c>
      <c r="G74" s="11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1" t="str">
        <f aca="false">IFERROR(INDEX(Features_Motor!$F:$F,MATCH($A75,Features_Motor!$A:$A,0)),"n/a")</f>
        <v>Exclude</v>
      </c>
      <c r="F75" s="11" t="str">
        <f aca="false">IFERROR(INDEX(Features_Buildings!$F:$F,MATCH($A75,Features_Buildings!$A:$A,0)),"n/a")</f>
        <v>Exclude</v>
      </c>
      <c r="G75" s="11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1" t="str">
        <f aca="false">IFERROR(INDEX(Features_Motor!$F:$F,MATCH($A76,Features_Motor!$A:$A,0)),"n/a")</f>
        <v>Exclude</v>
      </c>
      <c r="F76" s="11" t="str">
        <f aca="false">IFERROR(INDEX(Features_Buildings!$F:$F,MATCH($A76,Features_Buildings!$A:$A,0)),"n/a")</f>
        <v>Exclude</v>
      </c>
      <c r="G76" s="11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1" t="str">
        <f aca="false">IFERROR(INDEX(Features_Motor!$F:$F,MATCH($A77,Features_Motor!$A:$A,0)),"n/a")</f>
        <v>Exclude</v>
      </c>
      <c r="F77" s="11" t="str">
        <f aca="false">IFERROR(INDEX(Features_Buildings!$F:$F,MATCH($A77,Features_Buildings!$A:$A,0)),"n/a")</f>
        <v>Exclude</v>
      </c>
      <c r="G77" s="11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1" t="str">
        <f aca="false">IFERROR(INDEX(Features_Motor!$F:$F,MATCH($A78,Features_Motor!$A:$A,0)),"n/a")</f>
        <v>Exclude</v>
      </c>
      <c r="F78" s="11" t="str">
        <f aca="false">IFERROR(INDEX(Features_Buildings!$F:$F,MATCH($A78,Features_Buildings!$A:$A,0)),"n/a")</f>
        <v>Exclude</v>
      </c>
      <c r="G78" s="11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1" t="str">
        <f aca="false">IFERROR(INDEX(Features_Motor!$F:$F,MATCH($A79,Features_Motor!$A:$A,0)),"n/a")</f>
        <v>Exclude</v>
      </c>
      <c r="F79" s="11" t="str">
        <f aca="false">IFERROR(INDEX(Features_Buildings!$F:$F,MATCH($A79,Features_Buildings!$A:$A,0)),"n/a")</f>
        <v>Exclude</v>
      </c>
      <c r="G79" s="11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1" t="str">
        <f aca="false">IFERROR(INDEX(Features_Motor!$F:$F,MATCH($A80,Features_Motor!$A:$A,0)),"n/a")</f>
        <v>Exclude</v>
      </c>
      <c r="F80" s="11" t="str">
        <f aca="false">IFERROR(INDEX(Features_Buildings!$F:$F,MATCH($A80,Features_Buildings!$A:$A,0)),"n/a")</f>
        <v>Exclude</v>
      </c>
      <c r="G80" s="11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1" t="str">
        <f aca="false">IFERROR(INDEX(Features_Motor!$F:$F,MATCH($A81,Features_Motor!$A:$A,0)),"n/a")</f>
        <v>Include</v>
      </c>
      <c r="F81" s="11" t="str">
        <f aca="false">IFERROR(INDEX(Features_Buildings!$F:$F,MATCH($A81,Features_Buildings!$A:$A,0)),"n/a")</f>
        <v>Include</v>
      </c>
      <c r="G81" s="11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1" t="str">
        <f aca="false">IFERROR(INDEX(Features_Motor!$F:$F,MATCH($A82,Features_Motor!$A:$A,0)),"n/a")</f>
        <v>Include</v>
      </c>
      <c r="F82" s="11" t="str">
        <f aca="false">IFERROR(INDEX(Features_Buildings!$F:$F,MATCH($A82,Features_Buildings!$A:$A,0)),"n/a")</f>
        <v>Test</v>
      </c>
      <c r="G82" s="11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1" t="str">
        <f aca="false">IFERROR(INDEX(Features_Motor!$F:$F,MATCH($A83,Features_Motor!$A:$A,0)),"n/a")</f>
        <v>Exclude</v>
      </c>
      <c r="F83" s="11" t="str">
        <f aca="false">IFERROR(INDEX(Features_Buildings!$F:$F,MATCH($A83,Features_Buildings!$A:$A,0)),"n/a")</f>
        <v>Include</v>
      </c>
      <c r="G83" s="11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1" t="str">
        <f aca="false">IFERROR(INDEX(Features_Motor!$F:$F,MATCH($A84,Features_Motor!$A:$A,0)),"n/a")</f>
        <v>Exclude</v>
      </c>
      <c r="F84" s="11" t="str">
        <f aca="false">IFERROR(INDEX(Features_Buildings!$F:$F,MATCH($A84,Features_Buildings!$A:$A,0)),"n/a")</f>
        <v>Include</v>
      </c>
      <c r="G84" s="11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1" t="str">
        <f aca="false">IFERROR(INDEX(Features_Motor!$F:$F,MATCH($A85,Features_Motor!$A:$A,0)),"n/a")</f>
        <v>Exclude</v>
      </c>
      <c r="F85" s="11" t="str">
        <f aca="false">IFERROR(INDEX(Features_Buildings!$F:$F,MATCH($A85,Features_Buildings!$A:$A,0)),"n/a")</f>
        <v>Include</v>
      </c>
      <c r="G85" s="11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1" t="str">
        <f aca="false">IFERROR(INDEX(Features_Motor!$F:$F,MATCH($A86,Features_Motor!$A:$A,0)),"n/a")</f>
        <v>Exclude</v>
      </c>
      <c r="F86" s="11" t="str">
        <f aca="false">IFERROR(INDEX(Features_Buildings!$F:$F,MATCH($A86,Features_Buildings!$A:$A,0)),"n/a")</f>
        <v>Include</v>
      </c>
      <c r="G86" s="11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1" t="str">
        <f aca="false">IFERROR(INDEX(Features_Motor!$F:$F,MATCH($A87,Features_Motor!$A:$A,0)),"n/a")</f>
        <v>Exclude</v>
      </c>
      <c r="F87" s="11" t="str">
        <f aca="false">IFERROR(INDEX(Features_Buildings!$F:$F,MATCH($A87,Features_Buildings!$A:$A,0)),"n/a")</f>
        <v>Include</v>
      </c>
      <c r="G87" s="11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1" t="str">
        <f aca="false">IFERROR(INDEX(Features_Motor!$F:$F,MATCH($A88,Features_Motor!$A:$A,0)),"n/a")</f>
        <v>Exclude</v>
      </c>
      <c r="F88" s="11" t="str">
        <f aca="false">IFERROR(INDEX(Features_Buildings!$F:$F,MATCH($A88,Features_Buildings!$A:$A,0)),"n/a")</f>
        <v>Include</v>
      </c>
      <c r="G88" s="11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1" t="str">
        <f aca="false">IFERROR(INDEX(Features_Motor!$F:$F,MATCH($A89,Features_Motor!$A:$A,0)),"n/a")</f>
        <v>Exclude</v>
      </c>
      <c r="F89" s="11" t="str">
        <f aca="false">IFERROR(INDEX(Features_Buildings!$F:$F,MATCH($A89,Features_Buildings!$A:$A,0)),"n/a")</f>
        <v>Include</v>
      </c>
      <c r="G89" s="11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1" t="str">
        <f aca="false">IFERROR(INDEX(Features_Motor!$F:$F,MATCH($A90,Features_Motor!$A:$A,0)),"n/a")</f>
        <v>Exclude</v>
      </c>
      <c r="F90" s="11" t="str">
        <f aca="false">IFERROR(INDEX(Features_Buildings!$F:$F,MATCH($A90,Features_Buildings!$A:$A,0)),"n/a")</f>
        <v>Include</v>
      </c>
      <c r="G90" s="11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1" t="str">
        <f aca="false">IFERROR(INDEX(Features_Motor!$F:$F,MATCH($A91,Features_Motor!$A:$A,0)),"n/a")</f>
        <v>Exclude</v>
      </c>
      <c r="F91" s="11" t="str">
        <f aca="false">IFERROR(INDEX(Features_Buildings!$F:$F,MATCH($A91,Features_Buildings!$A:$A,0)),"n/a")</f>
        <v>Include</v>
      </c>
      <c r="G91" s="11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1" t="str">
        <f aca="false">IFERROR(INDEX(Features_Motor!$F:$F,MATCH($A92,Features_Motor!$A:$A,0)),"n/a")</f>
        <v>Exclude</v>
      </c>
      <c r="F92" s="11" t="str">
        <f aca="false">IFERROR(INDEX(Features_Buildings!$F:$F,MATCH($A92,Features_Buildings!$A:$A,0)),"n/a")</f>
        <v>Include</v>
      </c>
      <c r="G92" s="11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1" t="str">
        <f aca="false">IFERROR(INDEX(Features_Motor!$F:$F,MATCH($A93,Features_Motor!$A:$A,0)),"n/a")</f>
        <v>Exclude</v>
      </c>
      <c r="F93" s="11" t="str">
        <f aca="false">IFERROR(INDEX(Features_Buildings!$F:$F,MATCH($A93,Features_Buildings!$A:$A,0)),"n/a")</f>
        <v>Include</v>
      </c>
      <c r="G93" s="11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1" t="str">
        <f aca="false">IFERROR(INDEX(Features_Motor!$F:$F,MATCH($A94,Features_Motor!$A:$A,0)),"n/a")</f>
        <v>Exclude</v>
      </c>
      <c r="F94" s="11" t="str">
        <f aca="false">IFERROR(INDEX(Features_Buildings!$F:$F,MATCH($A94,Features_Buildings!$A:$A,0)),"n/a")</f>
        <v>Test</v>
      </c>
      <c r="G94" s="11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1" t="str">
        <f aca="false">IFERROR(INDEX(Features_Motor!$F:$F,MATCH($A95,Features_Motor!$A:$A,0)),"n/a")</f>
        <v>Exclude</v>
      </c>
      <c r="F95" s="11" t="str">
        <f aca="false">IFERROR(INDEX(Features_Buildings!$F:$F,MATCH($A95,Features_Buildings!$A:$A,0)),"n/a")</f>
        <v>Test</v>
      </c>
      <c r="G95" s="11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1" t="str">
        <f aca="false">IFERROR(INDEX(Features_Motor!$F:$F,MATCH($A96,Features_Motor!$A:$A,0)),"n/a")</f>
        <v>Include</v>
      </c>
      <c r="F96" s="11" t="str">
        <f aca="false">IFERROR(INDEX(Features_Buildings!$F:$F,MATCH($A96,Features_Buildings!$A:$A,0)),"n/a")</f>
        <v>Test</v>
      </c>
      <c r="G96" s="11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1" t="str">
        <f aca="false">IFERROR(INDEX(Features_Motor!$F:$F,MATCH($A97,Features_Motor!$A:$A,0)),"n/a")</f>
        <v>Test</v>
      </c>
      <c r="F97" s="11" t="str">
        <f aca="false">IFERROR(INDEX(Features_Buildings!$F:$F,MATCH($A97,Features_Buildings!$A:$A,0)),"n/a")</f>
        <v>Include</v>
      </c>
      <c r="G97" s="11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1" t="str">
        <f aca="false">IFERROR(INDEX(Features_Motor!$F:$F,MATCH($A98,Features_Motor!$A:$A,0)),"n/a")</f>
        <v>Test</v>
      </c>
      <c r="F98" s="11" t="str">
        <f aca="false">IFERROR(INDEX(Features_Buildings!$F:$F,MATCH($A98,Features_Buildings!$A:$A,0)),"n/a")</f>
        <v>Include</v>
      </c>
      <c r="G98" s="11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1" t="str">
        <f aca="false">IFERROR(INDEX(Features_Motor!$F:$F,MATCH($A99,Features_Motor!$A:$A,0)),"n/a")</f>
        <v>Exclude</v>
      </c>
      <c r="F99" s="11" t="str">
        <f aca="false">IFERROR(INDEX(Features_Buildings!$F:$F,MATCH($A99,Features_Buildings!$A:$A,0)),"n/a")</f>
        <v>Include</v>
      </c>
      <c r="G99" s="11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1" t="str">
        <f aca="false">IFERROR(INDEX(Features_Motor!$F:$F,MATCH($A100,Features_Motor!$A:$A,0)),"n/a")</f>
        <v>Exclude</v>
      </c>
      <c r="F100" s="11" t="str">
        <f aca="false">IFERROR(INDEX(Features_Buildings!$F:$F,MATCH($A100,Features_Buildings!$A:$A,0)),"n/a")</f>
        <v>Include</v>
      </c>
      <c r="G100" s="11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1" t="str">
        <f aca="false">IFERROR(INDEX(Features_Motor!$F:$F,MATCH($A101,Features_Motor!$A:$A,0)),"n/a")</f>
        <v>Test</v>
      </c>
      <c r="F101" s="11" t="str">
        <f aca="false">IFERROR(INDEX(Features_Buildings!$F:$F,MATCH($A101,Features_Buildings!$A:$A,0)),"n/a")</f>
        <v>Include</v>
      </c>
      <c r="G101" s="11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1" t="str">
        <f aca="false">IFERROR(INDEX(Features_Motor!$F:$F,MATCH($A102,Features_Motor!$A:$A,0)),"n/a")</f>
        <v>Exclude</v>
      </c>
      <c r="F102" s="11" t="str">
        <f aca="false">IFERROR(INDEX(Features_Buildings!$F:$F,MATCH($A102,Features_Buildings!$A:$A,0)),"n/a")</f>
        <v>Test</v>
      </c>
      <c r="G102" s="11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1" t="str">
        <f aca="false">IFERROR(INDEX(Features_Motor!$F:$F,MATCH($A103,Features_Motor!$A:$A,0)),"n/a")</f>
        <v>Exclude</v>
      </c>
      <c r="F103" s="11" t="str">
        <f aca="false">IFERROR(INDEX(Features_Buildings!$F:$F,MATCH($A103,Features_Buildings!$A:$A,0)),"n/a")</f>
        <v>Exclude</v>
      </c>
      <c r="G103" s="11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1" t="str">
        <f aca="false">IFERROR(INDEX(Features_Motor!$F:$F,MATCH($A104,Features_Motor!$A:$A,0)),"n/a")</f>
        <v>Test</v>
      </c>
      <c r="F104" s="11" t="str">
        <f aca="false">IFERROR(INDEX(Features_Buildings!$F:$F,MATCH($A104,Features_Buildings!$A:$A,0)),"n/a")</f>
        <v>Test</v>
      </c>
      <c r="G104" s="11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1" t="str">
        <f aca="false">IFERROR(INDEX(Features_Motor!$F:$F,MATCH($A105,Features_Motor!$A:$A,0)),"n/a")</f>
        <v>Exclude</v>
      </c>
      <c r="F105" s="11" t="str">
        <f aca="false">IFERROR(INDEX(Features_Buildings!$F:$F,MATCH($A105,Features_Buildings!$A:$A,0)),"n/a")</f>
        <v>Exclude</v>
      </c>
      <c r="G105" s="11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1" t="str">
        <f aca="false">IFERROR(INDEX(Features_Motor!$F:$F,MATCH($A106,Features_Motor!$A:$A,0)),"n/a")</f>
        <v>Include</v>
      </c>
      <c r="F106" s="11" t="str">
        <f aca="false">IFERROR(INDEX(Features_Buildings!$F:$F,MATCH($A106,Features_Buildings!$A:$A,0)),"n/a")</f>
        <v>Include</v>
      </c>
      <c r="G106" s="11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1" t="str">
        <f aca="false">IFERROR(INDEX(Features_Motor!$F:$F,MATCH($A107,Features_Motor!$A:$A,0)),"n/a")</f>
        <v>Test</v>
      </c>
      <c r="F107" s="11" t="str">
        <f aca="false">IFERROR(INDEX(Features_Buildings!$F:$F,MATCH($A107,Features_Buildings!$A:$A,0)),"n/a")</f>
        <v>Test</v>
      </c>
      <c r="G107" s="11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