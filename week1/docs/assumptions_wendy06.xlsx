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Target_Assumptions" sheetId="3" state="visible" r:id="rId5"/>
    <sheet name="Features_Motor" sheetId="4" state="visible" r:id="rId6"/>
    <sheet name="Features_Buildings" sheetId="5" state="visible" r:id="rId7"/>
    <sheet name="Features_Contents" sheetId="6" state="visible" r:id="rId8"/>
    <sheet name="Model_Spec" sheetId="7" state="visible" r:id="rId9"/>
    <sheet name="Structural_Zeros" sheetId="8" state="visible" r:id="rId10"/>
    <sheet name="Settings" sheetId="9" state="visible" r:id="rId11"/>
    <sheet name="Column_Register" sheetId="10" state="visible" r:id="rId12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<sst xmlns="http://schemas.openxmlformats.org/spreadsheetml/2006/main" count="3711" uniqueCount="830">
  <si>
    <t xml:space="preserve">WENDY 6 - assumptions (features and targets as WENDY 4) + H2O AutoML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</si>
  <si>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</si>
  <si>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</si>
  <si>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</si>
  <si>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</si>
  <si>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</si>
  <si>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</si>
  <si>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</si>
  <si>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</si>
  <si>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</si>
  <si>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</si>
  <si>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</si>
  <si>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</si>
  <si>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</si>
  <si>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</si>
  <si>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</si>
  <si>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</si>
  <si>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</si>
  <si>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</si>
  <si>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</si>
  <si>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</si>
  <si>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</si>
  <si>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</si>
  <si>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WENDY 6 changes</t>
  </si>
  <si>
    <t xml:space="preserve">Same targets, features, caps, IBNR, trends and structural zeros as WENDY 4/5. Only the learner changes: H2O AutoML per peril and component (frequency: Poisson on claim rate weighted by IBNR-adjusted exposure; severity: Gamma on capped trended claims). Fold column = the same policy-grouped folds as WENDY 5.</t>
  </si>
  <si>
    <t xml:space="preserve">Runs</t>
  </si>
  <si>
    <t xml:space="preserve">15 perils x 2 components x 2 phases x 20 min ~ 20 hours. Settings automl_phases / automl_components / automl_seconds control it.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</si>
  <si>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</si>
  <si>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</si>
  <si>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</si>
  <si>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</si>
  <si>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</si>
  <si>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</si>
  <si>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</si>
  <si>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</si>
  <si>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</si>
  <si>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</si>
  <si>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</si>
  <si>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</si>
  <si>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</si>
  <si>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</si>
  <si>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</si>
  <si>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</si>
  <si>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</si>
  <si>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</si>
  <si>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</si>
  <si>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</si>
  <si>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</si>
  <si>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</si>
  <si>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</si>
  <si>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</si>
  <si>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</si>
  <si>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</si>
  <si>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</si>
  <si>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</si>
  <si>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</si>
  <si>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</si>
  <si>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</si>
  <si>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</si>
  <si>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</si>
  <si>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</si>
  <si>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</si>
  <si>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</si>
  <si>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</si>
  <si>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</si>
  <si>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</si>
  <si>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</si>
  <si>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</si>
  <si>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</si>
  <si>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</si>
  <si>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</si>
  <si>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</si>
  <si>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</si>
  <si>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</si>
  <si>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</si>
  <si>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</si>
  <si>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</si>
  <si>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</si>
  <si>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</si>
  <si>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</si>
  <si>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</si>
  <si>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</si>
  <si>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</si>
  <si>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</si>
  <si>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</si>
  <si>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</si>
  <si>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</si>
  <si>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</si>
  <si>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</si>
  <si>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</si>
  <si>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</si>
  <si>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</si>
  <si>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</si>
  <si>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</si>
  <si>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</si>
  <si>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</si>
  <si>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</si>
  <si>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</si>
  <si>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</si>
  <si>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</si>
  <si>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</si>
  <si>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</si>
  <si>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</si>
  <si>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</si>
  <si>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</si>
  <si>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</si>
  <si>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</si>
  <si>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</si>
  <si>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</si>
  <si>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</si>
  <si>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</si>
  <si>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</si>
  <si>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</si>
  <si>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</si>
  <si>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</si>
  <si>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</si>
  <si>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</si>
  <si>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</si>
  <si>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</si>
  <si>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</si>
  <si>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</si>
  <si>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</si>
  <si>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</si>
  <si>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</si>
  <si>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</si>
  <si>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</si>
  <si>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</si>
  <si>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</si>
  <si>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</si>
  <si>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</si>
  <si>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</si>
  <si>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</si>
  <si>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</si>
  <si>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</si>
  <si>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</si>
  <si>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</si>
  <si>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</si>
  <si>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</si>
  <si>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</si>
  <si>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</si>
  <si>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</si>
  <si>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</si>
  <si>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</si>
  <si>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</si>
  <si>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</si>
  <si>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</si>
  <si>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</si>
  <si>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</si>
  <si>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</si>
  <si>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</si>
  <si>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</si>
  <si>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</si>
  <si>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</si>
  <si>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</si>
  <si>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</si>
  <si>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</si>
  <si>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</si>
  <si>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</si>
  <si>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</si>
  <si>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</si>
  <si>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</si>
  <si>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</si>
  <si>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</si>
  <si>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</si>
  <si>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</si>
  <si>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</si>
  <si>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</si>
  <si>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</si>
  <si>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</si>
  <si>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</si>
  <si>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</si>
  <si>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</si>
  <si>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</si>
  <si>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</si>
  <si>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</si>
  <si>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</si>
  <si>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</si>
  <si>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</si>
  <si>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</si>
  <si>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</si>
  <si>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</si>
  <si>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</si>
  <si>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</si>
  <si>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</si>
  <si>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</si>
  <si>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</si>
  <si>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</si>
  <si>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</si>
  <si>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</si>
  <si>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</si>
  <si>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</si>
  <si>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</si>
  <si>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</si>
  <si>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</si>
  <si>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</si>
  <si>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</si>
  <si>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</si>
  <si>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</si>
  <si>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</si>
  <si>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</si>
  <si>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</si>
  <si>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</si>
  <si>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</si>
  <si>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</si>
  <si>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</si>
  <si>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</si>
  <si>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</si>
  <si>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</si>
  <si>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</si>
  <si>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</si>
  <si>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</si>
  <si>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</si>
  <si>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</si>
  <si>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</si>
  <si>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</si>
  <si>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</si>
  <si>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</si>
  <si>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</si>
  <si>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</si>
  <si>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</si>
  <si>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</si>
  <si>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</si>
  <si>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</si>
  <si>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</si>
  <si>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</si>
  <si>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</si>
  <si>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</si>
  <si>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</si>
  <si>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</si>
  <si>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</si>
  <si>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</si>
  <si>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</si>
  <si>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</si>
  <si>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</si>
  <si>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</si>
  <si>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</si>
  <si>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</si>
  <si>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</si>
  <si>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</si>
  <si>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</si>
  <si>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</si>
  <si>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</si>
  <si>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</si>
  <si>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</si>
  <si>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</si>
  <si>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</si>
  <si>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</si>
  <si>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</si>
  <si>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</si>
  <si>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</si>
  <si>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</si>
  <si>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</si>
  <si>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</si>
  <si>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</si>
  <si>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</si>
  <si>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</si>
  <si>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</si>
  <si>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</si>
  <si>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</si>
  <si>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</si>
  <si>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</si>
  <si>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</si>
  <si>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</si>
  <si>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</si>
  <si>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</si>
  <si>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</si>
  <si>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</si>
  <si>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</si>
  <si>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</si>
  <si>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</si>
  <si>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</si>
  <si>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</si>
  <si>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</si>
  <si>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</si>
  <si>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</si>
  <si>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</si>
  <si>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</si>
  <si>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</si>
  <si>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</si>
  <si>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</si>
  <si>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</si>
  <si>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</si>
  <si>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</si>
  <si>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</si>
  <si>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</si>
  <si>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</si>
  <si>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</si>
  <si>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</si>
  <si>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</si>
  <si>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</si>
  <si>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</si>
  <si>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</si>
  <si>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</si>
  <si>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</si>
  <si>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</si>
  <si>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</si>
  <si>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</si>
  <si>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</si>
  <si>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</si>
  <si>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</si>
  <si>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</si>
  <si>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</si>
  <si>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</si>
  <si>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</si>
  <si>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</si>
  <si>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</si>
  <si>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</si>
  <si>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</si>
  <si>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</si>
  <si>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</si>
  <si>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</si>
  <si>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</si>
  <si>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</si>
  <si>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</si>
  <si>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</si>
  <si>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</si>
  <si>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</si>
  <si>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</si>
  <si>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</si>
  <si>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</si>
  <si>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</si>
  <si>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</si>
  <si>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</si>
  <si>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</si>
  <si>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</si>
  <si>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</si>
  <si>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</si>
  <si>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</si>
  <si>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</si>
  <si>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</si>
  <si>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</si>
  <si>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</si>
  <si>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</si>
  <si>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</si>
  <si>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</si>
  <si>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</si>
  <si>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</si>
  <si>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</si>
  <si>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</si>
  <si>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</si>
  <si>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</si>
  <si>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</si>
  <si>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</si>
  <si>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</si>
  <si>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</si>
  <si>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</si>
  <si>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</si>
  <si>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</si>
  <si>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</si>
  <si>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</si>
  <si>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</si>
  <si>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</si>
  <si>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</si>
  <si>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</si>
  <si>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</si>
  <si>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</si>
  <si>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</si>
  <si>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</si>
  <si>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</si>
  <si>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</si>
  <si>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</si>
  <si>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</si>
  <si>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</si>
  <si>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</si>
  <si>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</si>
  <si>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</si>
  <si>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</si>
  <si>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</si>
  <si>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</si>
  <si>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</si>
  <si>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</si>
  <si>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</si>
  <si>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</si>
  <si>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</si>
  <si>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</si>
  <si>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</si>
  <si>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</si>
  <si>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</si>
  <si>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</si>
  <si>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</si>
  <si>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</si>
  <si>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</si>
  <si>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</si>
  <si>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</si>
  <si>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</si>
  <si>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</si>
  <si>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</si>
  <si>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</si>
  <si>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</si>
  <si>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</si>
  <si>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</si>
  <si>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</si>
  <si>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</si>
  <si>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</si>
  <si>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</si>
  <si>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</si>
  <si>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</si>
  <si>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</si>
  <si>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</si>
  <si>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</si>
  <si>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</si>
  <si>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</si>
  <si>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</si>
  <si>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</si>
  <si>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</si>
  <si>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</si>
  <si>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</si>
  <si>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</si>
  <si>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</si>
  <si>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</si>
  <si>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</si>
  <si>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</si>
  <si>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</si>
  <si>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</si>
  <si>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</si>
  <si>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</si>
  <si>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</si>
  <si>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</si>
  <si>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</si>
  <si>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</si>
  <si>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</si>
  <si>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</si>
  <si>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</si>
  <si>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</si>
  <si>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</si>
  <si>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</si>
  <si>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</si>
  <si>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</si>
  <si>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</si>
  <si>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</si>
  <si>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</si>
  <si>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</si>
  <si>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</si>
  <si>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</si>
  <si>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</si>
  <si>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</si>
  <si>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</si>
  <si>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</si>
  <si>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</si>
  <si>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</si>
  <si>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</si>
  <si>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</si>
  <si>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</si>
  <si>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</si>
  <si>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</si>
  <si>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</si>
  <si>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</si>
  <si>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</si>
  <si>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</si>
  <si>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</si>
  <si>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</si>
  <si>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</si>
  <si>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</si>
  <si>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</si>
  <si>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</si>
  <si>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</si>
  <si>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</si>
  <si>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</si>
  <si>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</si>
  <si>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</si>
  <si>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</si>
  <si>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</si>
  <si>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</si>
  <si>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</si>
  <si>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</si>
  <si>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</si>
  <si>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</si>
  <si>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</si>
  <si>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</si>
  <si>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</si>
  <si>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</si>
  <si>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</si>
  <si>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</si>
  <si>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</si>
  <si>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</si>
  <si>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</si>
  <si>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</si>
  <si>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</si>
  <si>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</si>
  <si>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</si>
  <si>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</si>
  <si>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</si>
  <si>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</si>
  <si>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</si>
  <si>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</si>
  <si>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</si>
  <si>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</si>
  <si>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</si>
  <si>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</si>
  <si>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</si>
  <si>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</si>
  <si>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</si>
  <si>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</si>
  <si>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</si>
  <si>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</si>
  <si>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</si>
  <si>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</si>
  <si>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</si>
  <si>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</si>
  <si>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</si>
  <si>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</si>
  <si>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</si>
  <si>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</si>
  <si>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</si>
  <si>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</si>
  <si>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</si>
  <si>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</si>
  <si>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</si>
  <si>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</si>
  <si>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</si>
  <si>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</si>
  <si>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</si>
  <si>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</si>
  <si>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</si>
  <si>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</si>
  <si>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</si>
  <si>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</si>
  <si>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</si>
  <si>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</si>
  <si>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</si>
  <si>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</si>
  <si>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</si>
  <si>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</si>
  <si>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</si>
  <si>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</si>
  <si>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</si>
  <si>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</si>
  <si>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</si>
  <si>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</si>
  <si>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</si>
  <si>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</si>
  <si>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</si>
  <si>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</si>
  <si>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</si>
  <si>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</si>
  <si>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</si>
  <si>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</si>
  <si>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</si>
  <si>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</si>
  <si>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</si>
  <si>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</si>
  <si>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</si>
  <si>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</si>
  <si>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</si>
  <si>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</si>
  <si>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</si>
  <si>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</si>
  <si>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</si>
  <si>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</si>
  <si>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</si>
  <si>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</si>
  <si>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</si>
  <si>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</si>
  <si>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</si>
  <si>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</si>
  <si>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</si>
  <si>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</si>
  <si>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</si>
  <si>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</si>
  <si>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</si>
  <si>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</si>
  <si>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</si>
  <si>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</si>
  <si>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</si>
  <si>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</si>
  <si>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</si>
  <si>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</si>
  <si>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</si>
  <si>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</si>
  <si>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</si>
  <si>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</si>
  <si>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</si>
  <si>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</si>
  <si>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</si>
  <si>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</si>
  <si>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</si>
  <si>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</si>
  <si>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</si>
  <si>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</si>
  <si>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</si>
  <si>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</si>
  <si>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</si>
  <si>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</si>
  <si>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</si>
  <si>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</si>
  <si>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</si>
  <si>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</si>
  <si>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</si>
  <si>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</si>
  <si>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</si>
  <si>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</si>
  <si>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</si>
  <si>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</si>
  <si>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</si>
  <si>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</si>
  <si>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</si>
  <si>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</si>
  <si>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</si>
  <si>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</si>
  <si>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</si>
  <si>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</si>
  <si>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</si>
  <si>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</si>
  <si>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</si>
  <si>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</si>
  <si>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</si>
  <si>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</si>
  <si>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</si>
  <si>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</si>
  <si>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</si>
  <si>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</si>
  <si>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</si>
  <si>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</si>
  <si>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</si>
  <si>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</si>
  <si>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</si>
  <si>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</si>
  <si>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</si>
  <si>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</si>
  <si>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</si>
  <si>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</si>
  <si>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</si>
  <si>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</si>
  <si>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</si>
  <si>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</si>
  <si>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</si>
  <si>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</si>
  <si>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</si>
  <si>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</si>
  <si>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</si>
  <si>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</si>
  <si>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</si>
  <si>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</si>
  <si>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</si>
  <si>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</si>
  <si>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</si>
  <si>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</si>
  <si>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auto</t>
  </si>
  <si>
    <t xml:space="preserve">estimate</t>
  </si>
  <si>
    <t xml:space="preserve">~49k claims: data-rich, GBM for both parts.</t>
  </si>
  <si>
    <t xml:space="preserve">~34k claims: data-rich.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</si>
  <si>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</si>
  <si>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</si>
  <si>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</si>
  <si>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</si>
  <si>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</si>
  <si>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</si>
  <si>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</si>
  <si>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</si>
  <si>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</si>
  <si>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</si>
  <si>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</si>
  <si>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</si>
  <si>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</si>
  <si>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</si>
  <si>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</si>
  <si>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</si>
  <si>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</si>
  <si>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</si>
  <si>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</si>
  <si>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</si>
  <si>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</si>
  <si>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</si>
  <si>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</si>
  <si>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</si>
  <si>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</si>
  <si>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</si>
  <si>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</si>
  <si>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</si>
  <si>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</si>
  <si>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</si>
  <si>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</si>
  <si>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</si>
  <si>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2024</t>
  </si>
  <si>
    <t xml:space="preserve">WENDY 4 setting kept for reference; WENDY 5/6 use validation_mode / time_check_year.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</si>
  <si>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</si>
  <si>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</si>
  <si>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</si>
  <si>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</si>
  <si>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</si>
  <si>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</si>
  <si>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</si>
  <si>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</si>
  <si>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</si>
  <si>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</si>
  <si>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</si>
  <si>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</si>
  <si>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</si>
  <si>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</si>
  <si>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</si>
  <si>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</si>
  <si>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</si>
  <si>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</si>
  <si>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</si>
  <si>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</si>
  <si>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</si>
  <si>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</si>
  <si>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</si>
  <si>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</si>
  <si>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</si>
  <si>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</si>
  <si>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</si>
  <si>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</si>
  <si>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5000</t>
  </si>
  <si>
    <t xml:space="preserve">Unused by WENDY 6 (kept for reference).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</si>
  <si>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</si>
  <si>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</si>
  <si>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</si>
  <si>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</si>
  <si>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</si>
  <si>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</si>
  <si>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</si>
  <si>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</si>
  <si>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</si>
  <si>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</si>
  <si>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</si>
  <si>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</si>
  <si>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</si>
  <si>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</si>
  <si>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</si>
  <si>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</si>
  <si>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</si>
  <si>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</si>
  <si>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</si>
  <si>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</si>
  <si>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</si>
  <si>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</si>
  <si>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</si>
  <si>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</si>
  <si>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validation_mode</t>
  </si>
  <si>
    <t xml:space="preserve">both</t>
  </si>
  <si>
    <t xml:space="preserve">group_cv = choose method on policy-grouped CV; time = choose on the time-check year; both = choose on CV and also report the time check.</t>
  </si>
  <si>
    <t xml:space="preserve">cv_folds</t>
  </si>
  <si>
    <t xml:space="preserve">Number of policy-grouped folds over ALL training years (2021-24). Same assignment in WENDY 5 and 6.</t>
  </si>
  <si>
    <t xml:space="preserve">time_check_year</t>
  </si>
  <si>
    <t xml:space="preserve">Fit on earlier years, score this year vs developed actuals (same fold as WENDY 4 -&gt; comparable).</t>
  </si>
  <si>
    <t xml:space="preserve">automl_seconds</t>
  </si>
  <si>
    <t xml:space="preserve">1200</t>
  </si>
  <si>
    <t xml:space="preserve">max_runtime_secs per AutoML run (one run = one peril x component x phase).</t>
  </si>
  <si>
    <t xml:space="preserve">automl_phases</t>
  </si>
  <si>
    <t xml:space="preserve">time_check,final</t>
  </si>
  <si>
    <t xml:space="preserve">time_check = fit before time_check_year, score it; final = fit all years, predict 2025. 'final' alone halves run time but gives no comparable time-check score.</t>
  </si>
  <si>
    <t xml:space="preserve">automl_components</t>
  </si>
  <si>
    <t xml:space="preserve">freq,sev</t>
  </si>
  <si>
    <t xml:space="preserve">Add 'tweedie' to also run a Tweedie AutoML per peril (+50% run time).</t>
  </si>
  <si>
    <t xml:space="preserve">automl_exclude_algos</t>
  </si>
  <si>
    <t xml:space="preserve">DRF,DeepLearning</t>
  </si>
  <si>
    <t xml:space="preserve">Comma list or 'none'. DRF/XRT cannot fit Poisson/Gamma/Tweedie (they fall back to squared error) - the script also drops them from leader choice. DeepLearning is slow on 1m rows and rarely wins on tabular data.</t>
  </si>
  <si>
    <t xml:space="preserve">automl_max_models</t>
  </si>
  <si>
    <t xml:space="preserve">0 = no limit (time decides).</t>
  </si>
  <si>
    <t xml:space="preserve">automl_seed</t>
  </si>
  <si>
    <t xml:space="preserve">2026</t>
  </si>
  <si>
    <t xml:space="preserve">Seed. AutoML with a time budget is NOT fully reproducible - the saved leader models are the record.</t>
  </si>
  <si>
    <t xml:space="preserve">automl_monotone</t>
  </si>
  <si>
    <t xml:space="preserve">Y = pass mono_freq/mono_sev constraints (only some algorithms/distributions honour them - check the H2O log).</t>
  </si>
  <si>
    <t xml:space="preserve">h2o_max_mem</t>
  </si>
  <si>
    <t xml:space="preserve">16G</t>
  </si>
  <si>
    <t xml:space="preserve">Java heap for the H2O cluster (about 4x the largest frame; motor ~1m rows).</t>
  </si>
  <si>
    <t xml:space="preserve">h2o_nthreads</t>
  </si>
  <si>
    <t xml:space="preserve">-1</t>
  </si>
  <si>
    <t xml:space="preserve">-1 = all cores.</t>
  </si>
  <si>
    <t xml:space="preserve">h2o_port</t>
  </si>
  <si>
    <t xml:space="preserve">54321</t>
  </si>
  <si>
    <t xml:space="preserve">h2o_start</t>
  </si>
  <si>
    <t xml:space="preserve">Y = start a local H2O from R (needs Java 8-17 for H2O 3.44-3.46); N = connect to a running cluster.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</si>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</sst>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48" hidden="false" customHeight="true" outlineLevel="0" collapsed="false">
      <c r="A1" s="2" t="s">
        <v>0</v>
      </c>
      <c r="B1" s="3"/>
    </row>
    <row r="2" customFormat="false" ht="34.5" hidden="false" customHeight="true" outlineLevel="0" collapsed="false">
      <c r="A2" s="4" t="s">
        <v>1</v>
      </c>
      <c r="B2" s="3" t="s">
        <v>2</v>
      </c>
    </row>
    <row r="3" customFormat="false" ht="15" hidden="false" customHeight="true" outlineLevel="0" collapsed="false">
      <c r="A3" s="4" t="s">
        <v>3</v>
      </c>
      <c r="B3" s="3" t="s">
        <v>4</v>
      </c>
    </row>
    <row r="4" customFormat="false" ht="15" hidden="false" customHeight="true" outlineLevel="0" collapsed="false">
      <c r="A4" s="4" t="s">
        <v>5</v>
      </c>
      <c r="B4" s="3" t="s">
        <v>6</v>
      </c>
    </row>
    <row r="5" customFormat="false" ht="23.25" hidden="false" customHeight="true" outlineLevel="0" collapsed="false">
      <c r="A5" s="4" t="s">
        <v>7</v>
      </c>
      <c r="B5" s="3" t="s">
        <v>8</v>
      </c>
    </row>
    <row r="6" customFormat="false" ht="23.25" hidden="false" customHeight="true" outlineLevel="0" collapsed="false">
      <c r="A6" s="4" t="s">
        <v>9</v>
      </c>
      <c r="B6" s="3" t="s">
        <v>10</v>
      </c>
    </row>
    <row r="7" customFormat="false" ht="15" hidden="false" customHeight="true" outlineLevel="0" collapsed="false">
      <c r="A7" s="4" t="s">
        <v>11</v>
      </c>
      <c r="B7" s="3" t="s">
        <v>12</v>
      </c>
    </row>
    <row r="8" customFormat="false" ht="34.5" hidden="false" customHeight="true" outlineLevel="0" collapsed="false">
      <c r="A8" s="4" t="s">
        <v>13</v>
      </c>
      <c r="B8" s="3" t="s">
        <v>14</v>
      </c>
    </row>
    <row r="9" customFormat="false" ht="23.25" hidden="false" customHeight="true" outlineLevel="0" collapsed="false">
      <c r="A9" s="4" t="s">
        <v>15</v>
      </c>
      <c r="B9" s="3" t="s">
        <v>16</v>
      </c>
    </row>
    <row r="10" customFormat="false" ht="23.25" hidden="false" customHeight="true" outlineLevel="0" collapsed="false">
      <c r="A10" s="4" t="s">
        <v>17</v>
      </c>
      <c r="B10" s="3" t="s">
        <v>18</v>
      </c>
    </row>
    <row r="11" customFormat="false" ht="45.75" hidden="false" customHeight="true" outlineLevel="0" collapsed="false">
      <c r="A11" s="4" t="s">
        <v>19</v>
      </c>
      <c r="B11" s="3" t="s">
        <v>20</v>
      </c>
    </row>
    <row r="12" customFormat="false" ht="23.25" hidden="false" customHeight="true" outlineLevel="0" collapsed="false">
      <c r="A12" s="4" t="s">
        <v>21</v>
      </c>
      <c r="B12" s="3" t="s">
        <v>22</v>
      </c>
    </row>
    <row r="14" customFormat="false" ht="34.5" hidden="false" customHeight="true" outlineLevel="0" collapsed="false">
      <c r="A14" s="4" t="s">
        <v>23</v>
      </c>
      <c r="B14" s="3" t="s">
        <v>24</v>
      </c>
    </row>
    <row r="15" customFormat="false" ht="15" hidden="false" customHeight="true" outlineLevel="0" collapsed="false">
      <c r="A15" s="4" t="s">
        <v>25</v>
      </c>
      <c r="B15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60"/>
  </cols>
  <sheetData>
    <row r="1" customFormat="false" ht="30" hidden="false" customHeight="true" outlineLevel="0" collapsed="false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</row>
    <row r="2" customFormat="false" ht="15" hidden="false" customHeight="true" outlineLevel="0" collapsed="false">
      <c r="A2" s="6" t="s">
        <v>34</v>
      </c>
      <c r="B2" s="6" t="s">
        <v>35</v>
      </c>
      <c r="C2" s="7" t="n">
        <f aca="false">COUNTIFS(Features_Motor!$G:$G,"Y",Features_Motor!J:J,"F")+COUNTIFS(Features_Motor!$G:$G,"Y",Features_Motor!J:J,"B")</f>
        <v>38</v>
      </c>
      <c r="D2" s="7" t="n">
        <f aca="false">COUNTIFS(Features_Motor!$G:$G,"Y",Features_Motor!J:J,"S")+COUNTIFS(Features_Motor!$G:$G,"Y",Features_Motor!J:J,"B")</f>
        <v>11</v>
      </c>
      <c r="E2" s="8" t="str">
        <f aca="false">Model_Spec!D2</f>
        <v>auto</v>
      </c>
      <c r="F2" s="8" t="n">
        <f aca="false">Model_Spec!F2</f>
        <v>0.999</v>
      </c>
      <c r="G2" s="8" t="str">
        <f aca="false">Model_Spec!Q2</f>
        <v>~49k claims: data-rich, GBM for both parts.</v>
      </c>
    </row>
    <row r="3" customFormat="false" ht="15" hidden="false" customHeight="true" outlineLevel="0" collapsed="false">
      <c r="A3" s="6" t="s">
        <v>34</v>
      </c>
      <c r="B3" s="6" t="s">
        <v>36</v>
      </c>
      <c r="C3" s="7" t="n">
        <f aca="false">COUNTIFS(Features_Motor!$G:$G,"Y",Features_Motor!K:K,"F")+COUNTIFS(Features_Motor!$G:$G,"Y",Features_Motor!K:K,"B")</f>
        <v>33</v>
      </c>
      <c r="D3" s="7" t="n">
        <f aca="false">COUNTIFS(Features_Motor!$G:$G,"Y",Features_Motor!K:K,"S")+COUNTIFS(Features_Motor!$G:$G,"Y",Features_Motor!K:K,"B")</f>
        <v>5</v>
      </c>
      <c r="E3" s="8" t="str">
        <f aca="false">Model_Spec!D3</f>
        <v>auto</v>
      </c>
      <c r="F3" s="8" t="n">
        <f aca="false">Model_Spec!F3</f>
        <v>0.999</v>
      </c>
      <c r="G3" s="8" t="str">
        <f aca="false">Model_Spec!Q3</f>
        <v>~34k claims: data-rich.</v>
      </c>
    </row>
    <row r="4" customFormat="false" ht="34.5" hidden="false" customHeight="true" outlineLevel="0" collapsed="false">
      <c r="A4" s="6" t="s">
        <v>34</v>
      </c>
      <c r="B4" s="6" t="s">
        <v>37</v>
      </c>
      <c r="C4" s="7" t="n">
        <f aca="false">COUNTIFS(Features_Motor!$G:$G,"Y",Features_Motor!L:L,"F")+COUNTIFS(Features_Motor!$G:$G,"Y",Features_Motor!L:L,"B")</f>
        <v>17</v>
      </c>
      <c r="D4" s="7" t="n">
        <f aca="false">COUNTIFS(Features_Motor!$G:$G,"Y",Features_Motor!L:L,"S")+COUNTIFS(Features_Motor!$G:$G,"Y",Features_Motor!L:L,"B")</f>
        <v>4</v>
      </c>
      <c r="E4" s="8" t="str">
        <f aca="false">Model_Spec!D4</f>
        <v>auto</v>
      </c>
      <c r="F4" s="8" t="n">
        <f aca="false">Model_Spec!F4</f>
        <v>0.995</v>
      </c>
      <c r="G4" s="8" t="str">
        <f aca="false">Model_Spec!Q4</f>
        <v>~7.6k claims, long tail (median report lag ~127 days), 2024 immature: Poisson GBM frequency + Gamma GLM severity on few factors; latest year left out of severity fit.</v>
      </c>
    </row>
    <row r="5" customFormat="false" ht="15" hidden="false" customHeight="true" outlineLevel="0" collapsed="false">
      <c r="A5" s="6" t="s">
        <v>34</v>
      </c>
      <c r="B5" s="6" t="s">
        <v>38</v>
      </c>
      <c r="C5" s="7" t="n">
        <f aca="false">COUNTIFS(Features_Motor!$G:$G,"Y",Features_Motor!M:M,"F")+COUNTIFS(Features_Motor!$G:$G,"Y",Features_Motor!M:M,"B")</f>
        <v>21</v>
      </c>
      <c r="D5" s="7" t="n">
        <f aca="false">COUNTIFS(Features_Motor!$G:$G,"Y",Features_Motor!M:M,"S")+COUNTIFS(Features_Motor!$G:$G,"Y",Features_Motor!M:M,"B")</f>
        <v>9</v>
      </c>
      <c r="E5" s="8" t="str">
        <f aca="false">Model_Spec!D5</f>
        <v>auto</v>
      </c>
      <c r="F5" s="8" t="n">
        <f aca="false">Model_Spec!F5</f>
        <v>0.999</v>
      </c>
      <c r="G5" s="8" t="str">
        <f aca="false">Model_Spec!Q5</f>
        <v>~6.5k claims; recoveries matter.</v>
      </c>
    </row>
    <row r="6" customFormat="false" ht="15" hidden="false" customHeight="true" outlineLevel="0" collapsed="false">
      <c r="A6" s="6" t="s">
        <v>34</v>
      </c>
      <c r="B6" s="6" t="s">
        <v>39</v>
      </c>
      <c r="C6" s="7" t="n">
        <f aca="false">COUNTIFS(Features_Motor!$G:$G,"Y",Features_Motor!N:N,"F")+COUNTIFS(Features_Motor!$G:$G,"Y",Features_Motor!N:N,"B")</f>
        <v>16</v>
      </c>
      <c r="D6" s="7" t="n">
        <f aca="false">COUNTIFS(Features_Motor!$G:$G,"Y",Features_Motor!N:N,"S")+COUNTIFS(Features_Motor!$G:$G,"Y",Features_Motor!N:N,"B")</f>
        <v>9</v>
      </c>
      <c r="E6" s="8" t="str">
        <f aca="false">Model_Spec!D6</f>
        <v>auto</v>
      </c>
      <c r="F6" s="8" t="n">
        <f aca="false">Model_Spec!F6</f>
        <v>0.999</v>
      </c>
      <c r="G6" s="8" t="str">
        <f aca="false">Model_Spec!Q6</f>
        <v>Weather-driven: no frequency trend.</v>
      </c>
    </row>
    <row r="7" customFormat="false" ht="15" hidden="false" customHeight="true" outlineLevel="0" collapsed="false">
      <c r="A7" s="6" t="s">
        <v>40</v>
      </c>
      <c r="B7" s="6" t="s">
        <v>41</v>
      </c>
      <c r="C7" s="7" t="n">
        <f aca="false">COUNTIFS(Features_Buildings!$G:$G,"Y",Features_Buildings!J:J,"F")+COUNTIFS(Features_Buildings!$G:$G,"Y",Features_Buildings!J:J,"B")</f>
        <v>17</v>
      </c>
      <c r="D7" s="7" t="n">
        <f aca="false">COUNTIFS(Features_Buildings!$G:$G,"Y",Features_Buildings!J:J,"S")+COUNTIFS(Features_Buildings!$G:$G,"Y",Features_Buildings!J:J,"B")</f>
        <v>11</v>
      </c>
      <c r="E7" s="8" t="str">
        <f aca="false">Model_Spec!D7</f>
        <v>auto</v>
      </c>
      <c r="F7" s="8" t="n">
        <f aca="false">Model_Spec!F7</f>
        <v>0.999</v>
      </c>
      <c r="G7" s="8" t="str">
        <f aca="false">Model_Spec!Q7</f>
        <v>~7.8k claims; weather-driven.</v>
      </c>
    </row>
    <row r="8" customFormat="false" ht="15" hidden="false" customHeight="true" outlineLevel="0" collapsed="false">
      <c r="A8" s="6" t="s">
        <v>40</v>
      </c>
      <c r="B8" s="6" t="s">
        <v>42</v>
      </c>
      <c r="C8" s="7" t="n">
        <f aca="false">COUNTIFS(Features_Buildings!$G:$G,"Y",Features_Buildings!K:K,"F")+COUNTIFS(Features_Buildings!$G:$G,"Y",Features_Buildings!K:K,"B")</f>
        <v>12</v>
      </c>
      <c r="D8" s="7" t="n">
        <f aca="false">COUNTIFS(Features_Buildings!$G:$G,"Y",Features_Buildings!K:K,"S")+COUNTIFS(Features_Buildings!$G:$G,"Y",Features_Buildings!K:K,"B")</f>
        <v>10</v>
      </c>
      <c r="E8" s="8" t="str">
        <f aca="false">Model_Spec!D8</f>
        <v>auto</v>
      </c>
      <c r="F8" s="8" t="n">
        <f aca="false">Model_Spec!F8</f>
        <v>0.995</v>
      </c>
      <c r="G8" s="8" t="str">
        <f aca="false">Model_Spec!Q8</f>
        <v>~2.2k claims, strong hazard structure: GBM frequency, GLM severity.</v>
      </c>
    </row>
    <row r="9" customFormat="false" ht="15" hidden="false" customHeight="true" outlineLevel="0" collapsed="false">
      <c r="A9" s="6" t="s">
        <v>40</v>
      </c>
      <c r="B9" s="6" t="s">
        <v>43</v>
      </c>
      <c r="C9" s="7" t="n">
        <f aca="false">COUNTIFS(Features_Buildings!$G:$G,"Y",Features_Buildings!L:L,"F")+COUNTIFS(Features_Buildings!$G:$G,"Y",Features_Buildings!L:L,"B")</f>
        <v>28</v>
      </c>
      <c r="D9" s="7" t="n">
        <f aca="false">COUNTIFS(Features_Buildings!$G:$G,"Y",Features_Buildings!L:L,"S")+COUNTIFS(Features_Buildings!$G:$G,"Y",Features_Buildings!L:L,"B")</f>
        <v>10</v>
      </c>
      <c r="E9" s="8" t="str">
        <f aca="false">Model_Spec!D9</f>
        <v>auto</v>
      </c>
      <c r="F9" s="8" t="n">
        <f aca="false">Model_Spec!F9</f>
        <v>0.999</v>
      </c>
      <c r="G9" s="8" t="str">
        <f aca="false">Model_Spec!Q9</f>
        <v>~10k claims: data-rich.</v>
      </c>
    </row>
    <row r="10" customFormat="false" ht="23.25" hidden="false" customHeight="true" outlineLevel="0" collapsed="false">
      <c r="A10" s="6" t="s">
        <v>40</v>
      </c>
      <c r="B10" s="6" t="s">
        <v>44</v>
      </c>
      <c r="C10" s="7" t="n">
        <f aca="false">COUNTIFS(Features_Buildings!$G:$G,"Y",Features_Buildings!M:M,"F")+COUNTIFS(Features_Buildings!$G:$G,"Y",Features_Buildings!M:M,"B")</f>
        <v>14</v>
      </c>
      <c r="D10" s="7" t="n">
        <f aca="false">COUNTIFS(Features_Buildings!$G:$G,"Y",Features_Buildings!M:M,"S")+COUNTIFS(Features_Buildings!$G:$G,"Y",Features_Buildings!M:M,"B")</f>
        <v>11</v>
      </c>
      <c r="E10" s="8" t="str">
        <f aca="false">Model_Spec!D10</f>
        <v>auto</v>
      </c>
      <c r="F10" s="8" t="n">
        <f aca="false">Model_Spec!F10</f>
        <v>0.995</v>
      </c>
      <c r="G10" s="8" t="str">
        <f aca="false">Model_Spec!Q10</f>
        <v>~1.3k claims, long tail (median lag ~94 days): GLM severity, latest year excluded from severity.</v>
      </c>
    </row>
    <row r="11" customFormat="false" ht="15" hidden="false" customHeight="true" outlineLevel="0" collapsed="false">
      <c r="A11" s="6" t="s">
        <v>40</v>
      </c>
      <c r="B11" s="6" t="s">
        <v>45</v>
      </c>
      <c r="C11" s="7" t="n">
        <f aca="false">COUNTIFS(Features_Buildings!$G:$G,"Y",Features_Buildings!N:N,"F")+COUNTIFS(Features_Buildings!$G:$G,"Y",Features_Buildings!N:N,"B")</f>
        <v>19</v>
      </c>
      <c r="D11" s="7" t="n">
        <f aca="false">COUNTIFS(Features_Buildings!$G:$G,"Y",Features_Buildings!N:N,"S")+COUNTIFS(Features_Buildings!$G:$G,"Y",Features_Buildings!N:N,"B")</f>
        <v>9</v>
      </c>
      <c r="E11" s="8" t="str">
        <f aca="false">Model_Spec!D11</f>
        <v>auto</v>
      </c>
      <c r="F11" s="8" t="n">
        <f aca="false">Model_Spec!F11</f>
        <v>0.99</v>
      </c>
      <c r="G11" s="8" t="str">
        <f aca="false">Model_Spec!Q11</f>
        <v>~1.1k claims, very heavy severity: GLM severity, lower cap.</v>
      </c>
    </row>
    <row r="12" customFormat="false" ht="15" hidden="false" customHeight="true" outlineLevel="0" collapsed="false">
      <c r="A12" s="6" t="s">
        <v>40</v>
      </c>
      <c r="B12" s="6" t="s">
        <v>46</v>
      </c>
      <c r="C12" s="7" t="n">
        <f aca="false">COUNTIFS(Features_Buildings!$G:$G,"Y",Features_Buildings!O:O,"F")+COUNTIFS(Features_Buildings!$G:$G,"Y",Features_Buildings!O:O,"B")</f>
        <v>21</v>
      </c>
      <c r="D12" s="7" t="n">
        <f aca="false">COUNTIFS(Features_Buildings!$G:$G,"Y",Features_Buildings!O:O,"S")+COUNTIFS(Features_Buildings!$G:$G,"Y",Features_Buildings!O:O,"B")</f>
        <v>5</v>
      </c>
      <c r="E12" s="8" t="str">
        <f aca="false">Model_Spec!D12</f>
        <v>auto</v>
      </c>
      <c r="F12" s="8" t="n">
        <f aca="false">Model_Spec!F12</f>
        <v>0.999</v>
      </c>
      <c r="G12" s="8" t="str">
        <f aca="false">Model_Spec!Q12</f>
        <v>~3.8k claims; structural zero without AD cover.</v>
      </c>
    </row>
    <row r="13" customFormat="false" ht="15" hidden="false" customHeight="true" outlineLevel="0" collapsed="false">
      <c r="A13" s="6" t="s">
        <v>47</v>
      </c>
      <c r="B13" s="6" t="s">
        <v>38</v>
      </c>
      <c r="C13" s="7" t="n">
        <f aca="false">COUNTIFS(Features_Contents!$G:$G,"Y",Features_Contents!J:J,"F")+COUNTIFS(Features_Contents!$G:$G,"Y",Features_Contents!J:J,"B")</f>
        <v>25</v>
      </c>
      <c r="D13" s="7" t="n">
        <f aca="false">COUNTIFS(Features_Contents!$G:$G,"Y",Features_Contents!J:J,"S")+COUNTIFS(Features_Contents!$G:$G,"Y",Features_Contents!J:J,"B")</f>
        <v>9</v>
      </c>
      <c r="E13" s="8" t="str">
        <f aca="false">Model_Spec!D13</f>
        <v>auto</v>
      </c>
      <c r="F13" s="8" t="n">
        <f aca="false">Model_Spec!F13</f>
        <v>0.999</v>
      </c>
      <c r="G13" s="8" t="str">
        <f aca="false">Model_Spec!Q13</f>
        <v>~7.9k claims.</v>
      </c>
    </row>
    <row r="14" customFormat="false" ht="15" hidden="false" customHeight="true" outlineLevel="0" collapsed="false">
      <c r="A14" s="6" t="s">
        <v>47</v>
      </c>
      <c r="B14" s="6" t="s">
        <v>43</v>
      </c>
      <c r="C14" s="7" t="n">
        <f aca="false">COUNTIFS(Features_Contents!$G:$G,"Y",Features_Contents!K:K,"F")+COUNTIFS(Features_Contents!$G:$G,"Y",Features_Contents!K:K,"B")</f>
        <v>19</v>
      </c>
      <c r="D14" s="7" t="n">
        <f aca="false">COUNTIFS(Features_Contents!$G:$G,"Y",Features_Contents!K:K,"S")+COUNTIFS(Features_Contents!$G:$G,"Y",Features_Contents!K:K,"B")</f>
        <v>8</v>
      </c>
      <c r="E14" s="8" t="str">
        <f aca="false">Model_Spec!D14</f>
        <v>auto</v>
      </c>
      <c r="F14" s="8" t="n">
        <f aca="false">Model_Spec!F14</f>
        <v>0.999</v>
      </c>
      <c r="G14" s="8" t="str">
        <f aca="false">Model_Spec!Q14</f>
        <v>~5.4k claims.</v>
      </c>
    </row>
    <row r="15" customFormat="false" ht="15" hidden="false" customHeight="true" outlineLevel="0" collapsed="false">
      <c r="A15" s="6" t="s">
        <v>47</v>
      </c>
      <c r="B15" s="6" t="s">
        <v>46</v>
      </c>
      <c r="C15" s="7" t="n">
        <f aca="false">COUNTIFS(Features_Contents!$G:$G,"Y",Features_Contents!L:L,"F")+COUNTIFS(Features_Contents!$G:$G,"Y",Features_Contents!L:L,"B")</f>
        <v>21</v>
      </c>
      <c r="D15" s="7" t="n">
        <f aca="false">COUNTIFS(Features_Contents!$G:$G,"Y",Features_Contents!L:L,"S")+COUNTIFS(Features_Contents!$G:$G,"Y",Features_Contents!L:L,"B")</f>
        <v>7</v>
      </c>
      <c r="E15" s="8" t="str">
        <f aca="false">Model_Spec!D15</f>
        <v>auto</v>
      </c>
      <c r="F15" s="8" t="n">
        <f aca="false">Model_Spec!F15</f>
        <v>0.999</v>
      </c>
      <c r="G15" s="8" t="str">
        <f aca="false">Model_Spec!Q15</f>
        <v>~9.2k claims; structural zero without AD cover.</v>
      </c>
    </row>
    <row r="16" customFormat="false" ht="15" hidden="false" customHeight="true" outlineLevel="0" collapsed="false">
      <c r="A16" s="6" t="s">
        <v>47</v>
      </c>
      <c r="B16" s="6" t="s">
        <v>42</v>
      </c>
      <c r="C16" s="7" t="n">
        <f aca="false">COUNTIFS(Features_Contents!$G:$G,"Y",Features_Contents!M:M,"F")+COUNTIFS(Features_Contents!$G:$G,"Y",Features_Contents!M:M,"B")</f>
        <v>13</v>
      </c>
      <c r="D16" s="7" t="n">
        <f aca="false">COUNTIFS(Features_Contents!$G:$G,"Y",Features_Contents!M:M,"S")+COUNTIFS(Features_Contents!$G:$G,"Y",Features_Contents!M:M,"B")</f>
        <v>10</v>
      </c>
      <c r="E16" s="8" t="str">
        <f aca="false">Model_Spec!D16</f>
        <v>auto</v>
      </c>
      <c r="F16" s="8" t="n">
        <f aca="false">Model_Spec!F16</f>
        <v>0.995</v>
      </c>
      <c r="G16" s="8" t="str">
        <f aca="false">Model_Spec!Q16</f>
        <v>~1.6k claims: GLM severity.</v>
      </c>
    </row>
    <row r="18" customFormat="false" ht="15" hidden="false" customHeight="true" outlineLevel="0" collapsed="false">
      <c r="A18" s="9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42"/>
    <col collapsed="false" customWidth="true" hidden="false" outlineLevel="0" max="6" min="6" style="1" width="46"/>
    <col collapsed="false" customWidth="true" hidden="false" outlineLevel="0" max="7" min="7" style="1" width="34"/>
    <col collapsed="false" customWidth="true" hidden="false" outlineLevel="0" max="8" min="8" style="1" width="14"/>
  </cols>
  <sheetData>
    <row r="1" customFormat="false" ht="30" hidden="false" customHeight="true" outlineLevel="0" collapsed="false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</row>
    <row r="2" customFormat="false" ht="68.25" hidden="false" customHeight="true" outlineLevel="0" collapsed="false">
      <c r="A2" s="6" t="n">
        <v>1</v>
      </c>
      <c r="B2" s="6" t="s">
        <v>57</v>
      </c>
      <c r="C2" s="6" t="s">
        <v>58</v>
      </c>
      <c r="D2" s="6" t="s">
        <v>59</v>
      </c>
      <c r="E2" s="6" t="s">
        <v>60</v>
      </c>
      <c r="F2" s="6" t="s">
        <v>61</v>
      </c>
      <c r="G2" s="6" t="s">
        <v>62</v>
      </c>
      <c r="H2" s="6" t="s">
        <v>63</v>
      </c>
    </row>
    <row r="3" customFormat="false" ht="34.5" hidden="false" customHeight="true" outlineLevel="0" collapsed="false">
      <c r="A3" s="6" t="n">
        <v>2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  <c r="G3" s="6" t="s">
        <v>69</v>
      </c>
      <c r="H3" s="6" t="s">
        <v>63</v>
      </c>
    </row>
    <row r="4" customFormat="false" ht="57" hidden="false" customHeight="true" outlineLevel="0" collapsed="false">
      <c r="A4" s="6" t="n">
        <v>3</v>
      </c>
      <c r="B4" s="6" t="s">
        <v>70</v>
      </c>
      <c r="C4" s="6" t="s">
        <v>71</v>
      </c>
      <c r="D4" s="6" t="s">
        <v>72</v>
      </c>
      <c r="E4" s="6" t="s">
        <v>73</v>
      </c>
      <c r="F4" s="6" t="s">
        <v>74</v>
      </c>
      <c r="G4" s="6" t="s">
        <v>75</v>
      </c>
      <c r="H4" s="6" t="s">
        <v>76</v>
      </c>
    </row>
    <row r="5" customFormat="false" ht="45.75" hidden="false" customHeight="true" outlineLevel="0" collapsed="false">
      <c r="A5" s="6" t="n">
        <v>4</v>
      </c>
      <c r="B5" s="6" t="s">
        <v>77</v>
      </c>
      <c r="C5" s="6" t="s">
        <v>78</v>
      </c>
      <c r="D5" s="6" t="s">
        <v>79</v>
      </c>
      <c r="E5" s="6" t="s">
        <v>80</v>
      </c>
      <c r="F5" s="6" t="s">
        <v>81</v>
      </c>
      <c r="G5" s="6" t="s">
        <v>82</v>
      </c>
      <c r="H5" s="6" t="s">
        <v>63</v>
      </c>
    </row>
    <row r="6" customFormat="false" ht="15" hidden="false" customHeight="true" outlineLevel="0" collapsed="false">
      <c r="A6" s="6" t="n">
        <v>5</v>
      </c>
      <c r="B6" s="6" t="s">
        <v>83</v>
      </c>
      <c r="C6" s="6" t="s">
        <v>84</v>
      </c>
      <c r="D6" s="6" t="s">
        <v>85</v>
      </c>
      <c r="E6" s="6" t="s">
        <v>86</v>
      </c>
      <c r="F6" s="6" t="s">
        <v>87</v>
      </c>
      <c r="G6" s="6" t="s">
        <v>88</v>
      </c>
      <c r="H6" s="6" t="s">
        <v>63</v>
      </c>
    </row>
    <row r="7" customFormat="false" ht="23.25" hidden="false" customHeight="true" outlineLevel="0" collapsed="false">
      <c r="A7" s="6" t="n">
        <v>6</v>
      </c>
      <c r="B7" s="6" t="s">
        <v>89</v>
      </c>
      <c r="C7" s="6" t="s">
        <v>90</v>
      </c>
      <c r="D7" s="6" t="s">
        <v>91</v>
      </c>
      <c r="E7" s="6" t="s">
        <v>92</v>
      </c>
      <c r="F7" s="6" t="s">
        <v>93</v>
      </c>
      <c r="G7" s="6" t="s">
        <v>94</v>
      </c>
      <c r="H7" s="6" t="s">
        <v>63</v>
      </c>
    </row>
    <row r="8" customFormat="false" ht="34.5" hidden="false" customHeight="true" outlineLevel="0" collapsed="false">
      <c r="A8" s="6" t="n">
        <v>7</v>
      </c>
      <c r="B8" s="6" t="s">
        <v>95</v>
      </c>
      <c r="C8" s="6" t="s">
        <v>96</v>
      </c>
      <c r="D8" s="6" t="s">
        <v>97</v>
      </c>
      <c r="E8" s="6" t="s">
        <v>98</v>
      </c>
      <c r="F8" s="6" t="s">
        <v>99</v>
      </c>
      <c r="G8" s="6" t="s">
        <v>100</v>
      </c>
      <c r="H8" s="6" t="s">
        <v>63</v>
      </c>
    </row>
    <row r="9" customFormat="false" ht="23.25" hidden="false" customHeight="true" outlineLevel="0" collapsed="false">
      <c r="A9" s="6" t="n">
        <v>8</v>
      </c>
      <c r="B9" s="6" t="s">
        <v>101</v>
      </c>
      <c r="C9" s="6" t="s">
        <v>102</v>
      </c>
      <c r="D9" s="6" t="s">
        <v>103</v>
      </c>
      <c r="E9" s="6" t="s">
        <v>104</v>
      </c>
      <c r="F9" s="6" t="s">
        <v>105</v>
      </c>
      <c r="G9" s="6" t="s">
        <v>106</v>
      </c>
      <c r="H9" s="6" t="s">
        <v>76</v>
      </c>
    </row>
    <row r="10" customFormat="false" ht="23.25" hidden="false" customHeight="true" outlineLevel="0" collapsed="false">
      <c r="A10" s="6" t="n">
        <v>9</v>
      </c>
      <c r="B10" s="6" t="s">
        <v>107</v>
      </c>
      <c r="C10" s="6" t="s">
        <v>108</v>
      </c>
      <c r="D10" s="6" t="s">
        <v>109</v>
      </c>
      <c r="E10" s="6" t="s">
        <v>110</v>
      </c>
      <c r="F10" s="6" t="s">
        <v>111</v>
      </c>
      <c r="G10" s="6" t="s">
        <v>112</v>
      </c>
      <c r="H10" s="6" t="s">
        <v>63</v>
      </c>
    </row>
    <row r="11" customFormat="false" ht="45.75" hidden="false" customHeight="true" outlineLevel="0" collapsed="false">
      <c r="A11" s="6" t="n">
        <v>10</v>
      </c>
      <c r="B11" s="6" t="s">
        <v>113</v>
      </c>
      <c r="C11" s="6" t="s">
        <v>114</v>
      </c>
      <c r="D11" s="6" t="s">
        <v>115</v>
      </c>
      <c r="E11" s="6" t="s">
        <v>116</v>
      </c>
      <c r="F11" s="6" t="s">
        <v>117</v>
      </c>
      <c r="G11" s="6" t="s">
        <v>118</v>
      </c>
      <c r="H11" s="6" t="s">
        <v>63</v>
      </c>
    </row>
    <row r="12" customFormat="false" ht="45.75" hidden="false" customHeight="true" outlineLevel="0" collapsed="false">
      <c r="A12" s="6" t="n">
        <v>11</v>
      </c>
      <c r="B12" s="6" t="s">
        <v>119</v>
      </c>
      <c r="C12" s="6" t="s">
        <v>120</v>
      </c>
      <c r="D12" s="6" t="s">
        <v>121</v>
      </c>
      <c r="E12" s="6" t="s">
        <v>122</v>
      </c>
      <c r="F12" s="6" t="s">
        <v>123</v>
      </c>
      <c r="G12" s="6" t="s">
        <v>124</v>
      </c>
      <c r="H12" s="6" t="s">
        <v>76</v>
      </c>
    </row>
    <row r="13" customFormat="false" ht="15" hidden="false" customHeight="true" outlineLevel="0" collapsed="false">
      <c r="A13" s="6" t="n">
        <v>12</v>
      </c>
      <c r="B13" s="6" t="s">
        <v>125</v>
      </c>
      <c r="C13" s="6" t="s">
        <v>126</v>
      </c>
      <c r="D13" s="6" t="s">
        <v>127</v>
      </c>
      <c r="E13" s="6" t="s">
        <v>128</v>
      </c>
      <c r="F13" s="6" t="s">
        <v>129</v>
      </c>
      <c r="G13" s="6" t="s">
        <v>88</v>
      </c>
      <c r="H13" s="6" t="s">
        <v>63</v>
      </c>
    </row>
    <row r="14" customFormat="false" ht="15" hidden="false" customHeight="true" outlineLevel="0" collapsed="false">
      <c r="A14" s="6" t="n">
        <v>13</v>
      </c>
      <c r="B14" s="6" t="s">
        <v>130</v>
      </c>
      <c r="C14" s="6" t="s">
        <v>131</v>
      </c>
      <c r="D14" s="6" t="s">
        <v>132</v>
      </c>
      <c r="E14" s="6" t="s">
        <v>88</v>
      </c>
      <c r="F14" s="6" t="s">
        <v>133</v>
      </c>
      <c r="G14" s="6" t="s">
        <v>88</v>
      </c>
      <c r="H14" s="6" t="s">
        <v>63</v>
      </c>
    </row>
    <row r="15" customFormat="false" ht="23.25" hidden="false" customHeight="true" outlineLevel="0" collapsed="false">
      <c r="A15" s="6" t="n">
        <v>14</v>
      </c>
      <c r="B15" s="6" t="s">
        <v>134</v>
      </c>
      <c r="C15" s="6" t="s">
        <v>135</v>
      </c>
      <c r="D15" s="6" t="s">
        <v>136</v>
      </c>
      <c r="E15" s="6" t="s">
        <v>137</v>
      </c>
      <c r="F15" s="6" t="s">
        <v>138</v>
      </c>
      <c r="G15" s="6" t="s">
        <v>88</v>
      </c>
      <c r="H15" s="6" t="s">
        <v>63</v>
      </c>
    </row>
    <row r="16" customFormat="false" ht="23.25" hidden="false" customHeight="true" outlineLevel="0" collapsed="false">
      <c r="A16" s="6" t="n">
        <v>15</v>
      </c>
      <c r="B16" s="6" t="s">
        <v>139</v>
      </c>
      <c r="C16" s="6" t="s">
        <v>140</v>
      </c>
      <c r="D16" s="6" t="s">
        <v>141</v>
      </c>
      <c r="E16" s="6" t="s">
        <v>88</v>
      </c>
      <c r="F16" s="6" t="s">
        <v>142</v>
      </c>
      <c r="G16" s="6" t="s">
        <v>143</v>
      </c>
      <c r="H16" s="6" t="s">
        <v>76</v>
      </c>
    </row>
    <row r="17" customFormat="false" ht="23.25" hidden="false" customHeight="true" outlineLevel="0" collapsed="false">
      <c r="A17" s="6" t="n">
        <v>16</v>
      </c>
      <c r="B17" s="6" t="s">
        <v>144</v>
      </c>
      <c r="C17" s="6" t="s">
        <v>145</v>
      </c>
      <c r="D17" s="6" t="s">
        <v>146</v>
      </c>
      <c r="E17" s="6" t="s">
        <v>88</v>
      </c>
      <c r="F17" s="6" t="s">
        <v>147</v>
      </c>
      <c r="G17" s="6" t="s">
        <v>88</v>
      </c>
      <c r="H17" s="6" t="s">
        <v>76</v>
      </c>
    </row>
    <row r="18" customFormat="false" ht="34.5" hidden="false" customHeight="true" outlineLevel="0" collapsed="false">
      <c r="A18" s="6" t="n">
        <v>17</v>
      </c>
      <c r="B18" s="6" t="s">
        <v>148</v>
      </c>
      <c r="C18" s="6" t="s">
        <v>149</v>
      </c>
      <c r="D18" s="6" t="s">
        <v>150</v>
      </c>
      <c r="E18" s="6" t="s">
        <v>151</v>
      </c>
      <c r="F18" s="6" t="s">
        <v>152</v>
      </c>
      <c r="G18" s="6" t="s">
        <v>153</v>
      </c>
      <c r="H18" s="6" t="s">
        <v>154</v>
      </c>
    </row>
    <row r="19" customFormat="false" ht="34.5" hidden="false" customHeight="true" outlineLevel="0" collapsed="false">
      <c r="A19" s="6" t="n">
        <v>18</v>
      </c>
      <c r="B19" s="6" t="s">
        <v>155</v>
      </c>
      <c r="C19" s="6" t="s">
        <v>156</v>
      </c>
      <c r="D19" s="6" t="s">
        <v>157</v>
      </c>
      <c r="E19" s="6" t="s">
        <v>158</v>
      </c>
      <c r="F19" s="6" t="s">
        <v>159</v>
      </c>
      <c r="G19" s="6" t="s">
        <v>160</v>
      </c>
      <c r="H19" s="6" t="s">
        <v>63</v>
      </c>
    </row>
    <row r="20" customFormat="false" ht="34.5" hidden="false" customHeight="true" outlineLevel="0" collapsed="false">
      <c r="A20" s="6" t="n">
        <v>19</v>
      </c>
      <c r="B20" s="6" t="s">
        <v>161</v>
      </c>
      <c r="C20" s="6" t="s">
        <v>162</v>
      </c>
      <c r="D20" s="6" t="s">
        <v>163</v>
      </c>
      <c r="E20" s="6" t="s">
        <v>164</v>
      </c>
      <c r="F20" s="6" t="s">
        <v>165</v>
      </c>
      <c r="G20" s="6" t="s">
        <v>166</v>
      </c>
      <c r="H20" s="6" t="s">
        <v>63</v>
      </c>
    </row>
    <row r="21" customFormat="false" ht="23.25" hidden="false" customHeight="true" outlineLevel="0" collapsed="false">
      <c r="A21" s="6" t="n">
        <v>20</v>
      </c>
      <c r="B21" s="6" t="s">
        <v>167</v>
      </c>
      <c r="C21" s="6" t="s">
        <v>168</v>
      </c>
      <c r="D21" s="6" t="s">
        <v>169</v>
      </c>
      <c r="E21" s="6" t="s">
        <v>170</v>
      </c>
      <c r="F21" s="6" t="s">
        <v>171</v>
      </c>
      <c r="G21" s="6" t="s">
        <v>88</v>
      </c>
      <c r="H21" s="6" t="s">
        <v>63</v>
      </c>
    </row>
    <row r="22" customFormat="false" ht="23.25" hidden="false" customHeight="true" outlineLevel="0" collapsed="false">
      <c r="A22" s="6" t="n">
        <v>21</v>
      </c>
      <c r="B22" s="6" t="s">
        <v>172</v>
      </c>
      <c r="C22" s="6" t="s">
        <v>173</v>
      </c>
      <c r="D22" s="6" t="s">
        <v>174</v>
      </c>
      <c r="E22" s="6" t="s">
        <v>175</v>
      </c>
      <c r="F22" s="6" t="s">
        <v>176</v>
      </c>
      <c r="G22" s="6" t="s">
        <v>177</v>
      </c>
      <c r="H22" s="6" t="s">
        <v>63</v>
      </c>
    </row>
    <row r="23" customFormat="false" ht="34.5" hidden="false" customHeight="true" outlineLevel="0" collapsed="false">
      <c r="A23" s="6" t="n">
        <v>22</v>
      </c>
      <c r="B23" s="6" t="s">
        <v>178</v>
      </c>
      <c r="C23" s="6" t="s">
        <v>179</v>
      </c>
      <c r="D23" s="6" t="s">
        <v>180</v>
      </c>
      <c r="E23" s="6" t="s">
        <v>181</v>
      </c>
      <c r="F23" s="6" t="s">
        <v>182</v>
      </c>
      <c r="G23" s="6" t="s">
        <v>183</v>
      </c>
      <c r="H23" s="6" t="s">
        <v>184</v>
      </c>
    </row>
    <row r="24" customFormat="false" ht="23.25" hidden="false" customHeight="true" outlineLevel="0" collapsed="false">
      <c r="A24" s="6" t="n">
        <v>23</v>
      </c>
      <c r="B24" s="6" t="s">
        <v>185</v>
      </c>
      <c r="C24" s="6" t="s">
        <v>186</v>
      </c>
      <c r="D24" s="6" t="s">
        <v>187</v>
      </c>
      <c r="E24" s="6" t="s">
        <v>188</v>
      </c>
      <c r="F24" s="6" t="s">
        <v>88</v>
      </c>
      <c r="G24" s="6" t="s">
        <v>189</v>
      </c>
      <c r="H24" s="6" t="s">
        <v>190</v>
      </c>
    </row>
    <row r="25" customFormat="false" ht="34.5" hidden="false" customHeight="true" outlineLevel="0" collapsed="false">
      <c r="A25" s="6" t="n">
        <v>24</v>
      </c>
      <c r="B25" s="6" t="s">
        <v>15</v>
      </c>
      <c r="C25" s="6" t="s">
        <v>191</v>
      </c>
      <c r="D25" s="6" t="s">
        <v>192</v>
      </c>
      <c r="E25" s="6" t="s">
        <v>193</v>
      </c>
      <c r="F25" s="6" t="s">
        <v>194</v>
      </c>
      <c r="G25" s="6" t="s">
        <v>88</v>
      </c>
      <c r="H25" s="6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8"/>
    <col collapsed="false" customWidth="true" hidden="false" outlineLevel="0" max="4" min="4" style="1" width="38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7" min="7" style="1" width="6"/>
    <col collapsed="false" customWidth="true" hidden="false" outlineLevel="0" max="9" min="8" style="1" width="9"/>
    <col collapsed="false" customWidth="true" hidden="false" outlineLevel="0" max="14" min="10" style="1" width="11"/>
    <col collapsed="false" customWidth="true" hidden="false" outlineLevel="0" max="15" min="15" style="1" width="48"/>
    <col collapsed="false" customWidth="true" hidden="false" outlineLevel="0" max="16" min="16" style="1" width="40"/>
  </cols>
  <sheetData>
    <row r="1" customFormat="false" ht="30" hidden="false" customHeight="true" outlineLevel="0" collapsed="false">
      <c r="A1" s="5" t="s">
        <v>195</v>
      </c>
      <c r="B1" s="5" t="s">
        <v>196</v>
      </c>
      <c r="C1" s="5" t="s">
        <v>197</v>
      </c>
      <c r="D1" s="5" t="s">
        <v>198</v>
      </c>
      <c r="E1" s="5" t="s">
        <v>199</v>
      </c>
      <c r="F1" s="5" t="s">
        <v>52</v>
      </c>
      <c r="G1" s="5" t="s">
        <v>200</v>
      </c>
      <c r="H1" s="5" t="s">
        <v>201</v>
      </c>
      <c r="I1" s="5" t="s">
        <v>202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203</v>
      </c>
      <c r="P1" s="5" t="s">
        <v>204</v>
      </c>
    </row>
    <row r="2" customFormat="false" ht="23.25" hidden="false" customHeight="true" outlineLevel="0" collapsed="false">
      <c r="A2" s="6" t="s">
        <v>205</v>
      </c>
      <c r="B2" s="6" t="s">
        <v>206</v>
      </c>
      <c r="C2" s="6" t="s">
        <v>207</v>
      </c>
      <c r="D2" s="6" t="s">
        <v>208</v>
      </c>
      <c r="E2" s="6" t="s">
        <v>209</v>
      </c>
      <c r="F2" s="6" t="s">
        <v>210</v>
      </c>
      <c r="G2" s="10" t="s">
        <v>211</v>
      </c>
      <c r="H2" s="10" t="n">
        <v>0</v>
      </c>
      <c r="I2" s="10" t="n">
        <v>0</v>
      </c>
      <c r="J2" s="11" t="s">
        <v>212</v>
      </c>
      <c r="K2" s="11" t="s">
        <v>212</v>
      </c>
      <c r="L2" s="11" t="s">
        <v>212</v>
      </c>
      <c r="M2" s="11" t="s">
        <v>213</v>
      </c>
      <c r="N2" s="11" t="s">
        <v>88</v>
      </c>
      <c r="O2" s="6" t="s">
        <v>214</v>
      </c>
      <c r="P2" s="6"/>
    </row>
    <row r="3" customFormat="false" ht="15" hidden="false" customHeight="true" outlineLevel="0" collapsed="false">
      <c r="A3" s="6" t="s">
        <v>215</v>
      </c>
      <c r="B3" s="6" t="s">
        <v>206</v>
      </c>
      <c r="C3" s="6" t="s">
        <v>207</v>
      </c>
      <c r="D3" s="6" t="s">
        <v>216</v>
      </c>
      <c r="E3" s="6" t="s">
        <v>217</v>
      </c>
      <c r="F3" s="6" t="s">
        <v>210</v>
      </c>
      <c r="G3" s="10" t="s">
        <v>211</v>
      </c>
      <c r="H3" s="10" t="n">
        <v>0</v>
      </c>
      <c r="I3" s="10" t="n">
        <v>0</v>
      </c>
      <c r="J3" s="11" t="s">
        <v>213</v>
      </c>
      <c r="K3" s="11" t="s">
        <v>213</v>
      </c>
      <c r="L3" s="11" t="s">
        <v>213</v>
      </c>
      <c r="M3" s="11" t="s">
        <v>88</v>
      </c>
      <c r="N3" s="11" t="s">
        <v>88</v>
      </c>
      <c r="O3" s="6" t="s">
        <v>218</v>
      </c>
      <c r="P3" s="6"/>
    </row>
    <row r="4" customFormat="false" ht="23.25" hidden="false" customHeight="true" outlineLevel="0" collapsed="false">
      <c r="A4" s="6" t="s">
        <v>219</v>
      </c>
      <c r="B4" s="6" t="s">
        <v>206</v>
      </c>
      <c r="C4" s="6" t="s">
        <v>207</v>
      </c>
      <c r="D4" s="6" t="s">
        <v>220</v>
      </c>
      <c r="E4" s="6" t="s">
        <v>221</v>
      </c>
      <c r="F4" s="6" t="s">
        <v>210</v>
      </c>
      <c r="G4" s="10" t="s">
        <v>211</v>
      </c>
      <c r="H4" s="10" t="n">
        <v>-1</v>
      </c>
      <c r="I4" s="10" t="n">
        <v>0</v>
      </c>
      <c r="J4" s="11" t="s">
        <v>213</v>
      </c>
      <c r="K4" s="11" t="s">
        <v>213</v>
      </c>
      <c r="L4" s="11" t="s">
        <v>213</v>
      </c>
      <c r="M4" s="11" t="s">
        <v>88</v>
      </c>
      <c r="N4" s="11" t="s">
        <v>88</v>
      </c>
      <c r="O4" s="6" t="s">
        <v>222</v>
      </c>
      <c r="P4" s="6"/>
    </row>
    <row r="5" customFormat="false" ht="23.25" hidden="false" customHeight="true" outlineLevel="0" collapsed="false">
      <c r="A5" s="6" t="s">
        <v>223</v>
      </c>
      <c r="B5" s="6" t="s">
        <v>206</v>
      </c>
      <c r="C5" s="6" t="s">
        <v>207</v>
      </c>
      <c r="D5" s="6" t="s">
        <v>224</v>
      </c>
      <c r="E5" s="6" t="s">
        <v>225</v>
      </c>
      <c r="F5" s="6" t="s">
        <v>210</v>
      </c>
      <c r="G5" s="10" t="s">
        <v>211</v>
      </c>
      <c r="H5" s="10" t="n">
        <v>0</v>
      </c>
      <c r="I5" s="10" t="n">
        <v>1</v>
      </c>
      <c r="J5" s="11" t="s">
        <v>212</v>
      </c>
      <c r="K5" s="11" t="s">
        <v>88</v>
      </c>
      <c r="L5" s="11" t="s">
        <v>88</v>
      </c>
      <c r="M5" s="11" t="s">
        <v>212</v>
      </c>
      <c r="N5" s="11" t="s">
        <v>212</v>
      </c>
      <c r="O5" s="6" t="s">
        <v>226</v>
      </c>
      <c r="P5" s="6"/>
    </row>
    <row r="6" customFormat="false" ht="15" hidden="false" customHeight="true" outlineLevel="0" collapsed="false">
      <c r="A6" s="6" t="s">
        <v>227</v>
      </c>
      <c r="B6" s="6" t="s">
        <v>206</v>
      </c>
      <c r="C6" s="6" t="s">
        <v>207</v>
      </c>
      <c r="D6" s="6" t="s">
        <v>228</v>
      </c>
      <c r="E6" s="6" t="s">
        <v>229</v>
      </c>
      <c r="F6" s="6" t="s">
        <v>210</v>
      </c>
      <c r="G6" s="10" t="s">
        <v>211</v>
      </c>
      <c r="H6" s="10" t="n">
        <v>0</v>
      </c>
      <c r="I6" s="10" t="n">
        <v>0</v>
      </c>
      <c r="J6" s="11" t="s">
        <v>212</v>
      </c>
      <c r="K6" s="11" t="s">
        <v>213</v>
      </c>
      <c r="L6" s="11" t="s">
        <v>88</v>
      </c>
      <c r="M6" s="11" t="s">
        <v>212</v>
      </c>
      <c r="N6" s="11" t="s">
        <v>230</v>
      </c>
      <c r="O6" s="6" t="s">
        <v>231</v>
      </c>
      <c r="P6" s="6"/>
    </row>
    <row r="7" customFormat="false" ht="23.25" hidden="false" customHeight="true" outlineLevel="0" collapsed="false">
      <c r="A7" s="6" t="s">
        <v>232</v>
      </c>
      <c r="B7" s="6" t="s">
        <v>206</v>
      </c>
      <c r="C7" s="6" t="s">
        <v>233</v>
      </c>
      <c r="D7" s="6" t="s">
        <v>234</v>
      </c>
      <c r="E7" s="6" t="s">
        <v>235</v>
      </c>
      <c r="F7" s="6" t="s">
        <v>236</v>
      </c>
      <c r="G7" s="10" t="s">
        <v>211</v>
      </c>
      <c r="H7" s="10" t="n">
        <v>0</v>
      </c>
      <c r="I7" s="10" t="n">
        <v>0</v>
      </c>
      <c r="J7" s="11" t="s">
        <v>212</v>
      </c>
      <c r="K7" s="11" t="s">
        <v>213</v>
      </c>
      <c r="L7" s="11" t="s">
        <v>88</v>
      </c>
      <c r="M7" s="11" t="s">
        <v>212</v>
      </c>
      <c r="N7" s="11" t="s">
        <v>212</v>
      </c>
      <c r="O7" s="6" t="s">
        <v>237</v>
      </c>
      <c r="P7" s="6" t="s">
        <v>238</v>
      </c>
    </row>
    <row r="8" customFormat="false" ht="15" hidden="false" customHeight="true" outlineLevel="0" collapsed="false">
      <c r="A8" s="6" t="s">
        <v>239</v>
      </c>
      <c r="B8" s="6" t="s">
        <v>206</v>
      </c>
      <c r="C8" s="6" t="s">
        <v>207</v>
      </c>
      <c r="D8" s="6" t="s">
        <v>240</v>
      </c>
      <c r="E8" s="6" t="s">
        <v>241</v>
      </c>
      <c r="F8" s="6" t="s">
        <v>210</v>
      </c>
      <c r="G8" s="10" t="s">
        <v>211</v>
      </c>
      <c r="H8" s="10" t="n">
        <v>0</v>
      </c>
      <c r="I8" s="10" t="n">
        <v>0</v>
      </c>
      <c r="J8" s="11" t="s">
        <v>213</v>
      </c>
      <c r="K8" s="11" t="s">
        <v>212</v>
      </c>
      <c r="L8" s="11" t="s">
        <v>213</v>
      </c>
      <c r="M8" s="11" t="s">
        <v>213</v>
      </c>
      <c r="N8" s="11" t="s">
        <v>88</v>
      </c>
      <c r="O8" s="6" t="s">
        <v>242</v>
      </c>
      <c r="P8" s="6"/>
    </row>
    <row r="9" customFormat="false" ht="15" hidden="false" customHeight="true" outlineLevel="0" collapsed="false">
      <c r="A9" s="6" t="s">
        <v>243</v>
      </c>
      <c r="B9" s="6" t="s">
        <v>206</v>
      </c>
      <c r="C9" s="6" t="s">
        <v>233</v>
      </c>
      <c r="D9" s="6" t="s">
        <v>244</v>
      </c>
      <c r="E9" s="6" t="s">
        <v>245</v>
      </c>
      <c r="F9" s="6" t="s">
        <v>210</v>
      </c>
      <c r="G9" s="10" t="s">
        <v>211</v>
      </c>
      <c r="H9" s="10" t="n">
        <v>0</v>
      </c>
      <c r="I9" s="10" t="n">
        <v>0</v>
      </c>
      <c r="J9" s="11" t="s">
        <v>212</v>
      </c>
      <c r="K9" s="11" t="s">
        <v>212</v>
      </c>
      <c r="L9" s="11" t="s">
        <v>88</v>
      </c>
      <c r="M9" s="11" t="s">
        <v>213</v>
      </c>
      <c r="N9" s="11" t="s">
        <v>230</v>
      </c>
      <c r="O9" s="6" t="s">
        <v>246</v>
      </c>
      <c r="P9" s="6"/>
    </row>
    <row r="10" customFormat="false" ht="15" hidden="false" customHeight="true" outlineLevel="0" collapsed="false">
      <c r="A10" s="6" t="s">
        <v>247</v>
      </c>
      <c r="B10" s="6" t="s">
        <v>206</v>
      </c>
      <c r="C10" s="6" t="s">
        <v>233</v>
      </c>
      <c r="D10" s="6" t="s">
        <v>248</v>
      </c>
      <c r="E10" s="6" t="s">
        <v>249</v>
      </c>
      <c r="F10" s="6" t="s">
        <v>236</v>
      </c>
      <c r="G10" s="10" t="s">
        <v>211</v>
      </c>
      <c r="H10" s="10" t="n">
        <v>0</v>
      </c>
      <c r="I10" s="10" t="n">
        <v>0</v>
      </c>
      <c r="J10" s="11" t="s">
        <v>213</v>
      </c>
      <c r="K10" s="11" t="s">
        <v>88</v>
      </c>
      <c r="L10" s="11" t="s">
        <v>88</v>
      </c>
      <c r="M10" s="11" t="s">
        <v>88</v>
      </c>
      <c r="N10" s="11" t="s">
        <v>88</v>
      </c>
      <c r="O10" s="6" t="s">
        <v>250</v>
      </c>
      <c r="P10" s="6"/>
    </row>
    <row r="11" customFormat="false" ht="15" hidden="false" customHeight="true" outlineLevel="0" collapsed="false">
      <c r="A11" s="6" t="s">
        <v>251</v>
      </c>
      <c r="B11" s="6" t="s">
        <v>206</v>
      </c>
      <c r="C11" s="6" t="s">
        <v>207</v>
      </c>
      <c r="D11" s="6" t="s">
        <v>252</v>
      </c>
      <c r="E11" s="6" t="s">
        <v>253</v>
      </c>
      <c r="F11" s="6" t="s">
        <v>236</v>
      </c>
      <c r="G11" s="10" t="s">
        <v>211</v>
      </c>
      <c r="H11" s="10" t="n">
        <v>0</v>
      </c>
      <c r="I11" s="10" t="n">
        <v>0</v>
      </c>
      <c r="J11" s="11" t="s">
        <v>88</v>
      </c>
      <c r="K11" s="11" t="s">
        <v>88</v>
      </c>
      <c r="L11" s="11" t="s">
        <v>230</v>
      </c>
      <c r="M11" s="11" t="s">
        <v>88</v>
      </c>
      <c r="N11" s="11" t="s">
        <v>88</v>
      </c>
      <c r="O11" s="6" t="s">
        <v>254</v>
      </c>
      <c r="P11" s="6"/>
    </row>
    <row r="12" customFormat="false" ht="23.25" hidden="false" customHeight="true" outlineLevel="0" collapsed="false">
      <c r="A12" s="12" t="s">
        <v>255</v>
      </c>
      <c r="B12" s="6" t="s">
        <v>206</v>
      </c>
      <c r="C12" s="6" t="s">
        <v>233</v>
      </c>
      <c r="D12" s="6" t="s">
        <v>256</v>
      </c>
      <c r="E12" s="6" t="s">
        <v>257</v>
      </c>
      <c r="F12" s="12" t="s">
        <v>258</v>
      </c>
      <c r="G12" s="10" t="s">
        <v>259</v>
      </c>
      <c r="H12" s="10" t="n">
        <v>0</v>
      </c>
      <c r="I12" s="10" t="n">
        <v>0</v>
      </c>
      <c r="J12" s="11" t="s">
        <v>88</v>
      </c>
      <c r="K12" s="11" t="s">
        <v>88</v>
      </c>
      <c r="L12" s="11" t="s">
        <v>88</v>
      </c>
      <c r="M12" s="11" t="s">
        <v>88</v>
      </c>
      <c r="N12" s="11" t="s">
        <v>88</v>
      </c>
      <c r="O12" s="6" t="s">
        <v>260</v>
      </c>
      <c r="P12" s="6" t="s">
        <v>261</v>
      </c>
    </row>
    <row r="13" customFormat="false" ht="15" hidden="false" customHeight="true" outlineLevel="0" collapsed="false">
      <c r="A13" s="6" t="s">
        <v>262</v>
      </c>
      <c r="B13" s="6" t="s">
        <v>206</v>
      </c>
      <c r="C13" s="6" t="s">
        <v>233</v>
      </c>
      <c r="D13" s="6" t="s">
        <v>263</v>
      </c>
      <c r="E13" s="6" t="s">
        <v>264</v>
      </c>
      <c r="F13" s="6" t="s">
        <v>236</v>
      </c>
      <c r="G13" s="10" t="s">
        <v>211</v>
      </c>
      <c r="H13" s="10" t="n">
        <v>0</v>
      </c>
      <c r="I13" s="10" t="n">
        <v>0</v>
      </c>
      <c r="J13" s="11" t="s">
        <v>230</v>
      </c>
      <c r="K13" s="11" t="s">
        <v>88</v>
      </c>
      <c r="L13" s="11" t="s">
        <v>88</v>
      </c>
      <c r="M13" s="11" t="s">
        <v>213</v>
      </c>
      <c r="N13" s="11" t="s">
        <v>88</v>
      </c>
      <c r="O13" s="6" t="s">
        <v>265</v>
      </c>
      <c r="P13" s="6"/>
    </row>
    <row r="14" customFormat="false" ht="15" hidden="false" customHeight="true" outlineLevel="0" collapsed="false">
      <c r="A14" s="6" t="s">
        <v>266</v>
      </c>
      <c r="B14" s="6" t="s">
        <v>206</v>
      </c>
      <c r="C14" s="6" t="s">
        <v>267</v>
      </c>
      <c r="D14" s="6" t="s">
        <v>268</v>
      </c>
      <c r="E14" s="6" t="s">
        <v>269</v>
      </c>
      <c r="F14" s="6" t="s">
        <v>210</v>
      </c>
      <c r="G14" s="10" t="s">
        <v>211</v>
      </c>
      <c r="H14" s="10" t="n">
        <v>0</v>
      </c>
      <c r="I14" s="10" t="n">
        <v>0</v>
      </c>
      <c r="J14" s="11" t="s">
        <v>213</v>
      </c>
      <c r="K14" s="11" t="s">
        <v>213</v>
      </c>
      <c r="L14" s="11" t="s">
        <v>213</v>
      </c>
      <c r="M14" s="11" t="s">
        <v>88</v>
      </c>
      <c r="N14" s="11" t="s">
        <v>88</v>
      </c>
      <c r="O14" s="6" t="s">
        <v>270</v>
      </c>
      <c r="P14" s="6"/>
    </row>
    <row r="15" customFormat="false" ht="23.25" hidden="false" customHeight="true" outlineLevel="0" collapsed="false">
      <c r="A15" s="6" t="s">
        <v>271</v>
      </c>
      <c r="B15" s="6" t="s">
        <v>206</v>
      </c>
      <c r="C15" s="6" t="s">
        <v>233</v>
      </c>
      <c r="D15" s="6" t="s">
        <v>272</v>
      </c>
      <c r="E15" s="6" t="s">
        <v>273</v>
      </c>
      <c r="F15" s="6" t="s">
        <v>210</v>
      </c>
      <c r="G15" s="10" t="s">
        <v>211</v>
      </c>
      <c r="H15" s="10" t="n">
        <v>0</v>
      </c>
      <c r="I15" s="10" t="n">
        <v>0</v>
      </c>
      <c r="J15" s="11" t="s">
        <v>212</v>
      </c>
      <c r="K15" s="11" t="s">
        <v>213</v>
      </c>
      <c r="L15" s="11" t="s">
        <v>213</v>
      </c>
      <c r="M15" s="11" t="s">
        <v>212</v>
      </c>
      <c r="N15" s="11" t="s">
        <v>212</v>
      </c>
      <c r="O15" s="6" t="s">
        <v>274</v>
      </c>
      <c r="P15" s="6" t="s">
        <v>275</v>
      </c>
    </row>
    <row r="16" customFormat="false" ht="15" hidden="false" customHeight="true" outlineLevel="0" collapsed="false">
      <c r="A16" s="6" t="s">
        <v>276</v>
      </c>
      <c r="B16" s="6" t="s">
        <v>206</v>
      </c>
      <c r="C16" s="6" t="s">
        <v>207</v>
      </c>
      <c r="D16" s="6" t="s">
        <v>277</v>
      </c>
      <c r="E16" s="6" t="s">
        <v>278</v>
      </c>
      <c r="F16" s="6" t="s">
        <v>210</v>
      </c>
      <c r="G16" s="10" t="s">
        <v>211</v>
      </c>
      <c r="H16" s="10" t="n">
        <v>1</v>
      </c>
      <c r="I16" s="10" t="n">
        <v>0</v>
      </c>
      <c r="J16" s="11" t="s">
        <v>213</v>
      </c>
      <c r="K16" s="11" t="s">
        <v>213</v>
      </c>
      <c r="L16" s="11" t="s">
        <v>213</v>
      </c>
      <c r="M16" s="11" t="s">
        <v>88</v>
      </c>
      <c r="N16" s="11" t="s">
        <v>213</v>
      </c>
      <c r="O16" s="6" t="s">
        <v>279</v>
      </c>
      <c r="P16" s="6"/>
    </row>
    <row r="17" customFormat="false" ht="15" hidden="false" customHeight="true" outlineLevel="0" collapsed="false">
      <c r="A17" s="6" t="s">
        <v>280</v>
      </c>
      <c r="B17" s="6" t="s">
        <v>206</v>
      </c>
      <c r="C17" s="6" t="s">
        <v>233</v>
      </c>
      <c r="D17" s="6" t="s">
        <v>281</v>
      </c>
      <c r="E17" s="6" t="s">
        <v>282</v>
      </c>
      <c r="F17" s="6" t="s">
        <v>210</v>
      </c>
      <c r="G17" s="10" t="s">
        <v>211</v>
      </c>
      <c r="H17" s="10" t="n">
        <v>0</v>
      </c>
      <c r="I17" s="10" t="n">
        <v>0</v>
      </c>
      <c r="J17" s="11" t="s">
        <v>213</v>
      </c>
      <c r="K17" s="11" t="s">
        <v>88</v>
      </c>
      <c r="L17" s="11" t="s">
        <v>88</v>
      </c>
      <c r="M17" s="11" t="s">
        <v>212</v>
      </c>
      <c r="N17" s="11" t="s">
        <v>213</v>
      </c>
      <c r="O17" s="6" t="s">
        <v>283</v>
      </c>
      <c r="P17" s="6"/>
    </row>
    <row r="18" customFormat="false" ht="15" hidden="false" customHeight="true" outlineLevel="0" collapsed="false">
      <c r="A18" s="6" t="s">
        <v>284</v>
      </c>
      <c r="B18" s="6" t="s">
        <v>206</v>
      </c>
      <c r="C18" s="6" t="s">
        <v>233</v>
      </c>
      <c r="D18" s="6" t="s">
        <v>285</v>
      </c>
      <c r="E18" s="6" t="s">
        <v>286</v>
      </c>
      <c r="F18" s="6" t="s">
        <v>210</v>
      </c>
      <c r="G18" s="10" t="s">
        <v>211</v>
      </c>
      <c r="H18" s="10" t="n">
        <v>0</v>
      </c>
      <c r="I18" s="10" t="n">
        <v>0</v>
      </c>
      <c r="J18" s="11" t="s">
        <v>213</v>
      </c>
      <c r="K18" s="11" t="s">
        <v>213</v>
      </c>
      <c r="L18" s="11" t="s">
        <v>213</v>
      </c>
      <c r="M18" s="11" t="s">
        <v>88</v>
      </c>
      <c r="N18" s="11" t="s">
        <v>88</v>
      </c>
      <c r="O18" s="6" t="s">
        <v>286</v>
      </c>
      <c r="P18" s="6"/>
    </row>
    <row r="19" customFormat="false" ht="15" hidden="false" customHeight="true" outlineLevel="0" collapsed="false">
      <c r="A19" s="6" t="s">
        <v>287</v>
      </c>
      <c r="B19" s="6" t="s">
        <v>206</v>
      </c>
      <c r="C19" s="6" t="s">
        <v>288</v>
      </c>
      <c r="D19" s="6" t="s">
        <v>289</v>
      </c>
      <c r="E19" s="6" t="s">
        <v>209</v>
      </c>
      <c r="F19" s="6" t="s">
        <v>210</v>
      </c>
      <c r="G19" s="10" t="s">
        <v>211</v>
      </c>
      <c r="H19" s="10" t="n">
        <v>1</v>
      </c>
      <c r="I19" s="10" t="n">
        <v>0</v>
      </c>
      <c r="J19" s="11" t="s">
        <v>213</v>
      </c>
      <c r="K19" s="11" t="s">
        <v>213</v>
      </c>
      <c r="L19" s="11" t="s">
        <v>213</v>
      </c>
      <c r="M19" s="11" t="s">
        <v>88</v>
      </c>
      <c r="N19" s="11" t="s">
        <v>88</v>
      </c>
      <c r="O19" s="6" t="s">
        <v>290</v>
      </c>
      <c r="P19" s="6"/>
    </row>
    <row r="20" customFormat="false" ht="15" hidden="false" customHeight="true" outlineLevel="0" collapsed="false">
      <c r="A20" s="6" t="s">
        <v>291</v>
      </c>
      <c r="B20" s="6" t="s">
        <v>206</v>
      </c>
      <c r="C20" s="6" t="s">
        <v>288</v>
      </c>
      <c r="D20" s="6" t="s">
        <v>292</v>
      </c>
      <c r="E20" s="6" t="s">
        <v>293</v>
      </c>
      <c r="F20" s="6" t="s">
        <v>236</v>
      </c>
      <c r="G20" s="10" t="s">
        <v>211</v>
      </c>
      <c r="H20" s="10" t="n">
        <v>0</v>
      </c>
      <c r="I20" s="10" t="n">
        <v>0</v>
      </c>
      <c r="J20" s="11" t="s">
        <v>213</v>
      </c>
      <c r="K20" s="11" t="s">
        <v>213</v>
      </c>
      <c r="L20" s="11" t="s">
        <v>213</v>
      </c>
      <c r="M20" s="11" t="s">
        <v>88</v>
      </c>
      <c r="N20" s="11" t="s">
        <v>88</v>
      </c>
      <c r="O20" s="6" t="s">
        <v>294</v>
      </c>
      <c r="P20" s="6"/>
    </row>
    <row r="21" customFormat="false" ht="23.25" hidden="false" customHeight="true" outlineLevel="0" collapsed="false">
      <c r="A21" s="6" t="s">
        <v>295</v>
      </c>
      <c r="B21" s="6" t="s">
        <v>206</v>
      </c>
      <c r="C21" s="6" t="s">
        <v>207</v>
      </c>
      <c r="D21" s="6" t="s">
        <v>296</v>
      </c>
      <c r="E21" s="6" t="s">
        <v>297</v>
      </c>
      <c r="F21" s="6" t="s">
        <v>236</v>
      </c>
      <c r="G21" s="10" t="s">
        <v>211</v>
      </c>
      <c r="H21" s="10" t="n">
        <v>0</v>
      </c>
      <c r="I21" s="10" t="n">
        <v>0</v>
      </c>
      <c r="J21" s="11" t="s">
        <v>213</v>
      </c>
      <c r="K21" s="11" t="s">
        <v>213</v>
      </c>
      <c r="L21" s="11" t="s">
        <v>213</v>
      </c>
      <c r="M21" s="11" t="s">
        <v>88</v>
      </c>
      <c r="N21" s="11" t="s">
        <v>88</v>
      </c>
      <c r="O21" s="6" t="s">
        <v>298</v>
      </c>
      <c r="P21" s="6" t="s">
        <v>299</v>
      </c>
    </row>
    <row r="22" customFormat="false" ht="23.25" hidden="false" customHeight="true" outlineLevel="0" collapsed="false">
      <c r="A22" s="6" t="s">
        <v>300</v>
      </c>
      <c r="B22" s="6" t="s">
        <v>301</v>
      </c>
      <c r="C22" s="6" t="s">
        <v>207</v>
      </c>
      <c r="D22" s="6" t="s">
        <v>302</v>
      </c>
      <c r="E22" s="6" t="s">
        <v>303</v>
      </c>
      <c r="F22" s="6" t="s">
        <v>210</v>
      </c>
      <c r="G22" s="10" t="s">
        <v>211</v>
      </c>
      <c r="H22" s="10" t="n">
        <v>-1</v>
      </c>
      <c r="I22" s="10" t="n">
        <v>0</v>
      </c>
      <c r="J22" s="11" t="s">
        <v>212</v>
      </c>
      <c r="K22" s="11" t="s">
        <v>213</v>
      </c>
      <c r="L22" s="11" t="s">
        <v>88</v>
      </c>
      <c r="M22" s="11" t="s">
        <v>212</v>
      </c>
      <c r="N22" s="11" t="s">
        <v>212</v>
      </c>
      <c r="O22" s="6" t="s">
        <v>304</v>
      </c>
      <c r="P22" s="6" t="s">
        <v>305</v>
      </c>
    </row>
    <row r="23" customFormat="false" ht="15" hidden="false" customHeight="true" outlineLevel="0" collapsed="false">
      <c r="A23" s="6" t="s">
        <v>306</v>
      </c>
      <c r="B23" s="6" t="s">
        <v>301</v>
      </c>
      <c r="C23" s="6" t="s">
        <v>207</v>
      </c>
      <c r="D23" s="6" t="s">
        <v>307</v>
      </c>
      <c r="E23" s="6" t="s">
        <v>308</v>
      </c>
      <c r="F23" s="6" t="s">
        <v>210</v>
      </c>
      <c r="G23" s="10" t="s">
        <v>211</v>
      </c>
      <c r="H23" s="10" t="n">
        <v>0</v>
      </c>
      <c r="I23" s="10" t="n">
        <v>0</v>
      </c>
      <c r="J23" s="11" t="s">
        <v>212</v>
      </c>
      <c r="K23" s="11" t="s">
        <v>88</v>
      </c>
      <c r="L23" s="11" t="s">
        <v>88</v>
      </c>
      <c r="M23" s="11" t="s">
        <v>212</v>
      </c>
      <c r="N23" s="11" t="s">
        <v>212</v>
      </c>
      <c r="O23" s="6" t="s">
        <v>309</v>
      </c>
      <c r="P23" s="6"/>
    </row>
    <row r="24" customFormat="false" ht="15" hidden="false" customHeight="true" outlineLevel="0" collapsed="false">
      <c r="A24" s="6" t="s">
        <v>310</v>
      </c>
      <c r="B24" s="6" t="s">
        <v>301</v>
      </c>
      <c r="C24" s="6" t="s">
        <v>233</v>
      </c>
      <c r="D24" s="6" t="s">
        <v>311</v>
      </c>
      <c r="E24" s="6" t="s">
        <v>312</v>
      </c>
      <c r="F24" s="6" t="s">
        <v>236</v>
      </c>
      <c r="G24" s="10" t="s">
        <v>211</v>
      </c>
      <c r="H24" s="10" t="n">
        <v>0</v>
      </c>
      <c r="I24" s="10" t="n">
        <v>0</v>
      </c>
      <c r="J24" s="11" t="s">
        <v>213</v>
      </c>
      <c r="K24" s="11" t="s">
        <v>213</v>
      </c>
      <c r="L24" s="11" t="s">
        <v>88</v>
      </c>
      <c r="M24" s="11" t="s">
        <v>88</v>
      </c>
      <c r="N24" s="11" t="s">
        <v>88</v>
      </c>
      <c r="O24" s="6" t="s">
        <v>313</v>
      </c>
      <c r="P24" s="6"/>
    </row>
    <row r="25" customFormat="false" ht="15" hidden="false" customHeight="true" outlineLevel="0" collapsed="false">
      <c r="A25" s="6" t="s">
        <v>314</v>
      </c>
      <c r="B25" s="6" t="s">
        <v>301</v>
      </c>
      <c r="C25" s="6" t="s">
        <v>233</v>
      </c>
      <c r="D25" s="6" t="s">
        <v>315</v>
      </c>
      <c r="E25" s="6" t="s">
        <v>316</v>
      </c>
      <c r="F25" s="6" t="s">
        <v>236</v>
      </c>
      <c r="G25" s="10" t="s">
        <v>211</v>
      </c>
      <c r="H25" s="10" t="n">
        <v>0</v>
      </c>
      <c r="I25" s="10" t="n">
        <v>0</v>
      </c>
      <c r="J25" s="11" t="s">
        <v>213</v>
      </c>
      <c r="K25" s="11" t="s">
        <v>213</v>
      </c>
      <c r="L25" s="11" t="s">
        <v>88</v>
      </c>
      <c r="M25" s="11" t="s">
        <v>213</v>
      </c>
      <c r="N25" s="11" t="s">
        <v>88</v>
      </c>
      <c r="O25" s="6" t="s">
        <v>316</v>
      </c>
      <c r="P25" s="6" t="s">
        <v>317</v>
      </c>
    </row>
    <row r="26" customFormat="false" ht="15" hidden="false" customHeight="true" outlineLevel="0" collapsed="false">
      <c r="A26" s="6" t="s">
        <v>318</v>
      </c>
      <c r="B26" s="6" t="s">
        <v>301</v>
      </c>
      <c r="C26" s="6" t="s">
        <v>207</v>
      </c>
      <c r="D26" s="6" t="s">
        <v>319</v>
      </c>
      <c r="E26" s="6" t="s">
        <v>316</v>
      </c>
      <c r="F26" s="6" t="s">
        <v>236</v>
      </c>
      <c r="G26" s="10" t="s">
        <v>211</v>
      </c>
      <c r="H26" s="10" t="n">
        <v>1</v>
      </c>
      <c r="I26" s="10" t="n">
        <v>0</v>
      </c>
      <c r="J26" s="11" t="s">
        <v>213</v>
      </c>
      <c r="K26" s="11" t="s">
        <v>213</v>
      </c>
      <c r="L26" s="11" t="s">
        <v>88</v>
      </c>
      <c r="M26" s="11" t="s">
        <v>213</v>
      </c>
      <c r="N26" s="11" t="s">
        <v>88</v>
      </c>
      <c r="O26" s="6" t="s">
        <v>316</v>
      </c>
      <c r="P26" s="6" t="s">
        <v>317</v>
      </c>
    </row>
    <row r="27" customFormat="false" ht="15" hidden="false" customHeight="true" outlineLevel="0" collapsed="false">
      <c r="A27" s="6" t="s">
        <v>320</v>
      </c>
      <c r="B27" s="6" t="s">
        <v>301</v>
      </c>
      <c r="C27" s="6" t="s">
        <v>288</v>
      </c>
      <c r="D27" s="6" t="s">
        <v>321</v>
      </c>
      <c r="E27" s="6" t="s">
        <v>322</v>
      </c>
      <c r="F27" s="6" t="s">
        <v>236</v>
      </c>
      <c r="G27" s="10" t="s">
        <v>211</v>
      </c>
      <c r="H27" s="10" t="n">
        <v>0</v>
      </c>
      <c r="I27" s="10" t="n">
        <v>0</v>
      </c>
      <c r="J27" s="11" t="s">
        <v>213</v>
      </c>
      <c r="K27" s="11" t="s">
        <v>213</v>
      </c>
      <c r="L27" s="11" t="s">
        <v>88</v>
      </c>
      <c r="M27" s="11" t="s">
        <v>88</v>
      </c>
      <c r="N27" s="11" t="s">
        <v>88</v>
      </c>
      <c r="O27" s="6" t="s">
        <v>323</v>
      </c>
      <c r="P27" s="6"/>
    </row>
    <row r="28" customFormat="false" ht="23.25" hidden="false" customHeight="true" outlineLevel="0" collapsed="false">
      <c r="A28" s="6" t="s">
        <v>324</v>
      </c>
      <c r="B28" s="6" t="s">
        <v>301</v>
      </c>
      <c r="C28" s="6" t="s">
        <v>207</v>
      </c>
      <c r="D28" s="6" t="s">
        <v>325</v>
      </c>
      <c r="E28" s="6" t="s">
        <v>326</v>
      </c>
      <c r="F28" s="6" t="s">
        <v>236</v>
      </c>
      <c r="G28" s="10" t="s">
        <v>211</v>
      </c>
      <c r="H28" s="10" t="n">
        <v>0</v>
      </c>
      <c r="I28" s="10" t="n">
        <v>0</v>
      </c>
      <c r="J28" s="11" t="s">
        <v>213</v>
      </c>
      <c r="K28" s="11" t="s">
        <v>213</v>
      </c>
      <c r="L28" s="11" t="s">
        <v>88</v>
      </c>
      <c r="M28" s="11" t="s">
        <v>88</v>
      </c>
      <c r="N28" s="11" t="s">
        <v>88</v>
      </c>
      <c r="O28" s="6" t="s">
        <v>327</v>
      </c>
      <c r="P28" s="6" t="s">
        <v>328</v>
      </c>
    </row>
    <row r="29" customFormat="false" ht="15" hidden="false" customHeight="true" outlineLevel="0" collapsed="false">
      <c r="A29" s="6" t="s">
        <v>329</v>
      </c>
      <c r="B29" s="6" t="s">
        <v>301</v>
      </c>
      <c r="C29" s="6" t="s">
        <v>207</v>
      </c>
      <c r="D29" s="6" t="s">
        <v>330</v>
      </c>
      <c r="E29" s="6" t="s">
        <v>331</v>
      </c>
      <c r="F29" s="6" t="s">
        <v>236</v>
      </c>
      <c r="G29" s="10" t="s">
        <v>211</v>
      </c>
      <c r="H29" s="10" t="n">
        <v>0</v>
      </c>
      <c r="I29" s="10" t="n">
        <v>0</v>
      </c>
      <c r="J29" s="11" t="s">
        <v>213</v>
      </c>
      <c r="K29" s="11" t="s">
        <v>213</v>
      </c>
      <c r="L29" s="11" t="s">
        <v>88</v>
      </c>
      <c r="M29" s="11" t="s">
        <v>88</v>
      </c>
      <c r="N29" s="11" t="s">
        <v>88</v>
      </c>
      <c r="O29" s="6" t="s">
        <v>332</v>
      </c>
      <c r="P29" s="6"/>
    </row>
    <row r="30" customFormat="false" ht="15" hidden="false" customHeight="true" outlineLevel="0" collapsed="false">
      <c r="A30" s="12" t="s">
        <v>333</v>
      </c>
      <c r="B30" s="6" t="s">
        <v>301</v>
      </c>
      <c r="C30" s="6" t="s">
        <v>207</v>
      </c>
      <c r="D30" s="6" t="s">
        <v>334</v>
      </c>
      <c r="E30" s="6" t="s">
        <v>335</v>
      </c>
      <c r="F30" s="12" t="s">
        <v>258</v>
      </c>
      <c r="G30" s="10" t="s">
        <v>259</v>
      </c>
      <c r="H30" s="10" t="n">
        <v>0</v>
      </c>
      <c r="I30" s="10" t="n">
        <v>0</v>
      </c>
      <c r="J30" s="11" t="s">
        <v>88</v>
      </c>
      <c r="K30" s="11" t="s">
        <v>88</v>
      </c>
      <c r="L30" s="11" t="s">
        <v>88</v>
      </c>
      <c r="M30" s="11" t="s">
        <v>88</v>
      </c>
      <c r="N30" s="11" t="s">
        <v>88</v>
      </c>
      <c r="O30" s="6" t="s">
        <v>336</v>
      </c>
      <c r="P30" s="6" t="s">
        <v>337</v>
      </c>
    </row>
    <row r="31" customFormat="false" ht="23.25" hidden="false" customHeight="true" outlineLevel="0" collapsed="false">
      <c r="A31" s="12" t="s">
        <v>178</v>
      </c>
      <c r="B31" s="6" t="s">
        <v>301</v>
      </c>
      <c r="C31" s="6" t="s">
        <v>207</v>
      </c>
      <c r="D31" s="6" t="s">
        <v>338</v>
      </c>
      <c r="E31" s="6" t="s">
        <v>339</v>
      </c>
      <c r="F31" s="12" t="s">
        <v>258</v>
      </c>
      <c r="G31" s="10" t="s">
        <v>259</v>
      </c>
      <c r="H31" s="10" t="n">
        <v>0</v>
      </c>
      <c r="I31" s="10" t="n">
        <v>0</v>
      </c>
      <c r="J31" s="11" t="s">
        <v>88</v>
      </c>
      <c r="K31" s="11" t="s">
        <v>88</v>
      </c>
      <c r="L31" s="11" t="s">
        <v>88</v>
      </c>
      <c r="M31" s="11" t="s">
        <v>88</v>
      </c>
      <c r="N31" s="11" t="s">
        <v>88</v>
      </c>
      <c r="O31" s="6" t="s">
        <v>340</v>
      </c>
      <c r="P31" s="6" t="s">
        <v>341</v>
      </c>
    </row>
    <row r="32" customFormat="false" ht="15" hidden="false" customHeight="true" outlineLevel="0" collapsed="false">
      <c r="A32" s="6" t="s">
        <v>342</v>
      </c>
      <c r="B32" s="6" t="s">
        <v>343</v>
      </c>
      <c r="C32" s="6" t="s">
        <v>233</v>
      </c>
      <c r="D32" s="6" t="s">
        <v>344</v>
      </c>
      <c r="E32" s="6" t="s">
        <v>345</v>
      </c>
      <c r="F32" s="6" t="s">
        <v>236</v>
      </c>
      <c r="G32" s="10" t="s">
        <v>211</v>
      </c>
      <c r="H32" s="10" t="n">
        <v>0</v>
      </c>
      <c r="I32" s="10" t="n">
        <v>0</v>
      </c>
      <c r="J32" s="11" t="s">
        <v>213</v>
      </c>
      <c r="K32" s="11" t="s">
        <v>213</v>
      </c>
      <c r="L32" s="11" t="s">
        <v>88</v>
      </c>
      <c r="M32" s="11" t="s">
        <v>88</v>
      </c>
      <c r="N32" s="11" t="s">
        <v>88</v>
      </c>
      <c r="O32" s="6" t="s">
        <v>346</v>
      </c>
      <c r="P32" s="6" t="s">
        <v>347</v>
      </c>
    </row>
    <row r="33" customFormat="false" ht="15" hidden="false" customHeight="true" outlineLevel="0" collapsed="false">
      <c r="A33" s="6" t="s">
        <v>348</v>
      </c>
      <c r="B33" s="6" t="s">
        <v>343</v>
      </c>
      <c r="C33" s="6" t="s">
        <v>233</v>
      </c>
      <c r="D33" s="6" t="s">
        <v>349</v>
      </c>
      <c r="E33" s="6" t="s">
        <v>350</v>
      </c>
      <c r="F33" s="6" t="s">
        <v>236</v>
      </c>
      <c r="G33" s="10" t="s">
        <v>211</v>
      </c>
      <c r="H33" s="10" t="n">
        <v>0</v>
      </c>
      <c r="I33" s="10" t="n">
        <v>0</v>
      </c>
      <c r="J33" s="11" t="s">
        <v>213</v>
      </c>
      <c r="K33" s="11" t="s">
        <v>213</v>
      </c>
      <c r="L33" s="11" t="s">
        <v>88</v>
      </c>
      <c r="M33" s="11" t="s">
        <v>88</v>
      </c>
      <c r="N33" s="11" t="s">
        <v>88</v>
      </c>
      <c r="O33" s="6" t="s">
        <v>351</v>
      </c>
      <c r="P33" s="6" t="s">
        <v>352</v>
      </c>
    </row>
    <row r="34" customFormat="false" ht="15" hidden="false" customHeight="true" outlineLevel="0" collapsed="false">
      <c r="A34" s="12" t="s">
        <v>353</v>
      </c>
      <c r="B34" s="6" t="s">
        <v>343</v>
      </c>
      <c r="C34" s="6" t="s">
        <v>207</v>
      </c>
      <c r="D34" s="6" t="s">
        <v>354</v>
      </c>
      <c r="E34" s="6" t="s">
        <v>355</v>
      </c>
      <c r="F34" s="12" t="s">
        <v>258</v>
      </c>
      <c r="G34" s="10" t="s">
        <v>259</v>
      </c>
      <c r="H34" s="10" t="n">
        <v>0</v>
      </c>
      <c r="I34" s="10" t="n">
        <v>0</v>
      </c>
      <c r="J34" s="11" t="s">
        <v>88</v>
      </c>
      <c r="K34" s="11" t="s">
        <v>88</v>
      </c>
      <c r="L34" s="11" t="s">
        <v>88</v>
      </c>
      <c r="M34" s="11" t="s">
        <v>88</v>
      </c>
      <c r="N34" s="11" t="s">
        <v>88</v>
      </c>
      <c r="O34" s="6" t="s">
        <v>356</v>
      </c>
      <c r="P34" s="6"/>
    </row>
    <row r="35" customFormat="false" ht="23.25" hidden="false" customHeight="true" outlineLevel="0" collapsed="false">
      <c r="A35" s="6" t="s">
        <v>357</v>
      </c>
      <c r="B35" s="6" t="s">
        <v>343</v>
      </c>
      <c r="C35" s="6" t="s">
        <v>233</v>
      </c>
      <c r="D35" s="6" t="s">
        <v>358</v>
      </c>
      <c r="E35" s="6" t="s">
        <v>359</v>
      </c>
      <c r="F35" s="6" t="s">
        <v>236</v>
      </c>
      <c r="G35" s="10" t="s">
        <v>211</v>
      </c>
      <c r="H35" s="10" t="n">
        <v>0</v>
      </c>
      <c r="I35" s="10" t="n">
        <v>0</v>
      </c>
      <c r="J35" s="11" t="s">
        <v>213</v>
      </c>
      <c r="K35" s="11" t="s">
        <v>213</v>
      </c>
      <c r="L35" s="11" t="s">
        <v>88</v>
      </c>
      <c r="M35" s="11" t="s">
        <v>213</v>
      </c>
      <c r="N35" s="11" t="s">
        <v>88</v>
      </c>
      <c r="O35" s="6" t="s">
        <v>360</v>
      </c>
      <c r="P35" s="6" t="s">
        <v>361</v>
      </c>
    </row>
    <row r="36" customFormat="false" ht="15" hidden="false" customHeight="true" outlineLevel="0" collapsed="false">
      <c r="A36" s="6" t="s">
        <v>362</v>
      </c>
      <c r="B36" s="6" t="s">
        <v>343</v>
      </c>
      <c r="C36" s="6" t="s">
        <v>207</v>
      </c>
      <c r="D36" s="6" t="s">
        <v>363</v>
      </c>
      <c r="E36" s="6" t="s">
        <v>161</v>
      </c>
      <c r="F36" s="6" t="s">
        <v>210</v>
      </c>
      <c r="G36" s="10" t="s">
        <v>211</v>
      </c>
      <c r="H36" s="10" t="n">
        <v>1</v>
      </c>
      <c r="I36" s="10" t="n">
        <v>0</v>
      </c>
      <c r="J36" s="11" t="s">
        <v>213</v>
      </c>
      <c r="K36" s="11" t="s">
        <v>213</v>
      </c>
      <c r="L36" s="11" t="s">
        <v>213</v>
      </c>
      <c r="M36" s="11" t="s">
        <v>213</v>
      </c>
      <c r="N36" s="11" t="s">
        <v>213</v>
      </c>
      <c r="O36" s="6" t="s">
        <v>364</v>
      </c>
      <c r="P36" s="6"/>
    </row>
    <row r="37" customFormat="false" ht="15" hidden="false" customHeight="true" outlineLevel="0" collapsed="false">
      <c r="A37" s="6" t="s">
        <v>365</v>
      </c>
      <c r="B37" s="6" t="s">
        <v>343</v>
      </c>
      <c r="C37" s="6" t="s">
        <v>207</v>
      </c>
      <c r="D37" s="6" t="s">
        <v>366</v>
      </c>
      <c r="E37" s="6" t="s">
        <v>367</v>
      </c>
      <c r="F37" s="6" t="s">
        <v>210</v>
      </c>
      <c r="G37" s="10" t="s">
        <v>211</v>
      </c>
      <c r="H37" s="10" t="n">
        <v>1</v>
      </c>
      <c r="I37" s="10" t="n">
        <v>0</v>
      </c>
      <c r="J37" s="11" t="s">
        <v>213</v>
      </c>
      <c r="K37" s="11" t="s">
        <v>213</v>
      </c>
      <c r="L37" s="11" t="s">
        <v>213</v>
      </c>
      <c r="M37" s="11" t="s">
        <v>88</v>
      </c>
      <c r="N37" s="11" t="s">
        <v>88</v>
      </c>
      <c r="O37" s="6" t="s">
        <v>367</v>
      </c>
      <c r="P37" s="6"/>
    </row>
    <row r="38" customFormat="false" ht="15" hidden="false" customHeight="true" outlineLevel="0" collapsed="false">
      <c r="A38" s="6" t="s">
        <v>368</v>
      </c>
      <c r="B38" s="6" t="s">
        <v>343</v>
      </c>
      <c r="C38" s="6" t="s">
        <v>207</v>
      </c>
      <c r="D38" s="6" t="s">
        <v>369</v>
      </c>
      <c r="E38" s="6" t="s">
        <v>370</v>
      </c>
      <c r="F38" s="6" t="s">
        <v>236</v>
      </c>
      <c r="G38" s="10" t="s">
        <v>211</v>
      </c>
      <c r="H38" s="10" t="n">
        <v>0</v>
      </c>
      <c r="I38" s="10" t="n">
        <v>0</v>
      </c>
      <c r="J38" s="11" t="s">
        <v>213</v>
      </c>
      <c r="K38" s="11" t="s">
        <v>88</v>
      </c>
      <c r="L38" s="11" t="s">
        <v>88</v>
      </c>
      <c r="M38" s="11" t="s">
        <v>213</v>
      </c>
      <c r="N38" s="11" t="s">
        <v>88</v>
      </c>
      <c r="O38" s="6" t="s">
        <v>370</v>
      </c>
      <c r="P38" s="6"/>
    </row>
    <row r="39" customFormat="false" ht="23.25" hidden="false" customHeight="true" outlineLevel="0" collapsed="false">
      <c r="A39" s="12" t="s">
        <v>371</v>
      </c>
      <c r="B39" s="6" t="s">
        <v>343</v>
      </c>
      <c r="C39" s="6" t="s">
        <v>207</v>
      </c>
      <c r="D39" s="6" t="s">
        <v>372</v>
      </c>
      <c r="E39" s="6" t="s">
        <v>373</v>
      </c>
      <c r="F39" s="12" t="s">
        <v>258</v>
      </c>
      <c r="G39" s="10" t="s">
        <v>259</v>
      </c>
      <c r="H39" s="10" t="n">
        <v>0</v>
      </c>
      <c r="I39" s="10" t="n">
        <v>0</v>
      </c>
      <c r="J39" s="11" t="s">
        <v>88</v>
      </c>
      <c r="K39" s="11" t="s">
        <v>88</v>
      </c>
      <c r="L39" s="11" t="s">
        <v>88</v>
      </c>
      <c r="M39" s="11" t="s">
        <v>88</v>
      </c>
      <c r="N39" s="11" t="s">
        <v>88</v>
      </c>
      <c r="O39" s="6" t="s">
        <v>374</v>
      </c>
      <c r="P39" s="6" t="s">
        <v>375</v>
      </c>
    </row>
    <row r="40" customFormat="false" ht="15" hidden="false" customHeight="true" outlineLevel="0" collapsed="false">
      <c r="A40" s="12" t="s">
        <v>376</v>
      </c>
      <c r="B40" s="6" t="s">
        <v>343</v>
      </c>
      <c r="C40" s="6" t="s">
        <v>233</v>
      </c>
      <c r="D40" s="6" t="s">
        <v>377</v>
      </c>
      <c r="E40" s="6" t="s">
        <v>257</v>
      </c>
      <c r="F40" s="12" t="s">
        <v>258</v>
      </c>
      <c r="G40" s="10" t="s">
        <v>259</v>
      </c>
      <c r="H40" s="10" t="n">
        <v>0</v>
      </c>
      <c r="I40" s="10" t="n">
        <v>0</v>
      </c>
      <c r="J40" s="11" t="s">
        <v>88</v>
      </c>
      <c r="K40" s="11" t="s">
        <v>88</v>
      </c>
      <c r="L40" s="11" t="s">
        <v>88</v>
      </c>
      <c r="M40" s="11" t="s">
        <v>88</v>
      </c>
      <c r="N40" s="11" t="s">
        <v>88</v>
      </c>
      <c r="O40" s="6" t="s">
        <v>378</v>
      </c>
      <c r="P40" s="6" t="s">
        <v>379</v>
      </c>
    </row>
    <row r="41" customFormat="false" ht="15" hidden="false" customHeight="true" outlineLevel="0" collapsed="false">
      <c r="A41" s="12" t="s">
        <v>380</v>
      </c>
      <c r="B41" s="6" t="s">
        <v>343</v>
      </c>
      <c r="C41" s="6" t="s">
        <v>288</v>
      </c>
      <c r="D41" s="6" t="s">
        <v>381</v>
      </c>
      <c r="E41" s="6" t="s">
        <v>382</v>
      </c>
      <c r="F41" s="12" t="s">
        <v>258</v>
      </c>
      <c r="G41" s="10" t="s">
        <v>259</v>
      </c>
      <c r="H41" s="10" t="n">
        <v>0</v>
      </c>
      <c r="I41" s="10" t="n">
        <v>0</v>
      </c>
      <c r="J41" s="11" t="s">
        <v>88</v>
      </c>
      <c r="K41" s="11" t="s">
        <v>88</v>
      </c>
      <c r="L41" s="11" t="s">
        <v>88</v>
      </c>
      <c r="M41" s="11" t="s">
        <v>88</v>
      </c>
      <c r="N41" s="11" t="s">
        <v>88</v>
      </c>
      <c r="O41" s="6" t="s">
        <v>383</v>
      </c>
      <c r="P41" s="6" t="s">
        <v>383</v>
      </c>
    </row>
    <row r="42" customFormat="false" ht="15" hidden="false" customHeight="true" outlineLevel="0" collapsed="false">
      <c r="A42" s="12" t="s">
        <v>384</v>
      </c>
      <c r="B42" s="6" t="s">
        <v>343</v>
      </c>
      <c r="C42" s="6" t="s">
        <v>233</v>
      </c>
      <c r="D42" s="6" t="s">
        <v>385</v>
      </c>
      <c r="E42" s="6" t="s">
        <v>386</v>
      </c>
      <c r="F42" s="12" t="s">
        <v>258</v>
      </c>
      <c r="G42" s="10" t="s">
        <v>259</v>
      </c>
      <c r="H42" s="10" t="n">
        <v>0</v>
      </c>
      <c r="I42" s="10" t="n">
        <v>0</v>
      </c>
      <c r="J42" s="11" t="s">
        <v>88</v>
      </c>
      <c r="K42" s="11" t="s">
        <v>88</v>
      </c>
      <c r="L42" s="11" t="s">
        <v>88</v>
      </c>
      <c r="M42" s="11" t="s">
        <v>88</v>
      </c>
      <c r="N42" s="11" t="s">
        <v>88</v>
      </c>
      <c r="O42" s="6" t="s">
        <v>383</v>
      </c>
      <c r="P42" s="6" t="s">
        <v>387</v>
      </c>
    </row>
    <row r="43" customFormat="false" ht="23.25" hidden="false" customHeight="true" outlineLevel="0" collapsed="false">
      <c r="A43" s="12" t="s">
        <v>388</v>
      </c>
      <c r="B43" s="6" t="s">
        <v>343</v>
      </c>
      <c r="C43" s="6" t="s">
        <v>233</v>
      </c>
      <c r="D43" s="6" t="s">
        <v>389</v>
      </c>
      <c r="E43" s="6" t="s">
        <v>390</v>
      </c>
      <c r="F43" s="12" t="s">
        <v>258</v>
      </c>
      <c r="G43" s="10" t="s">
        <v>259</v>
      </c>
      <c r="H43" s="10" t="n">
        <v>0</v>
      </c>
      <c r="I43" s="10" t="n">
        <v>0</v>
      </c>
      <c r="J43" s="11" t="s">
        <v>88</v>
      </c>
      <c r="K43" s="11" t="s">
        <v>88</v>
      </c>
      <c r="L43" s="11" t="s">
        <v>88</v>
      </c>
      <c r="M43" s="11" t="s">
        <v>88</v>
      </c>
      <c r="N43" s="11" t="s">
        <v>88</v>
      </c>
      <c r="O43" s="6" t="s">
        <v>391</v>
      </c>
      <c r="P43" s="6" t="s">
        <v>392</v>
      </c>
    </row>
    <row r="44" customFormat="false" ht="15" hidden="false" customHeight="true" outlineLevel="0" collapsed="false">
      <c r="A44" s="12" t="s">
        <v>393</v>
      </c>
      <c r="B44" s="6" t="s">
        <v>343</v>
      </c>
      <c r="C44" s="6" t="s">
        <v>233</v>
      </c>
      <c r="D44" s="6" t="s">
        <v>394</v>
      </c>
      <c r="E44" s="6" t="s">
        <v>395</v>
      </c>
      <c r="F44" s="12" t="s">
        <v>258</v>
      </c>
      <c r="G44" s="10" t="s">
        <v>259</v>
      </c>
      <c r="H44" s="10" t="n">
        <v>0</v>
      </c>
      <c r="I44" s="10" t="n">
        <v>0</v>
      </c>
      <c r="J44" s="11" t="s">
        <v>88</v>
      </c>
      <c r="K44" s="11" t="s">
        <v>88</v>
      </c>
      <c r="L44" s="11" t="s">
        <v>88</v>
      </c>
      <c r="M44" s="11" t="s">
        <v>88</v>
      </c>
      <c r="N44" s="11" t="s">
        <v>88</v>
      </c>
      <c r="O44" s="6" t="s">
        <v>395</v>
      </c>
      <c r="P44" s="6" t="s">
        <v>396</v>
      </c>
    </row>
    <row r="45" customFormat="false" ht="23.25" hidden="false" customHeight="true" outlineLevel="0" collapsed="false">
      <c r="A45" s="12" t="s">
        <v>397</v>
      </c>
      <c r="B45" s="6" t="s">
        <v>343</v>
      </c>
      <c r="C45" s="6" t="s">
        <v>233</v>
      </c>
      <c r="D45" s="6" t="s">
        <v>398</v>
      </c>
      <c r="E45" s="6" t="s">
        <v>399</v>
      </c>
      <c r="F45" s="12" t="s">
        <v>258</v>
      </c>
      <c r="G45" s="10" t="s">
        <v>259</v>
      </c>
      <c r="H45" s="10" t="n">
        <v>0</v>
      </c>
      <c r="I45" s="10" t="n">
        <v>0</v>
      </c>
      <c r="J45" s="11" t="s">
        <v>88</v>
      </c>
      <c r="K45" s="11" t="s">
        <v>88</v>
      </c>
      <c r="L45" s="11" t="s">
        <v>88</v>
      </c>
      <c r="M45" s="11" t="s">
        <v>88</v>
      </c>
      <c r="N45" s="11" t="s">
        <v>88</v>
      </c>
      <c r="O45" s="6" t="s">
        <v>400</v>
      </c>
      <c r="P45" s="6" t="s">
        <v>400</v>
      </c>
    </row>
    <row r="46" customFormat="false" ht="23.25" hidden="false" customHeight="true" outlineLevel="0" collapsed="false">
      <c r="A46" s="12" t="s">
        <v>401</v>
      </c>
      <c r="B46" s="6" t="s">
        <v>343</v>
      </c>
      <c r="C46" s="6" t="s">
        <v>233</v>
      </c>
      <c r="D46" s="6" t="s">
        <v>402</v>
      </c>
      <c r="E46" s="6" t="s">
        <v>403</v>
      </c>
      <c r="F46" s="12" t="s">
        <v>258</v>
      </c>
      <c r="G46" s="10" t="s">
        <v>259</v>
      </c>
      <c r="H46" s="10" t="n">
        <v>0</v>
      </c>
      <c r="I46" s="10" t="n">
        <v>0</v>
      </c>
      <c r="J46" s="11" t="s">
        <v>88</v>
      </c>
      <c r="K46" s="11" t="s">
        <v>88</v>
      </c>
      <c r="L46" s="11" t="s">
        <v>88</v>
      </c>
      <c r="M46" s="11" t="s">
        <v>88</v>
      </c>
      <c r="N46" s="11" t="s">
        <v>88</v>
      </c>
      <c r="O46" s="6" t="s">
        <v>403</v>
      </c>
      <c r="P46" s="6" t="s">
        <v>404</v>
      </c>
    </row>
    <row r="47" customFormat="false" ht="15" hidden="false" customHeight="true" outlineLevel="0" collapsed="false">
      <c r="A47" s="6" t="s">
        <v>405</v>
      </c>
      <c r="B47" s="6" t="s">
        <v>406</v>
      </c>
      <c r="C47" s="6" t="s">
        <v>233</v>
      </c>
      <c r="D47" s="6" t="s">
        <v>407</v>
      </c>
      <c r="E47" s="6" t="s">
        <v>408</v>
      </c>
      <c r="F47" s="6" t="s">
        <v>210</v>
      </c>
      <c r="G47" s="10" t="s">
        <v>211</v>
      </c>
      <c r="H47" s="10" t="n">
        <v>0</v>
      </c>
      <c r="I47" s="10" t="n">
        <v>0</v>
      </c>
      <c r="J47" s="11" t="s">
        <v>212</v>
      </c>
      <c r="K47" s="11" t="s">
        <v>212</v>
      </c>
      <c r="L47" s="11" t="s">
        <v>212</v>
      </c>
      <c r="M47" s="11" t="s">
        <v>212</v>
      </c>
      <c r="N47" s="11" t="s">
        <v>212</v>
      </c>
      <c r="O47" s="6" t="s">
        <v>409</v>
      </c>
      <c r="P47" s="6"/>
    </row>
    <row r="48" customFormat="false" ht="23.25" hidden="false" customHeight="true" outlineLevel="0" collapsed="false">
      <c r="A48" s="6" t="s">
        <v>410</v>
      </c>
      <c r="B48" s="6" t="s">
        <v>406</v>
      </c>
      <c r="C48" s="6" t="s">
        <v>233</v>
      </c>
      <c r="D48" s="6" t="s">
        <v>411</v>
      </c>
      <c r="E48" s="6" t="s">
        <v>412</v>
      </c>
      <c r="F48" s="6" t="s">
        <v>210</v>
      </c>
      <c r="G48" s="10" t="s">
        <v>211</v>
      </c>
      <c r="H48" s="10" t="n">
        <v>0</v>
      </c>
      <c r="I48" s="10" t="n">
        <v>0</v>
      </c>
      <c r="J48" s="11" t="s">
        <v>212</v>
      </c>
      <c r="K48" s="11" t="s">
        <v>212</v>
      </c>
      <c r="L48" s="11" t="s">
        <v>212</v>
      </c>
      <c r="M48" s="11" t="s">
        <v>212</v>
      </c>
      <c r="N48" s="11" t="s">
        <v>213</v>
      </c>
      <c r="O48" s="6" t="s">
        <v>413</v>
      </c>
      <c r="P48" s="6"/>
    </row>
    <row r="49" customFormat="false" ht="15" hidden="false" customHeight="true" outlineLevel="0" collapsed="false">
      <c r="A49" s="12" t="s">
        <v>414</v>
      </c>
      <c r="B49" s="6" t="s">
        <v>406</v>
      </c>
      <c r="C49" s="6" t="s">
        <v>207</v>
      </c>
      <c r="D49" s="6" t="s">
        <v>415</v>
      </c>
      <c r="E49" s="6" t="s">
        <v>416</v>
      </c>
      <c r="F49" s="12" t="s">
        <v>258</v>
      </c>
      <c r="G49" s="10" t="s">
        <v>259</v>
      </c>
      <c r="H49" s="10" t="n">
        <v>0</v>
      </c>
      <c r="I49" s="10" t="n">
        <v>0</v>
      </c>
      <c r="J49" s="11" t="s">
        <v>88</v>
      </c>
      <c r="K49" s="11" t="s">
        <v>88</v>
      </c>
      <c r="L49" s="11" t="s">
        <v>88</v>
      </c>
      <c r="M49" s="11" t="s">
        <v>88</v>
      </c>
      <c r="N49" s="11" t="s">
        <v>88</v>
      </c>
      <c r="O49" s="6" t="s">
        <v>417</v>
      </c>
      <c r="P49" s="6"/>
    </row>
    <row r="50" customFormat="false" ht="15" hidden="false" customHeight="true" outlineLevel="0" collapsed="false">
      <c r="A50" s="12" t="s">
        <v>418</v>
      </c>
      <c r="B50" s="6" t="s">
        <v>406</v>
      </c>
      <c r="C50" s="6" t="s">
        <v>207</v>
      </c>
      <c r="D50" s="6" t="s">
        <v>419</v>
      </c>
      <c r="E50" s="6" t="s">
        <v>416</v>
      </c>
      <c r="F50" s="12" t="s">
        <v>258</v>
      </c>
      <c r="G50" s="10" t="s">
        <v>259</v>
      </c>
      <c r="H50" s="10" t="n">
        <v>0</v>
      </c>
      <c r="I50" s="10" t="n">
        <v>0</v>
      </c>
      <c r="J50" s="11" t="s">
        <v>88</v>
      </c>
      <c r="K50" s="11" t="s">
        <v>88</v>
      </c>
      <c r="L50" s="11" t="s">
        <v>88</v>
      </c>
      <c r="M50" s="11" t="s">
        <v>88</v>
      </c>
      <c r="N50" s="11" t="s">
        <v>88</v>
      </c>
      <c r="O50" s="6" t="s">
        <v>420</v>
      </c>
      <c r="P50" s="6"/>
    </row>
    <row r="51" customFormat="false" ht="15" hidden="false" customHeight="true" outlineLevel="0" collapsed="false">
      <c r="A51" s="12" t="s">
        <v>421</v>
      </c>
      <c r="B51" s="6" t="s">
        <v>406</v>
      </c>
      <c r="C51" s="6" t="s">
        <v>207</v>
      </c>
      <c r="D51" s="6" t="s">
        <v>422</v>
      </c>
      <c r="E51" s="6" t="s">
        <v>416</v>
      </c>
      <c r="F51" s="12" t="s">
        <v>258</v>
      </c>
      <c r="G51" s="10" t="s">
        <v>259</v>
      </c>
      <c r="H51" s="10" t="n">
        <v>0</v>
      </c>
      <c r="I51" s="10" t="n">
        <v>0</v>
      </c>
      <c r="J51" s="11" t="s">
        <v>88</v>
      </c>
      <c r="K51" s="11" t="s">
        <v>88</v>
      </c>
      <c r="L51" s="11" t="s">
        <v>88</v>
      </c>
      <c r="M51" s="11" t="s">
        <v>88</v>
      </c>
      <c r="N51" s="11" t="s">
        <v>88</v>
      </c>
      <c r="O51" s="6" t="s">
        <v>420</v>
      </c>
      <c r="P51" s="6"/>
    </row>
    <row r="52" customFormat="false" ht="23.25" hidden="false" customHeight="true" outlineLevel="0" collapsed="false">
      <c r="A52" s="12" t="s">
        <v>423</v>
      </c>
      <c r="B52" s="6" t="s">
        <v>406</v>
      </c>
      <c r="C52" s="6" t="s">
        <v>233</v>
      </c>
      <c r="D52" s="6" t="s">
        <v>424</v>
      </c>
      <c r="E52" s="6" t="s">
        <v>425</v>
      </c>
      <c r="F52" s="12" t="s">
        <v>258</v>
      </c>
      <c r="G52" s="10" t="s">
        <v>259</v>
      </c>
      <c r="H52" s="10" t="n">
        <v>0</v>
      </c>
      <c r="I52" s="10" t="n">
        <v>0</v>
      </c>
      <c r="J52" s="11" t="s">
        <v>88</v>
      </c>
      <c r="K52" s="11" t="s">
        <v>88</v>
      </c>
      <c r="L52" s="11" t="s">
        <v>88</v>
      </c>
      <c r="M52" s="11" t="s">
        <v>88</v>
      </c>
      <c r="N52" s="11" t="s">
        <v>88</v>
      </c>
      <c r="O52" s="6" t="s">
        <v>420</v>
      </c>
      <c r="P52" s="6"/>
    </row>
    <row r="53" customFormat="false" ht="15" hidden="false" customHeight="true" outlineLevel="0" collapsed="false">
      <c r="A53" s="12" t="s">
        <v>426</v>
      </c>
      <c r="B53" s="6" t="s">
        <v>406</v>
      </c>
      <c r="C53" s="6" t="s">
        <v>207</v>
      </c>
      <c r="D53" s="6" t="s">
        <v>427</v>
      </c>
      <c r="E53" s="6" t="s">
        <v>428</v>
      </c>
      <c r="F53" s="12" t="s">
        <v>258</v>
      </c>
      <c r="G53" s="10" t="s">
        <v>259</v>
      </c>
      <c r="H53" s="10" t="n">
        <v>0</v>
      </c>
      <c r="I53" s="10" t="n">
        <v>0</v>
      </c>
      <c r="J53" s="11" t="s">
        <v>88</v>
      </c>
      <c r="K53" s="11" t="s">
        <v>88</v>
      </c>
      <c r="L53" s="11" t="s">
        <v>88</v>
      </c>
      <c r="M53" s="11" t="s">
        <v>88</v>
      </c>
      <c r="N53" s="11" t="s">
        <v>88</v>
      </c>
      <c r="O53" s="6" t="s">
        <v>429</v>
      </c>
      <c r="P53" s="6"/>
    </row>
    <row r="54" customFormat="false" ht="15" hidden="false" customHeight="true" outlineLevel="0" collapsed="false">
      <c r="A54" s="12" t="s">
        <v>430</v>
      </c>
      <c r="B54" s="6" t="s">
        <v>406</v>
      </c>
      <c r="C54" s="6" t="s">
        <v>233</v>
      </c>
      <c r="D54" s="6" t="s">
        <v>431</v>
      </c>
      <c r="E54" s="6" t="s">
        <v>432</v>
      </c>
      <c r="F54" s="12" t="s">
        <v>258</v>
      </c>
      <c r="G54" s="10" t="s">
        <v>259</v>
      </c>
      <c r="H54" s="10" t="n">
        <v>0</v>
      </c>
      <c r="I54" s="10" t="n">
        <v>0</v>
      </c>
      <c r="J54" s="11" t="s">
        <v>88</v>
      </c>
      <c r="K54" s="11" t="s">
        <v>88</v>
      </c>
      <c r="L54" s="11" t="s">
        <v>88</v>
      </c>
      <c r="M54" s="11" t="s">
        <v>88</v>
      </c>
      <c r="N54" s="11" t="s">
        <v>88</v>
      </c>
      <c r="O54" s="6" t="s">
        <v>429</v>
      </c>
      <c r="P54" s="6"/>
    </row>
    <row r="55" customFormat="false" ht="15" hidden="false" customHeight="true" outlineLevel="0" collapsed="false">
      <c r="A55" s="12" t="s">
        <v>433</v>
      </c>
      <c r="B55" s="6" t="s">
        <v>406</v>
      </c>
      <c r="C55" s="6" t="s">
        <v>233</v>
      </c>
      <c r="D55" s="6" t="s">
        <v>434</v>
      </c>
      <c r="E55" s="6" t="s">
        <v>435</v>
      </c>
      <c r="F55" s="12" t="s">
        <v>258</v>
      </c>
      <c r="G55" s="10" t="s">
        <v>259</v>
      </c>
      <c r="H55" s="10" t="n">
        <v>0</v>
      </c>
      <c r="I55" s="10" t="n">
        <v>0</v>
      </c>
      <c r="J55" s="11" t="s">
        <v>88</v>
      </c>
      <c r="K55" s="11" t="s">
        <v>88</v>
      </c>
      <c r="L55" s="11" t="s">
        <v>88</v>
      </c>
      <c r="M55" s="11" t="s">
        <v>88</v>
      </c>
      <c r="N55" s="11" t="s">
        <v>88</v>
      </c>
      <c r="O55" s="6" t="s">
        <v>429</v>
      </c>
      <c r="P55" s="6"/>
    </row>
    <row r="56" customFormat="false" ht="15" hidden="false" customHeight="true" outlineLevel="0" collapsed="false">
      <c r="A56" s="12" t="s">
        <v>436</v>
      </c>
      <c r="B56" s="6" t="s">
        <v>406</v>
      </c>
      <c r="C56" s="6" t="s">
        <v>288</v>
      </c>
      <c r="D56" s="6" t="s">
        <v>437</v>
      </c>
      <c r="E56" s="6" t="s">
        <v>438</v>
      </c>
      <c r="F56" s="12" t="s">
        <v>258</v>
      </c>
      <c r="G56" s="10" t="s">
        <v>259</v>
      </c>
      <c r="H56" s="10" t="n">
        <v>0</v>
      </c>
      <c r="I56" s="10" t="n">
        <v>0</v>
      </c>
      <c r="J56" s="11" t="s">
        <v>88</v>
      </c>
      <c r="K56" s="11" t="s">
        <v>88</v>
      </c>
      <c r="L56" s="11" t="s">
        <v>88</v>
      </c>
      <c r="M56" s="11" t="s">
        <v>88</v>
      </c>
      <c r="N56" s="11" t="s">
        <v>88</v>
      </c>
      <c r="O56" s="6" t="s">
        <v>429</v>
      </c>
      <c r="P56" s="6"/>
    </row>
    <row r="57" customFormat="false" ht="23.25" hidden="false" customHeight="true" outlineLevel="0" collapsed="false">
      <c r="A57" s="12" t="s">
        <v>439</v>
      </c>
      <c r="B57" s="6" t="s">
        <v>406</v>
      </c>
      <c r="C57" s="6" t="s">
        <v>288</v>
      </c>
      <c r="D57" s="6" t="s">
        <v>440</v>
      </c>
      <c r="E57" s="6" t="s">
        <v>441</v>
      </c>
      <c r="F57" s="12" t="s">
        <v>258</v>
      </c>
      <c r="G57" s="10" t="s">
        <v>259</v>
      </c>
      <c r="H57" s="10" t="n">
        <v>0</v>
      </c>
      <c r="I57" s="10" t="n">
        <v>0</v>
      </c>
      <c r="J57" s="11" t="s">
        <v>88</v>
      </c>
      <c r="K57" s="11" t="s">
        <v>88</v>
      </c>
      <c r="L57" s="11" t="s">
        <v>88</v>
      </c>
      <c r="M57" s="11" t="s">
        <v>88</v>
      </c>
      <c r="N57" s="11" t="s">
        <v>88</v>
      </c>
      <c r="O57" s="6" t="s">
        <v>429</v>
      </c>
      <c r="P57" s="6"/>
    </row>
    <row r="58" customFormat="false" ht="15" hidden="false" customHeight="true" outlineLevel="0" collapsed="false">
      <c r="A58" s="12" t="s">
        <v>442</v>
      </c>
      <c r="B58" s="6" t="s">
        <v>406</v>
      </c>
      <c r="C58" s="6" t="s">
        <v>288</v>
      </c>
      <c r="D58" s="6" t="s">
        <v>443</v>
      </c>
      <c r="E58" s="6" t="s">
        <v>444</v>
      </c>
      <c r="F58" s="12" t="s">
        <v>258</v>
      </c>
      <c r="G58" s="10" t="s">
        <v>259</v>
      </c>
      <c r="H58" s="10" t="n">
        <v>0</v>
      </c>
      <c r="I58" s="10" t="n">
        <v>0</v>
      </c>
      <c r="J58" s="11" t="s">
        <v>88</v>
      </c>
      <c r="K58" s="11" t="s">
        <v>88</v>
      </c>
      <c r="L58" s="11" t="s">
        <v>88</v>
      </c>
      <c r="M58" s="11" t="s">
        <v>88</v>
      </c>
      <c r="N58" s="11" t="s">
        <v>88</v>
      </c>
      <c r="O58" s="6" t="s">
        <v>429</v>
      </c>
      <c r="P58" s="6"/>
    </row>
    <row r="59" customFormat="false" ht="15" hidden="false" customHeight="true" outlineLevel="0" collapsed="false">
      <c r="A59" s="12" t="s">
        <v>445</v>
      </c>
      <c r="B59" s="6" t="s">
        <v>406</v>
      </c>
      <c r="C59" s="6" t="s">
        <v>207</v>
      </c>
      <c r="D59" s="6" t="s">
        <v>446</v>
      </c>
      <c r="E59" s="6" t="s">
        <v>447</v>
      </c>
      <c r="F59" s="12" t="s">
        <v>258</v>
      </c>
      <c r="G59" s="10" t="s">
        <v>259</v>
      </c>
      <c r="H59" s="10" t="n">
        <v>0</v>
      </c>
      <c r="I59" s="10" t="n">
        <v>0</v>
      </c>
      <c r="J59" s="11" t="s">
        <v>88</v>
      </c>
      <c r="K59" s="11" t="s">
        <v>88</v>
      </c>
      <c r="L59" s="11" t="s">
        <v>88</v>
      </c>
      <c r="M59" s="11" t="s">
        <v>88</v>
      </c>
      <c r="N59" s="11" t="s">
        <v>88</v>
      </c>
      <c r="O59" s="6" t="s">
        <v>429</v>
      </c>
      <c r="P59" s="6"/>
    </row>
    <row r="60" customFormat="false" ht="15" hidden="false" customHeight="true" outlineLevel="0" collapsed="false">
      <c r="A60" s="12" t="s">
        <v>448</v>
      </c>
      <c r="B60" s="6" t="s">
        <v>406</v>
      </c>
      <c r="C60" s="6" t="s">
        <v>233</v>
      </c>
      <c r="D60" s="6" t="s">
        <v>449</v>
      </c>
      <c r="E60" s="6" t="s">
        <v>450</v>
      </c>
      <c r="F60" s="12" t="s">
        <v>258</v>
      </c>
      <c r="G60" s="10" t="s">
        <v>259</v>
      </c>
      <c r="H60" s="10" t="n">
        <v>0</v>
      </c>
      <c r="I60" s="10" t="n">
        <v>0</v>
      </c>
      <c r="J60" s="11" t="s">
        <v>88</v>
      </c>
      <c r="K60" s="11" t="s">
        <v>88</v>
      </c>
      <c r="L60" s="11" t="s">
        <v>88</v>
      </c>
      <c r="M60" s="11" t="s">
        <v>88</v>
      </c>
      <c r="N60" s="11" t="s">
        <v>88</v>
      </c>
      <c r="O60" s="6" t="s">
        <v>429</v>
      </c>
      <c r="P60" s="6" t="s">
        <v>451</v>
      </c>
    </row>
    <row r="61" customFormat="false" ht="15" hidden="false" customHeight="true" outlineLevel="0" collapsed="false">
      <c r="A61" s="12" t="s">
        <v>452</v>
      </c>
      <c r="B61" s="6" t="s">
        <v>406</v>
      </c>
      <c r="C61" s="6" t="s">
        <v>288</v>
      </c>
      <c r="D61" s="6" t="s">
        <v>453</v>
      </c>
      <c r="E61" s="6" t="s">
        <v>454</v>
      </c>
      <c r="F61" s="12" t="s">
        <v>258</v>
      </c>
      <c r="G61" s="10" t="s">
        <v>259</v>
      </c>
      <c r="H61" s="10" t="n">
        <v>0</v>
      </c>
      <c r="I61" s="10" t="n">
        <v>0</v>
      </c>
      <c r="J61" s="11" t="s">
        <v>88</v>
      </c>
      <c r="K61" s="11" t="s">
        <v>88</v>
      </c>
      <c r="L61" s="11" t="s">
        <v>88</v>
      </c>
      <c r="M61" s="11" t="s">
        <v>88</v>
      </c>
      <c r="N61" s="11" t="s">
        <v>88</v>
      </c>
      <c r="O61" s="6" t="s">
        <v>429</v>
      </c>
      <c r="P61" s="6"/>
    </row>
    <row r="62" customFormat="false" ht="23.25" hidden="false" customHeight="true" outlineLevel="0" collapsed="false">
      <c r="A62" s="6" t="s">
        <v>455</v>
      </c>
      <c r="B62" s="6" t="s">
        <v>456</v>
      </c>
      <c r="C62" s="6" t="s">
        <v>207</v>
      </c>
      <c r="D62" s="6" t="s">
        <v>457</v>
      </c>
      <c r="E62" s="6" t="s">
        <v>458</v>
      </c>
      <c r="F62" s="6" t="s">
        <v>210</v>
      </c>
      <c r="G62" s="10" t="s">
        <v>211</v>
      </c>
      <c r="H62" s="10" t="n">
        <v>1</v>
      </c>
      <c r="I62" s="10" t="n">
        <v>0</v>
      </c>
      <c r="J62" s="11" t="s">
        <v>88</v>
      </c>
      <c r="K62" s="11" t="s">
        <v>88</v>
      </c>
      <c r="L62" s="11" t="s">
        <v>88</v>
      </c>
      <c r="M62" s="11" t="s">
        <v>88</v>
      </c>
      <c r="N62" s="11" t="s">
        <v>212</v>
      </c>
      <c r="O62" s="6" t="s">
        <v>459</v>
      </c>
      <c r="P62" s="6" t="s">
        <v>460</v>
      </c>
    </row>
    <row r="63" customFormat="false" ht="15" hidden="false" customHeight="true" outlineLevel="0" collapsed="false">
      <c r="A63" s="6" t="s">
        <v>461</v>
      </c>
      <c r="B63" s="6" t="s">
        <v>456</v>
      </c>
      <c r="C63" s="6" t="s">
        <v>207</v>
      </c>
      <c r="D63" s="6" t="s">
        <v>462</v>
      </c>
      <c r="E63" s="6" t="s">
        <v>463</v>
      </c>
      <c r="F63" s="6" t="s">
        <v>236</v>
      </c>
      <c r="G63" s="10" t="s">
        <v>211</v>
      </c>
      <c r="H63" s="10" t="n">
        <v>0</v>
      </c>
      <c r="I63" s="10" t="n">
        <v>0</v>
      </c>
      <c r="J63" s="11" t="s">
        <v>88</v>
      </c>
      <c r="K63" s="11" t="s">
        <v>88</v>
      </c>
      <c r="L63" s="11" t="s">
        <v>88</v>
      </c>
      <c r="M63" s="11" t="s">
        <v>88</v>
      </c>
      <c r="N63" s="11" t="s">
        <v>213</v>
      </c>
      <c r="O63" s="6" t="s">
        <v>464</v>
      </c>
      <c r="P63" s="6" t="s">
        <v>465</v>
      </c>
    </row>
    <row r="64" customFormat="false" ht="15" hidden="false" customHeight="true" outlineLevel="0" collapsed="false">
      <c r="A64" s="6" t="s">
        <v>466</v>
      </c>
      <c r="B64" s="6" t="s">
        <v>456</v>
      </c>
      <c r="C64" s="6" t="s">
        <v>207</v>
      </c>
      <c r="D64" s="6" t="s">
        <v>467</v>
      </c>
      <c r="E64" s="6" t="s">
        <v>468</v>
      </c>
      <c r="F64" s="6" t="s">
        <v>236</v>
      </c>
      <c r="G64" s="10" t="s">
        <v>211</v>
      </c>
      <c r="H64" s="10" t="n">
        <v>0</v>
      </c>
      <c r="I64" s="10" t="n">
        <v>0</v>
      </c>
      <c r="J64" s="11" t="s">
        <v>213</v>
      </c>
      <c r="K64" s="11" t="s">
        <v>213</v>
      </c>
      <c r="L64" s="11" t="s">
        <v>88</v>
      </c>
      <c r="M64" s="11" t="s">
        <v>88</v>
      </c>
      <c r="N64" s="11" t="s">
        <v>213</v>
      </c>
      <c r="O64" s="6" t="s">
        <v>469</v>
      </c>
      <c r="P64" s="6" t="s">
        <v>465</v>
      </c>
    </row>
    <row r="65" customFormat="false" ht="15" hidden="false" customHeight="true" outlineLevel="0" collapsed="false">
      <c r="A65" s="12" t="s">
        <v>470</v>
      </c>
      <c r="B65" s="6" t="s">
        <v>456</v>
      </c>
      <c r="C65" s="6" t="s">
        <v>207</v>
      </c>
      <c r="D65" s="6" t="s">
        <v>471</v>
      </c>
      <c r="E65" s="6" t="s">
        <v>472</v>
      </c>
      <c r="F65" s="12" t="s">
        <v>258</v>
      </c>
      <c r="G65" s="10" t="s">
        <v>259</v>
      </c>
      <c r="H65" s="10" t="n">
        <v>0</v>
      </c>
      <c r="I65" s="10" t="n">
        <v>0</v>
      </c>
      <c r="J65" s="11" t="s">
        <v>88</v>
      </c>
      <c r="K65" s="11" t="s">
        <v>88</v>
      </c>
      <c r="L65" s="11" t="s">
        <v>88</v>
      </c>
      <c r="M65" s="11" t="s">
        <v>88</v>
      </c>
      <c r="N65" s="11" t="s">
        <v>88</v>
      </c>
      <c r="O65" s="6" t="s">
        <v>473</v>
      </c>
      <c r="P65" s="6" t="s">
        <v>465</v>
      </c>
    </row>
    <row r="66" customFormat="false" ht="15" hidden="false" customHeight="true" outlineLevel="0" collapsed="false">
      <c r="A66" s="12" t="s">
        <v>474</v>
      </c>
      <c r="B66" s="6" t="s">
        <v>456</v>
      </c>
      <c r="C66" s="6" t="s">
        <v>207</v>
      </c>
      <c r="D66" s="6" t="s">
        <v>475</v>
      </c>
      <c r="E66" s="6" t="s">
        <v>476</v>
      </c>
      <c r="F66" s="12" t="s">
        <v>258</v>
      </c>
      <c r="G66" s="10" t="s">
        <v>259</v>
      </c>
      <c r="H66" s="10" t="n">
        <v>0</v>
      </c>
      <c r="I66" s="10" t="n">
        <v>0</v>
      </c>
      <c r="J66" s="11" t="s">
        <v>88</v>
      </c>
      <c r="K66" s="11" t="s">
        <v>88</v>
      </c>
      <c r="L66" s="11" t="s">
        <v>88</v>
      </c>
      <c r="M66" s="11" t="s">
        <v>88</v>
      </c>
      <c r="N66" s="11" t="s">
        <v>88</v>
      </c>
      <c r="O66" s="6" t="s">
        <v>477</v>
      </c>
      <c r="P66" s="6" t="s">
        <v>465</v>
      </c>
    </row>
    <row r="67" customFormat="false" ht="15" hidden="false" customHeight="true" outlineLevel="0" collapsed="false">
      <c r="A67" s="6" t="s">
        <v>478</v>
      </c>
      <c r="B67" s="6" t="s">
        <v>456</v>
      </c>
      <c r="C67" s="6" t="s">
        <v>207</v>
      </c>
      <c r="D67" s="6" t="s">
        <v>479</v>
      </c>
      <c r="E67" s="6" t="s">
        <v>480</v>
      </c>
      <c r="F67" s="6" t="s">
        <v>236</v>
      </c>
      <c r="G67" s="10" t="s">
        <v>211</v>
      </c>
      <c r="H67" s="10" t="n">
        <v>0</v>
      </c>
      <c r="I67" s="10" t="n">
        <v>0</v>
      </c>
      <c r="J67" s="11" t="s">
        <v>213</v>
      </c>
      <c r="K67" s="11" t="s">
        <v>213</v>
      </c>
      <c r="L67" s="11" t="s">
        <v>88</v>
      </c>
      <c r="M67" s="11" t="s">
        <v>88</v>
      </c>
      <c r="N67" s="11" t="s">
        <v>88</v>
      </c>
      <c r="O67" s="6" t="s">
        <v>481</v>
      </c>
      <c r="P67" s="6" t="s">
        <v>465</v>
      </c>
    </row>
    <row r="68" customFormat="false" ht="15" hidden="false" customHeight="true" outlineLevel="0" collapsed="false">
      <c r="A68" s="12" t="s">
        <v>482</v>
      </c>
      <c r="B68" s="6" t="s">
        <v>456</v>
      </c>
      <c r="C68" s="6" t="s">
        <v>207</v>
      </c>
      <c r="D68" s="6" t="s">
        <v>483</v>
      </c>
      <c r="E68" s="6" t="s">
        <v>484</v>
      </c>
      <c r="F68" s="12" t="s">
        <v>258</v>
      </c>
      <c r="G68" s="10" t="s">
        <v>259</v>
      </c>
      <c r="H68" s="10" t="n">
        <v>0</v>
      </c>
      <c r="I68" s="10" t="n">
        <v>0</v>
      </c>
      <c r="J68" s="11" t="s">
        <v>88</v>
      </c>
      <c r="K68" s="11" t="s">
        <v>88</v>
      </c>
      <c r="L68" s="11" t="s">
        <v>88</v>
      </c>
      <c r="M68" s="11" t="s">
        <v>88</v>
      </c>
      <c r="N68" s="11" t="s">
        <v>88</v>
      </c>
      <c r="O68" s="6" t="s">
        <v>356</v>
      </c>
      <c r="P68" s="6" t="s">
        <v>465</v>
      </c>
    </row>
    <row r="69" customFormat="false" ht="23.25" hidden="false" customHeight="true" outlineLevel="0" collapsed="false">
      <c r="A69" s="12" t="s">
        <v>485</v>
      </c>
      <c r="B69" s="6" t="s">
        <v>486</v>
      </c>
      <c r="C69" s="6" t="s">
        <v>207</v>
      </c>
      <c r="D69" s="6" t="s">
        <v>487</v>
      </c>
      <c r="E69" s="6" t="s">
        <v>488</v>
      </c>
      <c r="F69" s="12" t="s">
        <v>258</v>
      </c>
      <c r="G69" s="10" t="s">
        <v>259</v>
      </c>
      <c r="H69" s="10" t="n">
        <v>0</v>
      </c>
      <c r="I69" s="10" t="n">
        <v>0</v>
      </c>
      <c r="J69" s="11" t="s">
        <v>88</v>
      </c>
      <c r="K69" s="11" t="s">
        <v>88</v>
      </c>
      <c r="L69" s="11" t="s">
        <v>88</v>
      </c>
      <c r="M69" s="11" t="s">
        <v>88</v>
      </c>
      <c r="N69" s="11" t="s">
        <v>88</v>
      </c>
      <c r="O69" s="6" t="s">
        <v>489</v>
      </c>
      <c r="P69" s="6"/>
    </row>
    <row r="70" customFormat="false" ht="15" hidden="false" customHeight="true" outlineLevel="0" collapsed="false">
      <c r="A70" s="6" t="s">
        <v>490</v>
      </c>
      <c r="B70" s="6" t="s">
        <v>486</v>
      </c>
      <c r="C70" s="6" t="s">
        <v>207</v>
      </c>
      <c r="D70" s="6" t="s">
        <v>491</v>
      </c>
      <c r="E70" s="6" t="s">
        <v>492</v>
      </c>
      <c r="F70" s="6" t="s">
        <v>236</v>
      </c>
      <c r="G70" s="10" t="s">
        <v>211</v>
      </c>
      <c r="H70" s="10" t="n">
        <v>0</v>
      </c>
      <c r="I70" s="10" t="n">
        <v>0</v>
      </c>
      <c r="J70" s="11" t="s">
        <v>213</v>
      </c>
      <c r="K70" s="11" t="s">
        <v>213</v>
      </c>
      <c r="L70" s="11" t="s">
        <v>88</v>
      </c>
      <c r="M70" s="11" t="s">
        <v>213</v>
      </c>
      <c r="N70" s="11" t="s">
        <v>213</v>
      </c>
      <c r="O70" s="6" t="s">
        <v>492</v>
      </c>
      <c r="P70" s="6"/>
    </row>
    <row r="71" customFormat="false" ht="15" hidden="false" customHeight="true" outlineLevel="0" collapsed="false">
      <c r="A71" s="12" t="s">
        <v>493</v>
      </c>
      <c r="B71" s="6" t="s">
        <v>486</v>
      </c>
      <c r="C71" s="6" t="s">
        <v>207</v>
      </c>
      <c r="D71" s="6" t="s">
        <v>494</v>
      </c>
      <c r="E71" s="6" t="s">
        <v>495</v>
      </c>
      <c r="F71" s="12" t="s">
        <v>258</v>
      </c>
      <c r="G71" s="10" t="s">
        <v>259</v>
      </c>
      <c r="H71" s="10" t="n">
        <v>0</v>
      </c>
      <c r="I71" s="10" t="n">
        <v>0</v>
      </c>
      <c r="J71" s="11" t="s">
        <v>88</v>
      </c>
      <c r="K71" s="11" t="s">
        <v>88</v>
      </c>
      <c r="L71" s="11" t="s">
        <v>88</v>
      </c>
      <c r="M71" s="11" t="s">
        <v>88</v>
      </c>
      <c r="N71" s="11" t="s">
        <v>88</v>
      </c>
      <c r="O71" s="6" t="s">
        <v>495</v>
      </c>
      <c r="P71" s="6"/>
    </row>
    <row r="72" customFormat="false" ht="34.5" hidden="false" customHeight="true" outlineLevel="0" collapsed="false">
      <c r="A72" s="6" t="s">
        <v>496</v>
      </c>
      <c r="B72" s="6" t="s">
        <v>497</v>
      </c>
      <c r="C72" s="6" t="s">
        <v>207</v>
      </c>
      <c r="D72" s="6" t="s">
        <v>498</v>
      </c>
      <c r="E72" s="6" t="s">
        <v>499</v>
      </c>
      <c r="F72" s="6" t="s">
        <v>210</v>
      </c>
      <c r="G72" s="10" t="s">
        <v>211</v>
      </c>
      <c r="H72" s="10" t="n">
        <v>1</v>
      </c>
      <c r="I72" s="10" t="n">
        <v>0</v>
      </c>
      <c r="J72" s="11" t="s">
        <v>213</v>
      </c>
      <c r="K72" s="11" t="s">
        <v>213</v>
      </c>
      <c r="L72" s="11" t="s">
        <v>213</v>
      </c>
      <c r="M72" s="11" t="s">
        <v>213</v>
      </c>
      <c r="N72" s="11" t="s">
        <v>213</v>
      </c>
      <c r="O72" s="6" t="s">
        <v>500</v>
      </c>
      <c r="P72" s="6" t="s">
        <v>501</v>
      </c>
    </row>
    <row r="73" customFormat="false" ht="34.5" hidden="false" customHeight="true" outlineLevel="0" collapsed="false">
      <c r="A73" s="6" t="s">
        <v>502</v>
      </c>
      <c r="B73" s="6" t="s">
        <v>497</v>
      </c>
      <c r="C73" s="6" t="s">
        <v>207</v>
      </c>
      <c r="D73" s="6" t="s">
        <v>503</v>
      </c>
      <c r="E73" s="6" t="s">
        <v>504</v>
      </c>
      <c r="F73" s="6" t="s">
        <v>236</v>
      </c>
      <c r="G73" s="10" t="s">
        <v>211</v>
      </c>
      <c r="H73" s="10" t="n">
        <v>1</v>
      </c>
      <c r="I73" s="10" t="n">
        <v>0</v>
      </c>
      <c r="J73" s="11" t="s">
        <v>213</v>
      </c>
      <c r="K73" s="11" t="s">
        <v>213</v>
      </c>
      <c r="L73" s="11" t="s">
        <v>213</v>
      </c>
      <c r="M73" s="11" t="s">
        <v>213</v>
      </c>
      <c r="N73" s="11" t="s">
        <v>213</v>
      </c>
      <c r="O73" s="6" t="s">
        <v>505</v>
      </c>
      <c r="P73" s="6" t="s">
        <v>506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8"/>
    <col collapsed="false" customWidth="true" hidden="false" outlineLevel="0" max="4" min="4" style="1" width="38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7" min="7" style="1" width="6"/>
    <col collapsed="false" customWidth="true" hidden="false" outlineLevel="0" max="9" min="8" style="1" width="9"/>
    <col collapsed="false" customWidth="true" hidden="false" outlineLevel="0" max="15" min="10" style="1" width="11"/>
    <col collapsed="false" customWidth="true" hidden="false" outlineLevel="0" max="16" min="16" style="1" width="48"/>
    <col collapsed="false" customWidth="true" hidden="false" outlineLevel="0" max="17" min="17" style="1" width="40"/>
  </cols>
  <sheetData>
    <row r="1" customFormat="false" ht="30" hidden="false" customHeight="true" outlineLevel="0" collapsed="false">
      <c r="A1" s="5" t="s">
        <v>195</v>
      </c>
      <c r="B1" s="5" t="s">
        <v>196</v>
      </c>
      <c r="C1" s="5" t="s">
        <v>197</v>
      </c>
      <c r="D1" s="5" t="s">
        <v>198</v>
      </c>
      <c r="E1" s="5" t="s">
        <v>199</v>
      </c>
      <c r="F1" s="5" t="s">
        <v>52</v>
      </c>
      <c r="G1" s="5" t="s">
        <v>200</v>
      </c>
      <c r="H1" s="5" t="s">
        <v>201</v>
      </c>
      <c r="I1" s="5" t="s">
        <v>202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203</v>
      </c>
      <c r="Q1" s="5" t="s">
        <v>204</v>
      </c>
    </row>
    <row r="2" customFormat="false" ht="23.25" hidden="false" customHeight="true" outlineLevel="0" collapsed="false">
      <c r="A2" s="6" t="s">
        <v>507</v>
      </c>
      <c r="B2" s="6" t="s">
        <v>508</v>
      </c>
      <c r="C2" s="6" t="s">
        <v>207</v>
      </c>
      <c r="D2" s="6" t="s">
        <v>509</v>
      </c>
      <c r="E2" s="6" t="s">
        <v>510</v>
      </c>
      <c r="F2" s="6" t="s">
        <v>236</v>
      </c>
      <c r="G2" s="10" t="s">
        <v>211</v>
      </c>
      <c r="H2" s="10" t="n">
        <v>0</v>
      </c>
      <c r="I2" s="10" t="n">
        <v>0</v>
      </c>
      <c r="J2" s="11" t="s">
        <v>88</v>
      </c>
      <c r="K2" s="11" t="s">
        <v>88</v>
      </c>
      <c r="L2" s="11" t="s">
        <v>213</v>
      </c>
      <c r="M2" s="11" t="s">
        <v>88</v>
      </c>
      <c r="N2" s="11" t="s">
        <v>213</v>
      </c>
      <c r="O2" s="11" t="s">
        <v>213</v>
      </c>
      <c r="P2" s="6" t="s">
        <v>510</v>
      </c>
      <c r="Q2" s="6" t="s">
        <v>511</v>
      </c>
    </row>
    <row r="3" customFormat="false" ht="23.25" hidden="false" customHeight="true" outlineLevel="0" collapsed="false">
      <c r="A3" s="6" t="s">
        <v>512</v>
      </c>
      <c r="B3" s="6" t="s">
        <v>508</v>
      </c>
      <c r="C3" s="6" t="s">
        <v>207</v>
      </c>
      <c r="D3" s="6" t="s">
        <v>513</v>
      </c>
      <c r="E3" s="6" t="s">
        <v>514</v>
      </c>
      <c r="F3" s="6" t="s">
        <v>210</v>
      </c>
      <c r="G3" s="10" t="s">
        <v>211</v>
      </c>
      <c r="H3" s="10" t="n">
        <v>0</v>
      </c>
      <c r="I3" s="10" t="n">
        <v>1</v>
      </c>
      <c r="J3" s="11" t="s">
        <v>230</v>
      </c>
      <c r="K3" s="11" t="s">
        <v>230</v>
      </c>
      <c r="L3" s="11" t="s">
        <v>212</v>
      </c>
      <c r="M3" s="11" t="s">
        <v>230</v>
      </c>
      <c r="N3" s="11" t="s">
        <v>230</v>
      </c>
      <c r="O3" s="11" t="s">
        <v>230</v>
      </c>
      <c r="P3" s="6" t="s">
        <v>515</v>
      </c>
      <c r="Q3" s="6"/>
    </row>
    <row r="4" customFormat="false" ht="23.25" hidden="false" customHeight="true" outlineLevel="0" collapsed="false">
      <c r="A4" s="6" t="s">
        <v>144</v>
      </c>
      <c r="B4" s="6" t="s">
        <v>516</v>
      </c>
      <c r="C4" s="6" t="s">
        <v>233</v>
      </c>
      <c r="D4" s="6" t="s">
        <v>517</v>
      </c>
      <c r="E4" s="6" t="s">
        <v>518</v>
      </c>
      <c r="F4" s="6" t="s">
        <v>210</v>
      </c>
      <c r="G4" s="10" t="s">
        <v>211</v>
      </c>
      <c r="H4" s="10" t="n">
        <v>0</v>
      </c>
      <c r="I4" s="10" t="n">
        <v>0</v>
      </c>
      <c r="J4" s="11" t="s">
        <v>212</v>
      </c>
      <c r="K4" s="11" t="s">
        <v>88</v>
      </c>
      <c r="L4" s="11" t="s">
        <v>213</v>
      </c>
      <c r="M4" s="11" t="s">
        <v>212</v>
      </c>
      <c r="N4" s="11" t="s">
        <v>212</v>
      </c>
      <c r="O4" s="11" t="s">
        <v>88</v>
      </c>
      <c r="P4" s="6" t="s">
        <v>519</v>
      </c>
      <c r="Q4" s="6" t="s">
        <v>520</v>
      </c>
    </row>
    <row r="5" customFormat="false" ht="15" hidden="false" customHeight="true" outlineLevel="0" collapsed="false">
      <c r="A5" s="6" t="s">
        <v>521</v>
      </c>
      <c r="B5" s="6" t="s">
        <v>516</v>
      </c>
      <c r="C5" s="6" t="s">
        <v>233</v>
      </c>
      <c r="D5" s="6" t="s">
        <v>522</v>
      </c>
      <c r="E5" s="6" t="s">
        <v>523</v>
      </c>
      <c r="F5" s="6" t="s">
        <v>210</v>
      </c>
      <c r="G5" s="10" t="s">
        <v>211</v>
      </c>
      <c r="H5" s="10" t="n">
        <v>0</v>
      </c>
      <c r="I5" s="10" t="n">
        <v>0</v>
      </c>
      <c r="J5" s="11" t="s">
        <v>88</v>
      </c>
      <c r="K5" s="11" t="s">
        <v>88</v>
      </c>
      <c r="L5" s="11" t="s">
        <v>213</v>
      </c>
      <c r="M5" s="11" t="s">
        <v>88</v>
      </c>
      <c r="N5" s="11" t="s">
        <v>213</v>
      </c>
      <c r="O5" s="11" t="s">
        <v>213</v>
      </c>
      <c r="P5" s="6" t="s">
        <v>524</v>
      </c>
      <c r="Q5" s="6"/>
    </row>
    <row r="6" customFormat="false" ht="15" hidden="false" customHeight="true" outlineLevel="0" collapsed="false">
      <c r="A6" s="6" t="s">
        <v>525</v>
      </c>
      <c r="B6" s="6" t="s">
        <v>516</v>
      </c>
      <c r="C6" s="6" t="s">
        <v>207</v>
      </c>
      <c r="D6" s="6" t="s">
        <v>526</v>
      </c>
      <c r="E6" s="6" t="s">
        <v>527</v>
      </c>
      <c r="F6" s="6" t="s">
        <v>210</v>
      </c>
      <c r="G6" s="10" t="s">
        <v>211</v>
      </c>
      <c r="H6" s="10" t="n">
        <v>1</v>
      </c>
      <c r="I6" s="10" t="n">
        <v>0</v>
      </c>
      <c r="J6" s="11" t="s">
        <v>88</v>
      </c>
      <c r="K6" s="11" t="s">
        <v>88</v>
      </c>
      <c r="L6" s="11" t="s">
        <v>212</v>
      </c>
      <c r="M6" s="11" t="s">
        <v>88</v>
      </c>
      <c r="N6" s="11" t="s">
        <v>213</v>
      </c>
      <c r="O6" s="11" t="s">
        <v>88</v>
      </c>
      <c r="P6" s="6" t="s">
        <v>528</v>
      </c>
      <c r="Q6" s="6"/>
    </row>
    <row r="7" customFormat="false" ht="15" hidden="false" customHeight="true" outlineLevel="0" collapsed="false">
      <c r="A7" s="6" t="s">
        <v>529</v>
      </c>
      <c r="B7" s="6" t="s">
        <v>516</v>
      </c>
      <c r="C7" s="6" t="s">
        <v>288</v>
      </c>
      <c r="D7" s="6" t="s">
        <v>530</v>
      </c>
      <c r="E7" s="6" t="s">
        <v>531</v>
      </c>
      <c r="F7" s="6" t="s">
        <v>210</v>
      </c>
      <c r="G7" s="10" t="s">
        <v>211</v>
      </c>
      <c r="H7" s="10" t="n">
        <v>0</v>
      </c>
      <c r="I7" s="10" t="n">
        <v>0</v>
      </c>
      <c r="J7" s="11" t="s">
        <v>88</v>
      </c>
      <c r="K7" s="11" t="s">
        <v>88</v>
      </c>
      <c r="L7" s="11" t="s">
        <v>88</v>
      </c>
      <c r="M7" s="11" t="s">
        <v>88</v>
      </c>
      <c r="N7" s="11" t="s">
        <v>212</v>
      </c>
      <c r="O7" s="11" t="s">
        <v>88</v>
      </c>
      <c r="P7" s="6" t="s">
        <v>532</v>
      </c>
      <c r="Q7" s="6"/>
    </row>
    <row r="8" customFormat="false" ht="23.25" hidden="false" customHeight="true" outlineLevel="0" collapsed="false">
      <c r="A8" s="6" t="s">
        <v>533</v>
      </c>
      <c r="B8" s="6" t="s">
        <v>508</v>
      </c>
      <c r="C8" s="6" t="s">
        <v>288</v>
      </c>
      <c r="D8" s="6" t="s">
        <v>534</v>
      </c>
      <c r="E8" s="6" t="s">
        <v>535</v>
      </c>
      <c r="F8" s="6" t="s">
        <v>210</v>
      </c>
      <c r="G8" s="10" t="s">
        <v>211</v>
      </c>
      <c r="H8" s="10" t="n">
        <v>0</v>
      </c>
      <c r="I8" s="10" t="n">
        <v>0</v>
      </c>
      <c r="J8" s="11" t="s">
        <v>88</v>
      </c>
      <c r="K8" s="11" t="s">
        <v>88</v>
      </c>
      <c r="L8" s="11" t="s">
        <v>88</v>
      </c>
      <c r="M8" s="11" t="s">
        <v>88</v>
      </c>
      <c r="N8" s="11" t="s">
        <v>88</v>
      </c>
      <c r="O8" s="11" t="s">
        <v>212</v>
      </c>
      <c r="P8" s="6" t="s">
        <v>536</v>
      </c>
      <c r="Q8" s="6" t="s">
        <v>537</v>
      </c>
    </row>
    <row r="9" customFormat="false" ht="15" hidden="false" customHeight="true" outlineLevel="0" collapsed="false">
      <c r="A9" s="12" t="s">
        <v>538</v>
      </c>
      <c r="B9" s="6" t="s">
        <v>516</v>
      </c>
      <c r="C9" s="6" t="s">
        <v>288</v>
      </c>
      <c r="D9" s="6" t="s">
        <v>539</v>
      </c>
      <c r="E9" s="6" t="s">
        <v>540</v>
      </c>
      <c r="F9" s="12" t="s">
        <v>258</v>
      </c>
      <c r="G9" s="10" t="s">
        <v>259</v>
      </c>
      <c r="H9" s="10" t="n">
        <v>0</v>
      </c>
      <c r="I9" s="10" t="n">
        <v>0</v>
      </c>
      <c r="J9" s="11" t="s">
        <v>88</v>
      </c>
      <c r="K9" s="11" t="s">
        <v>88</v>
      </c>
      <c r="L9" s="11" t="s">
        <v>88</v>
      </c>
      <c r="M9" s="11" t="s">
        <v>88</v>
      </c>
      <c r="N9" s="11" t="s">
        <v>88</v>
      </c>
      <c r="O9" s="11" t="s">
        <v>88</v>
      </c>
      <c r="P9" s="6" t="s">
        <v>540</v>
      </c>
      <c r="Q9" s="6" t="s">
        <v>541</v>
      </c>
    </row>
    <row r="10" customFormat="false" ht="23.25" hidden="false" customHeight="true" outlineLevel="0" collapsed="false">
      <c r="A10" s="6" t="s">
        <v>300</v>
      </c>
      <c r="B10" s="6" t="s">
        <v>301</v>
      </c>
      <c r="C10" s="6" t="s">
        <v>207</v>
      </c>
      <c r="D10" s="6" t="s">
        <v>302</v>
      </c>
      <c r="E10" s="6" t="s">
        <v>303</v>
      </c>
      <c r="F10" s="6" t="s">
        <v>210</v>
      </c>
      <c r="G10" s="10" t="s">
        <v>211</v>
      </c>
      <c r="H10" s="10" t="n">
        <v>-1</v>
      </c>
      <c r="I10" s="10" t="n">
        <v>0</v>
      </c>
      <c r="J10" s="11" t="s">
        <v>213</v>
      </c>
      <c r="K10" s="11" t="s">
        <v>213</v>
      </c>
      <c r="L10" s="11" t="s">
        <v>212</v>
      </c>
      <c r="M10" s="11" t="s">
        <v>213</v>
      </c>
      <c r="N10" s="11" t="s">
        <v>230</v>
      </c>
      <c r="O10" s="11" t="s">
        <v>212</v>
      </c>
      <c r="P10" s="6" t="s">
        <v>542</v>
      </c>
      <c r="Q10" s="6" t="s">
        <v>305</v>
      </c>
    </row>
    <row r="11" customFormat="false" ht="15" hidden="false" customHeight="true" outlineLevel="0" collapsed="false">
      <c r="A11" s="6" t="s">
        <v>306</v>
      </c>
      <c r="B11" s="6" t="s">
        <v>301</v>
      </c>
      <c r="C11" s="6" t="s">
        <v>207</v>
      </c>
      <c r="D11" s="6" t="s">
        <v>307</v>
      </c>
      <c r="E11" s="6" t="s">
        <v>308</v>
      </c>
      <c r="F11" s="6" t="s">
        <v>210</v>
      </c>
      <c r="G11" s="10" t="s">
        <v>211</v>
      </c>
      <c r="H11" s="10" t="n">
        <v>0</v>
      </c>
      <c r="I11" s="10" t="n">
        <v>0</v>
      </c>
      <c r="J11" s="11" t="s">
        <v>230</v>
      </c>
      <c r="K11" s="11" t="s">
        <v>230</v>
      </c>
      <c r="L11" s="11" t="s">
        <v>230</v>
      </c>
      <c r="M11" s="11" t="s">
        <v>230</v>
      </c>
      <c r="N11" s="11" t="s">
        <v>230</v>
      </c>
      <c r="O11" s="11" t="s">
        <v>230</v>
      </c>
      <c r="P11" s="6" t="s">
        <v>543</v>
      </c>
      <c r="Q11" s="6"/>
    </row>
    <row r="12" customFormat="false" ht="15" hidden="false" customHeight="true" outlineLevel="0" collapsed="false">
      <c r="A12" s="6" t="s">
        <v>310</v>
      </c>
      <c r="B12" s="6" t="s">
        <v>301</v>
      </c>
      <c r="C12" s="6" t="s">
        <v>233</v>
      </c>
      <c r="D12" s="6" t="s">
        <v>311</v>
      </c>
      <c r="E12" s="6" t="s">
        <v>312</v>
      </c>
      <c r="F12" s="6" t="s">
        <v>236</v>
      </c>
      <c r="G12" s="10" t="s">
        <v>211</v>
      </c>
      <c r="H12" s="10" t="n">
        <v>0</v>
      </c>
      <c r="I12" s="10" t="n">
        <v>0</v>
      </c>
      <c r="J12" s="11" t="s">
        <v>213</v>
      </c>
      <c r="K12" s="11" t="s">
        <v>88</v>
      </c>
      <c r="L12" s="11" t="s">
        <v>213</v>
      </c>
      <c r="M12" s="11" t="s">
        <v>88</v>
      </c>
      <c r="N12" s="11" t="s">
        <v>88</v>
      </c>
      <c r="O12" s="11" t="s">
        <v>213</v>
      </c>
      <c r="P12" s="6" t="s">
        <v>544</v>
      </c>
      <c r="Q12" s="6"/>
    </row>
    <row r="13" customFormat="false" ht="15" hidden="false" customHeight="true" outlineLevel="0" collapsed="false">
      <c r="A13" s="6" t="s">
        <v>314</v>
      </c>
      <c r="B13" s="6" t="s">
        <v>301</v>
      </c>
      <c r="C13" s="6" t="s">
        <v>233</v>
      </c>
      <c r="D13" s="6" t="s">
        <v>315</v>
      </c>
      <c r="E13" s="6" t="s">
        <v>316</v>
      </c>
      <c r="F13" s="6" t="s">
        <v>236</v>
      </c>
      <c r="G13" s="10" t="s">
        <v>211</v>
      </c>
      <c r="H13" s="10" t="n">
        <v>0</v>
      </c>
      <c r="I13" s="10" t="n">
        <v>0</v>
      </c>
      <c r="J13" s="11" t="s">
        <v>88</v>
      </c>
      <c r="K13" s="11" t="s">
        <v>88</v>
      </c>
      <c r="L13" s="11" t="s">
        <v>213</v>
      </c>
      <c r="M13" s="11" t="s">
        <v>88</v>
      </c>
      <c r="N13" s="11" t="s">
        <v>88</v>
      </c>
      <c r="O13" s="11" t="s">
        <v>213</v>
      </c>
      <c r="P13" s="6" t="s">
        <v>545</v>
      </c>
      <c r="Q13" s="6" t="s">
        <v>317</v>
      </c>
    </row>
    <row r="14" customFormat="false" ht="15" hidden="false" customHeight="true" outlineLevel="0" collapsed="false">
      <c r="A14" s="6" t="s">
        <v>318</v>
      </c>
      <c r="B14" s="6" t="s">
        <v>301</v>
      </c>
      <c r="C14" s="6" t="s">
        <v>207</v>
      </c>
      <c r="D14" s="6" t="s">
        <v>319</v>
      </c>
      <c r="E14" s="6" t="s">
        <v>316</v>
      </c>
      <c r="F14" s="6" t="s">
        <v>236</v>
      </c>
      <c r="G14" s="10" t="s">
        <v>211</v>
      </c>
      <c r="H14" s="10" t="n">
        <v>1</v>
      </c>
      <c r="I14" s="10" t="n">
        <v>0</v>
      </c>
      <c r="J14" s="11" t="s">
        <v>88</v>
      </c>
      <c r="K14" s="11" t="s">
        <v>88</v>
      </c>
      <c r="L14" s="11" t="s">
        <v>213</v>
      </c>
      <c r="M14" s="11" t="s">
        <v>88</v>
      </c>
      <c r="N14" s="11" t="s">
        <v>213</v>
      </c>
      <c r="O14" s="11" t="s">
        <v>213</v>
      </c>
      <c r="P14" s="6" t="s">
        <v>316</v>
      </c>
      <c r="Q14" s="6" t="s">
        <v>317</v>
      </c>
    </row>
    <row r="15" customFormat="false" ht="15" hidden="false" customHeight="true" outlineLevel="0" collapsed="false">
      <c r="A15" s="6" t="s">
        <v>320</v>
      </c>
      <c r="B15" s="6" t="s">
        <v>301</v>
      </c>
      <c r="C15" s="6" t="s">
        <v>288</v>
      </c>
      <c r="D15" s="6" t="s">
        <v>321</v>
      </c>
      <c r="E15" s="6" t="s">
        <v>322</v>
      </c>
      <c r="F15" s="6" t="s">
        <v>236</v>
      </c>
      <c r="G15" s="10" t="s">
        <v>211</v>
      </c>
      <c r="H15" s="10" t="n">
        <v>0</v>
      </c>
      <c r="I15" s="10" t="n">
        <v>0</v>
      </c>
      <c r="J15" s="11" t="s">
        <v>88</v>
      </c>
      <c r="K15" s="11" t="s">
        <v>88</v>
      </c>
      <c r="L15" s="11" t="s">
        <v>213</v>
      </c>
      <c r="M15" s="11" t="s">
        <v>88</v>
      </c>
      <c r="N15" s="11" t="s">
        <v>88</v>
      </c>
      <c r="O15" s="11" t="s">
        <v>213</v>
      </c>
      <c r="P15" s="6" t="s">
        <v>544</v>
      </c>
      <c r="Q15" s="6"/>
    </row>
    <row r="16" customFormat="false" ht="23.25" hidden="false" customHeight="true" outlineLevel="0" collapsed="false">
      <c r="A16" s="6" t="s">
        <v>324</v>
      </c>
      <c r="B16" s="6" t="s">
        <v>301</v>
      </c>
      <c r="C16" s="6" t="s">
        <v>207</v>
      </c>
      <c r="D16" s="6" t="s">
        <v>325</v>
      </c>
      <c r="E16" s="6" t="s">
        <v>326</v>
      </c>
      <c r="F16" s="6" t="s">
        <v>236</v>
      </c>
      <c r="G16" s="10" t="s">
        <v>211</v>
      </c>
      <c r="H16" s="10" t="n">
        <v>0</v>
      </c>
      <c r="I16" s="10" t="n">
        <v>0</v>
      </c>
      <c r="J16" s="11" t="s">
        <v>88</v>
      </c>
      <c r="K16" s="11" t="s">
        <v>88</v>
      </c>
      <c r="L16" s="11" t="s">
        <v>213</v>
      </c>
      <c r="M16" s="11" t="s">
        <v>88</v>
      </c>
      <c r="N16" s="11" t="s">
        <v>88</v>
      </c>
      <c r="O16" s="11" t="s">
        <v>213</v>
      </c>
      <c r="P16" s="6" t="s">
        <v>546</v>
      </c>
      <c r="Q16" s="6" t="s">
        <v>328</v>
      </c>
    </row>
    <row r="17" customFormat="false" ht="15" hidden="false" customHeight="true" outlineLevel="0" collapsed="false">
      <c r="A17" s="6" t="s">
        <v>329</v>
      </c>
      <c r="B17" s="6" t="s">
        <v>301</v>
      </c>
      <c r="C17" s="6" t="s">
        <v>207</v>
      </c>
      <c r="D17" s="6" t="s">
        <v>330</v>
      </c>
      <c r="E17" s="6" t="s">
        <v>331</v>
      </c>
      <c r="F17" s="6" t="s">
        <v>236</v>
      </c>
      <c r="G17" s="10" t="s">
        <v>211</v>
      </c>
      <c r="H17" s="10" t="n">
        <v>0</v>
      </c>
      <c r="I17" s="10" t="n">
        <v>0</v>
      </c>
      <c r="J17" s="11" t="s">
        <v>213</v>
      </c>
      <c r="K17" s="11" t="s">
        <v>213</v>
      </c>
      <c r="L17" s="11" t="s">
        <v>213</v>
      </c>
      <c r="M17" s="11" t="s">
        <v>88</v>
      </c>
      <c r="N17" s="11" t="s">
        <v>88</v>
      </c>
      <c r="O17" s="11" t="s">
        <v>213</v>
      </c>
      <c r="P17" s="6" t="s">
        <v>547</v>
      </c>
      <c r="Q17" s="6"/>
    </row>
    <row r="18" customFormat="false" ht="15" hidden="false" customHeight="true" outlineLevel="0" collapsed="false">
      <c r="A18" s="12" t="s">
        <v>333</v>
      </c>
      <c r="B18" s="6" t="s">
        <v>301</v>
      </c>
      <c r="C18" s="6" t="s">
        <v>207</v>
      </c>
      <c r="D18" s="6" t="s">
        <v>334</v>
      </c>
      <c r="E18" s="6" t="s">
        <v>335</v>
      </c>
      <c r="F18" s="12" t="s">
        <v>258</v>
      </c>
      <c r="G18" s="10" t="s">
        <v>259</v>
      </c>
      <c r="H18" s="10" t="n">
        <v>0</v>
      </c>
      <c r="I18" s="10" t="n">
        <v>0</v>
      </c>
      <c r="J18" s="11" t="s">
        <v>88</v>
      </c>
      <c r="K18" s="11" t="s">
        <v>88</v>
      </c>
      <c r="L18" s="11" t="s">
        <v>88</v>
      </c>
      <c r="M18" s="11" t="s">
        <v>88</v>
      </c>
      <c r="N18" s="11" t="s">
        <v>88</v>
      </c>
      <c r="O18" s="11" t="s">
        <v>88</v>
      </c>
      <c r="P18" s="6" t="s">
        <v>548</v>
      </c>
      <c r="Q18" s="6" t="s">
        <v>337</v>
      </c>
    </row>
    <row r="19" customFormat="false" ht="23.25" hidden="false" customHeight="true" outlineLevel="0" collapsed="false">
      <c r="A19" s="12" t="s">
        <v>178</v>
      </c>
      <c r="B19" s="6" t="s">
        <v>301</v>
      </c>
      <c r="C19" s="6" t="s">
        <v>207</v>
      </c>
      <c r="D19" s="6" t="s">
        <v>338</v>
      </c>
      <c r="E19" s="6" t="s">
        <v>339</v>
      </c>
      <c r="F19" s="12" t="s">
        <v>258</v>
      </c>
      <c r="G19" s="10" t="s">
        <v>259</v>
      </c>
      <c r="H19" s="10" t="n">
        <v>0</v>
      </c>
      <c r="I19" s="10" t="n">
        <v>0</v>
      </c>
      <c r="J19" s="11" t="s">
        <v>88</v>
      </c>
      <c r="K19" s="11" t="s">
        <v>88</v>
      </c>
      <c r="L19" s="11" t="s">
        <v>88</v>
      </c>
      <c r="M19" s="11" t="s">
        <v>88</v>
      </c>
      <c r="N19" s="11" t="s">
        <v>88</v>
      </c>
      <c r="O19" s="11" t="s">
        <v>88</v>
      </c>
      <c r="P19" s="6" t="s">
        <v>549</v>
      </c>
      <c r="Q19" s="6" t="s">
        <v>341</v>
      </c>
    </row>
    <row r="20" customFormat="false" ht="15" hidden="false" customHeight="true" outlineLevel="0" collapsed="false">
      <c r="A20" s="12" t="s">
        <v>342</v>
      </c>
      <c r="B20" s="6" t="s">
        <v>343</v>
      </c>
      <c r="C20" s="6" t="s">
        <v>233</v>
      </c>
      <c r="D20" s="6" t="s">
        <v>344</v>
      </c>
      <c r="E20" s="6" t="s">
        <v>345</v>
      </c>
      <c r="F20" s="12" t="s">
        <v>258</v>
      </c>
      <c r="G20" s="10" t="s">
        <v>259</v>
      </c>
      <c r="H20" s="10" t="n">
        <v>0</v>
      </c>
      <c r="I20" s="10" t="n">
        <v>0</v>
      </c>
      <c r="J20" s="11" t="s">
        <v>88</v>
      </c>
      <c r="K20" s="11" t="s">
        <v>88</v>
      </c>
      <c r="L20" s="11" t="s">
        <v>88</v>
      </c>
      <c r="M20" s="11" t="s">
        <v>88</v>
      </c>
      <c r="N20" s="11" t="s">
        <v>88</v>
      </c>
      <c r="O20" s="11" t="s">
        <v>88</v>
      </c>
      <c r="P20" s="6" t="s">
        <v>550</v>
      </c>
      <c r="Q20" s="6" t="s">
        <v>347</v>
      </c>
    </row>
    <row r="21" customFormat="false" ht="15" hidden="false" customHeight="true" outlineLevel="0" collapsed="false">
      <c r="A21" s="12" t="s">
        <v>348</v>
      </c>
      <c r="B21" s="6" t="s">
        <v>343</v>
      </c>
      <c r="C21" s="6" t="s">
        <v>233</v>
      </c>
      <c r="D21" s="6" t="s">
        <v>349</v>
      </c>
      <c r="E21" s="6" t="s">
        <v>350</v>
      </c>
      <c r="F21" s="12" t="s">
        <v>258</v>
      </c>
      <c r="G21" s="10" t="s">
        <v>259</v>
      </c>
      <c r="H21" s="10" t="n">
        <v>0</v>
      </c>
      <c r="I21" s="10" t="n">
        <v>0</v>
      </c>
      <c r="J21" s="11" t="s">
        <v>88</v>
      </c>
      <c r="K21" s="11" t="s">
        <v>88</v>
      </c>
      <c r="L21" s="11" t="s">
        <v>88</v>
      </c>
      <c r="M21" s="11" t="s">
        <v>88</v>
      </c>
      <c r="N21" s="11" t="s">
        <v>88</v>
      </c>
      <c r="O21" s="11" t="s">
        <v>88</v>
      </c>
      <c r="P21" s="6" t="s">
        <v>551</v>
      </c>
      <c r="Q21" s="6" t="s">
        <v>352</v>
      </c>
    </row>
    <row r="22" customFormat="false" ht="15" hidden="false" customHeight="true" outlineLevel="0" collapsed="false">
      <c r="A22" s="6" t="s">
        <v>353</v>
      </c>
      <c r="B22" s="6" t="s">
        <v>343</v>
      </c>
      <c r="C22" s="6" t="s">
        <v>207</v>
      </c>
      <c r="D22" s="6" t="s">
        <v>354</v>
      </c>
      <c r="E22" s="6" t="s">
        <v>355</v>
      </c>
      <c r="F22" s="6" t="s">
        <v>236</v>
      </c>
      <c r="G22" s="10" t="s">
        <v>211</v>
      </c>
      <c r="H22" s="10" t="n">
        <v>0</v>
      </c>
      <c r="I22" s="10" t="n">
        <v>0</v>
      </c>
      <c r="J22" s="11" t="s">
        <v>88</v>
      </c>
      <c r="K22" s="11" t="s">
        <v>88</v>
      </c>
      <c r="L22" s="11" t="s">
        <v>213</v>
      </c>
      <c r="M22" s="11" t="s">
        <v>88</v>
      </c>
      <c r="N22" s="11" t="s">
        <v>213</v>
      </c>
      <c r="O22" s="11" t="s">
        <v>213</v>
      </c>
      <c r="P22" s="6" t="s">
        <v>552</v>
      </c>
      <c r="Q22" s="6"/>
    </row>
    <row r="23" customFormat="false" ht="23.25" hidden="false" customHeight="true" outlineLevel="0" collapsed="false">
      <c r="A23" s="6" t="s">
        <v>357</v>
      </c>
      <c r="B23" s="6" t="s">
        <v>343</v>
      </c>
      <c r="C23" s="6" t="s">
        <v>233</v>
      </c>
      <c r="D23" s="6" t="s">
        <v>358</v>
      </c>
      <c r="E23" s="6" t="s">
        <v>359</v>
      </c>
      <c r="F23" s="6" t="s">
        <v>236</v>
      </c>
      <c r="G23" s="10" t="s">
        <v>211</v>
      </c>
      <c r="H23" s="10" t="n">
        <v>0</v>
      </c>
      <c r="I23" s="10" t="n">
        <v>0</v>
      </c>
      <c r="J23" s="11" t="s">
        <v>88</v>
      </c>
      <c r="K23" s="11" t="s">
        <v>88</v>
      </c>
      <c r="L23" s="11" t="s">
        <v>213</v>
      </c>
      <c r="M23" s="11" t="s">
        <v>88</v>
      </c>
      <c r="N23" s="11" t="s">
        <v>213</v>
      </c>
      <c r="O23" s="11" t="s">
        <v>213</v>
      </c>
      <c r="P23" s="6" t="s">
        <v>553</v>
      </c>
      <c r="Q23" s="6" t="s">
        <v>361</v>
      </c>
    </row>
    <row r="24" customFormat="false" ht="15" hidden="false" customHeight="true" outlineLevel="0" collapsed="false">
      <c r="A24" s="6" t="s">
        <v>362</v>
      </c>
      <c r="B24" s="6" t="s">
        <v>343</v>
      </c>
      <c r="C24" s="6" t="s">
        <v>207</v>
      </c>
      <c r="D24" s="6" t="s">
        <v>363</v>
      </c>
      <c r="E24" s="6" t="s">
        <v>161</v>
      </c>
      <c r="F24" s="6" t="s">
        <v>210</v>
      </c>
      <c r="G24" s="10" t="s">
        <v>211</v>
      </c>
      <c r="H24" s="10" t="n">
        <v>1</v>
      </c>
      <c r="I24" s="10" t="n">
        <v>0</v>
      </c>
      <c r="J24" s="11" t="s">
        <v>213</v>
      </c>
      <c r="K24" s="11" t="s">
        <v>213</v>
      </c>
      <c r="L24" s="11" t="s">
        <v>213</v>
      </c>
      <c r="M24" s="11" t="s">
        <v>213</v>
      </c>
      <c r="N24" s="11" t="s">
        <v>213</v>
      </c>
      <c r="O24" s="11" t="s">
        <v>213</v>
      </c>
      <c r="P24" s="6" t="s">
        <v>364</v>
      </c>
      <c r="Q24" s="6"/>
    </row>
    <row r="25" customFormat="false" ht="15" hidden="false" customHeight="true" outlineLevel="0" collapsed="false">
      <c r="A25" s="12" t="s">
        <v>365</v>
      </c>
      <c r="B25" s="6" t="s">
        <v>343</v>
      </c>
      <c r="C25" s="6" t="s">
        <v>207</v>
      </c>
      <c r="D25" s="6" t="s">
        <v>366</v>
      </c>
      <c r="E25" s="6" t="s">
        <v>367</v>
      </c>
      <c r="F25" s="12" t="s">
        <v>258</v>
      </c>
      <c r="G25" s="10" t="s">
        <v>259</v>
      </c>
      <c r="H25" s="10" t="n">
        <v>0</v>
      </c>
      <c r="I25" s="10" t="n">
        <v>0</v>
      </c>
      <c r="J25" s="11" t="s">
        <v>88</v>
      </c>
      <c r="K25" s="11" t="s">
        <v>88</v>
      </c>
      <c r="L25" s="11" t="s">
        <v>88</v>
      </c>
      <c r="M25" s="11" t="s">
        <v>88</v>
      </c>
      <c r="N25" s="11" t="s">
        <v>88</v>
      </c>
      <c r="O25" s="11" t="s">
        <v>88</v>
      </c>
      <c r="P25" s="6" t="s">
        <v>554</v>
      </c>
      <c r="Q25" s="6"/>
    </row>
    <row r="26" customFormat="false" ht="15" hidden="false" customHeight="true" outlineLevel="0" collapsed="false">
      <c r="A26" s="6" t="s">
        <v>368</v>
      </c>
      <c r="B26" s="6" t="s">
        <v>343</v>
      </c>
      <c r="C26" s="6" t="s">
        <v>207</v>
      </c>
      <c r="D26" s="6" t="s">
        <v>369</v>
      </c>
      <c r="E26" s="6" t="s">
        <v>370</v>
      </c>
      <c r="F26" s="6" t="s">
        <v>236</v>
      </c>
      <c r="G26" s="10" t="s">
        <v>211</v>
      </c>
      <c r="H26" s="10" t="n">
        <v>0</v>
      </c>
      <c r="I26" s="10" t="n">
        <v>0</v>
      </c>
      <c r="J26" s="11" t="s">
        <v>88</v>
      </c>
      <c r="K26" s="11" t="s">
        <v>88</v>
      </c>
      <c r="L26" s="11" t="s">
        <v>213</v>
      </c>
      <c r="M26" s="11" t="s">
        <v>88</v>
      </c>
      <c r="N26" s="11" t="s">
        <v>88</v>
      </c>
      <c r="O26" s="11" t="s">
        <v>213</v>
      </c>
      <c r="P26" s="6" t="s">
        <v>370</v>
      </c>
      <c r="Q26" s="6"/>
    </row>
    <row r="27" customFormat="false" ht="23.25" hidden="false" customHeight="true" outlineLevel="0" collapsed="false">
      <c r="A27" s="12" t="s">
        <v>371</v>
      </c>
      <c r="B27" s="6" t="s">
        <v>343</v>
      </c>
      <c r="C27" s="6" t="s">
        <v>207</v>
      </c>
      <c r="D27" s="6" t="s">
        <v>372</v>
      </c>
      <c r="E27" s="6" t="s">
        <v>373</v>
      </c>
      <c r="F27" s="12" t="s">
        <v>258</v>
      </c>
      <c r="G27" s="10" t="s">
        <v>259</v>
      </c>
      <c r="H27" s="10" t="n">
        <v>0</v>
      </c>
      <c r="I27" s="10" t="n">
        <v>0</v>
      </c>
      <c r="J27" s="11" t="s">
        <v>88</v>
      </c>
      <c r="K27" s="11" t="s">
        <v>88</v>
      </c>
      <c r="L27" s="11" t="s">
        <v>88</v>
      </c>
      <c r="M27" s="11" t="s">
        <v>88</v>
      </c>
      <c r="N27" s="11" t="s">
        <v>88</v>
      </c>
      <c r="O27" s="11" t="s">
        <v>88</v>
      </c>
      <c r="P27" s="6" t="s">
        <v>555</v>
      </c>
      <c r="Q27" s="6" t="s">
        <v>375</v>
      </c>
    </row>
    <row r="28" customFormat="false" ht="15" hidden="false" customHeight="true" outlineLevel="0" collapsed="false">
      <c r="A28" s="12" t="s">
        <v>376</v>
      </c>
      <c r="B28" s="6" t="s">
        <v>343</v>
      </c>
      <c r="C28" s="6" t="s">
        <v>233</v>
      </c>
      <c r="D28" s="6" t="s">
        <v>377</v>
      </c>
      <c r="E28" s="6" t="s">
        <v>257</v>
      </c>
      <c r="F28" s="12" t="s">
        <v>258</v>
      </c>
      <c r="G28" s="10" t="s">
        <v>259</v>
      </c>
      <c r="H28" s="10" t="n">
        <v>0</v>
      </c>
      <c r="I28" s="10" t="n">
        <v>0</v>
      </c>
      <c r="J28" s="11" t="s">
        <v>88</v>
      </c>
      <c r="K28" s="11" t="s">
        <v>88</v>
      </c>
      <c r="L28" s="11" t="s">
        <v>88</v>
      </c>
      <c r="M28" s="11" t="s">
        <v>88</v>
      </c>
      <c r="N28" s="11" t="s">
        <v>88</v>
      </c>
      <c r="O28" s="11" t="s">
        <v>88</v>
      </c>
      <c r="P28" s="6" t="s">
        <v>378</v>
      </c>
      <c r="Q28" s="6" t="s">
        <v>379</v>
      </c>
    </row>
    <row r="29" customFormat="false" ht="15" hidden="false" customHeight="true" outlineLevel="0" collapsed="false">
      <c r="A29" s="12" t="s">
        <v>380</v>
      </c>
      <c r="B29" s="6" t="s">
        <v>343</v>
      </c>
      <c r="C29" s="6" t="s">
        <v>288</v>
      </c>
      <c r="D29" s="6" t="s">
        <v>381</v>
      </c>
      <c r="E29" s="6" t="s">
        <v>382</v>
      </c>
      <c r="F29" s="12" t="s">
        <v>258</v>
      </c>
      <c r="G29" s="10" t="s">
        <v>259</v>
      </c>
      <c r="H29" s="10" t="n">
        <v>0</v>
      </c>
      <c r="I29" s="10" t="n">
        <v>0</v>
      </c>
      <c r="J29" s="11" t="s">
        <v>88</v>
      </c>
      <c r="K29" s="11" t="s">
        <v>88</v>
      </c>
      <c r="L29" s="11" t="s">
        <v>88</v>
      </c>
      <c r="M29" s="11" t="s">
        <v>88</v>
      </c>
      <c r="N29" s="11" t="s">
        <v>88</v>
      </c>
      <c r="O29" s="11" t="s">
        <v>88</v>
      </c>
      <c r="P29" s="6" t="s">
        <v>383</v>
      </c>
      <c r="Q29" s="6" t="s">
        <v>383</v>
      </c>
    </row>
    <row r="30" customFormat="false" ht="15" hidden="false" customHeight="true" outlineLevel="0" collapsed="false">
      <c r="A30" s="12" t="s">
        <v>384</v>
      </c>
      <c r="B30" s="6" t="s">
        <v>343</v>
      </c>
      <c r="C30" s="6" t="s">
        <v>233</v>
      </c>
      <c r="D30" s="6" t="s">
        <v>385</v>
      </c>
      <c r="E30" s="6" t="s">
        <v>386</v>
      </c>
      <c r="F30" s="12" t="s">
        <v>258</v>
      </c>
      <c r="G30" s="10" t="s">
        <v>259</v>
      </c>
      <c r="H30" s="10" t="n">
        <v>0</v>
      </c>
      <c r="I30" s="10" t="n">
        <v>0</v>
      </c>
      <c r="J30" s="11" t="s">
        <v>88</v>
      </c>
      <c r="K30" s="11" t="s">
        <v>88</v>
      </c>
      <c r="L30" s="11" t="s">
        <v>88</v>
      </c>
      <c r="M30" s="11" t="s">
        <v>88</v>
      </c>
      <c r="N30" s="11" t="s">
        <v>88</v>
      </c>
      <c r="O30" s="11" t="s">
        <v>88</v>
      </c>
      <c r="P30" s="6" t="s">
        <v>383</v>
      </c>
      <c r="Q30" s="6" t="s">
        <v>387</v>
      </c>
    </row>
    <row r="31" customFormat="false" ht="23.25" hidden="false" customHeight="true" outlineLevel="0" collapsed="false">
      <c r="A31" s="12" t="s">
        <v>388</v>
      </c>
      <c r="B31" s="6" t="s">
        <v>343</v>
      </c>
      <c r="C31" s="6" t="s">
        <v>233</v>
      </c>
      <c r="D31" s="6" t="s">
        <v>389</v>
      </c>
      <c r="E31" s="6" t="s">
        <v>390</v>
      </c>
      <c r="F31" s="12" t="s">
        <v>258</v>
      </c>
      <c r="G31" s="10" t="s">
        <v>259</v>
      </c>
      <c r="H31" s="10" t="n">
        <v>0</v>
      </c>
      <c r="I31" s="10" t="n">
        <v>0</v>
      </c>
      <c r="J31" s="11" t="s">
        <v>88</v>
      </c>
      <c r="K31" s="11" t="s">
        <v>88</v>
      </c>
      <c r="L31" s="11" t="s">
        <v>88</v>
      </c>
      <c r="M31" s="11" t="s">
        <v>88</v>
      </c>
      <c r="N31" s="11" t="s">
        <v>88</v>
      </c>
      <c r="O31" s="11" t="s">
        <v>88</v>
      </c>
      <c r="P31" s="6" t="s">
        <v>556</v>
      </c>
      <c r="Q31" s="6" t="s">
        <v>392</v>
      </c>
    </row>
    <row r="32" customFormat="false" ht="15" hidden="false" customHeight="true" outlineLevel="0" collapsed="false">
      <c r="A32" s="12" t="s">
        <v>393</v>
      </c>
      <c r="B32" s="6" t="s">
        <v>343</v>
      </c>
      <c r="C32" s="6" t="s">
        <v>233</v>
      </c>
      <c r="D32" s="6" t="s">
        <v>394</v>
      </c>
      <c r="E32" s="6" t="s">
        <v>395</v>
      </c>
      <c r="F32" s="12" t="s">
        <v>258</v>
      </c>
      <c r="G32" s="10" t="s">
        <v>259</v>
      </c>
      <c r="H32" s="10" t="n">
        <v>0</v>
      </c>
      <c r="I32" s="10" t="n">
        <v>0</v>
      </c>
      <c r="J32" s="11" t="s">
        <v>88</v>
      </c>
      <c r="K32" s="11" t="s">
        <v>88</v>
      </c>
      <c r="L32" s="11" t="s">
        <v>88</v>
      </c>
      <c r="M32" s="11" t="s">
        <v>88</v>
      </c>
      <c r="N32" s="11" t="s">
        <v>88</v>
      </c>
      <c r="O32" s="11" t="s">
        <v>88</v>
      </c>
      <c r="P32" s="6" t="s">
        <v>557</v>
      </c>
      <c r="Q32" s="6" t="s">
        <v>396</v>
      </c>
    </row>
    <row r="33" customFormat="false" ht="23.25" hidden="false" customHeight="true" outlineLevel="0" collapsed="false">
      <c r="A33" s="12" t="s">
        <v>397</v>
      </c>
      <c r="B33" s="6" t="s">
        <v>343</v>
      </c>
      <c r="C33" s="6" t="s">
        <v>233</v>
      </c>
      <c r="D33" s="6" t="s">
        <v>398</v>
      </c>
      <c r="E33" s="6" t="s">
        <v>399</v>
      </c>
      <c r="F33" s="12" t="s">
        <v>258</v>
      </c>
      <c r="G33" s="10" t="s">
        <v>259</v>
      </c>
      <c r="H33" s="10" t="n">
        <v>0</v>
      </c>
      <c r="I33" s="10" t="n">
        <v>0</v>
      </c>
      <c r="J33" s="11" t="s">
        <v>88</v>
      </c>
      <c r="K33" s="11" t="s">
        <v>88</v>
      </c>
      <c r="L33" s="11" t="s">
        <v>88</v>
      </c>
      <c r="M33" s="11" t="s">
        <v>88</v>
      </c>
      <c r="N33" s="11" t="s">
        <v>88</v>
      </c>
      <c r="O33" s="11" t="s">
        <v>88</v>
      </c>
      <c r="P33" s="6" t="s">
        <v>400</v>
      </c>
      <c r="Q33" s="6" t="s">
        <v>400</v>
      </c>
    </row>
    <row r="34" customFormat="false" ht="23.25" hidden="false" customHeight="true" outlineLevel="0" collapsed="false">
      <c r="A34" s="12" t="s">
        <v>401</v>
      </c>
      <c r="B34" s="6" t="s">
        <v>343</v>
      </c>
      <c r="C34" s="6" t="s">
        <v>233</v>
      </c>
      <c r="D34" s="6" t="s">
        <v>402</v>
      </c>
      <c r="E34" s="6" t="s">
        <v>403</v>
      </c>
      <c r="F34" s="12" t="s">
        <v>258</v>
      </c>
      <c r="G34" s="10" t="s">
        <v>259</v>
      </c>
      <c r="H34" s="10" t="n">
        <v>0</v>
      </c>
      <c r="I34" s="10" t="n">
        <v>0</v>
      </c>
      <c r="J34" s="11" t="s">
        <v>88</v>
      </c>
      <c r="K34" s="11" t="s">
        <v>88</v>
      </c>
      <c r="L34" s="11" t="s">
        <v>88</v>
      </c>
      <c r="M34" s="11" t="s">
        <v>88</v>
      </c>
      <c r="N34" s="11" t="s">
        <v>88</v>
      </c>
      <c r="O34" s="11" t="s">
        <v>88</v>
      </c>
      <c r="P34" s="6" t="s">
        <v>558</v>
      </c>
      <c r="Q34" s="6" t="s">
        <v>404</v>
      </c>
    </row>
    <row r="35" customFormat="false" ht="15" hidden="false" customHeight="true" outlineLevel="0" collapsed="false">
      <c r="A35" s="6" t="s">
        <v>405</v>
      </c>
      <c r="B35" s="6" t="s">
        <v>406</v>
      </c>
      <c r="C35" s="6" t="s">
        <v>233</v>
      </c>
      <c r="D35" s="6" t="s">
        <v>407</v>
      </c>
      <c r="E35" s="6" t="s">
        <v>408</v>
      </c>
      <c r="F35" s="6" t="s">
        <v>210</v>
      </c>
      <c r="G35" s="10" t="s">
        <v>211</v>
      </c>
      <c r="H35" s="10" t="n">
        <v>0</v>
      </c>
      <c r="I35" s="10" t="n">
        <v>0</v>
      </c>
      <c r="J35" s="11" t="s">
        <v>212</v>
      </c>
      <c r="K35" s="11" t="s">
        <v>212</v>
      </c>
      <c r="L35" s="11" t="s">
        <v>212</v>
      </c>
      <c r="M35" s="11" t="s">
        <v>212</v>
      </c>
      <c r="N35" s="11" t="s">
        <v>212</v>
      </c>
      <c r="O35" s="11" t="s">
        <v>212</v>
      </c>
      <c r="P35" s="6" t="s">
        <v>559</v>
      </c>
      <c r="Q35" s="6"/>
    </row>
    <row r="36" customFormat="false" ht="15" hidden="false" customHeight="true" outlineLevel="0" collapsed="false">
      <c r="A36" s="6" t="s">
        <v>410</v>
      </c>
      <c r="B36" s="6" t="s">
        <v>406</v>
      </c>
      <c r="C36" s="6" t="s">
        <v>233</v>
      </c>
      <c r="D36" s="6" t="s">
        <v>411</v>
      </c>
      <c r="E36" s="6" t="s">
        <v>412</v>
      </c>
      <c r="F36" s="6" t="s">
        <v>236</v>
      </c>
      <c r="G36" s="10" t="s">
        <v>211</v>
      </c>
      <c r="H36" s="10" t="n">
        <v>0</v>
      </c>
      <c r="I36" s="10" t="n">
        <v>0</v>
      </c>
      <c r="J36" s="11" t="s">
        <v>213</v>
      </c>
      <c r="K36" s="11" t="s">
        <v>88</v>
      </c>
      <c r="L36" s="11" t="s">
        <v>213</v>
      </c>
      <c r="M36" s="11" t="s">
        <v>88</v>
      </c>
      <c r="N36" s="11" t="s">
        <v>213</v>
      </c>
      <c r="O36" s="11" t="s">
        <v>213</v>
      </c>
      <c r="P36" s="6" t="s">
        <v>560</v>
      </c>
      <c r="Q36" s="6"/>
    </row>
    <row r="37" customFormat="false" ht="15" hidden="false" customHeight="true" outlineLevel="0" collapsed="false">
      <c r="A37" s="6" t="s">
        <v>414</v>
      </c>
      <c r="B37" s="6" t="s">
        <v>406</v>
      </c>
      <c r="C37" s="6" t="s">
        <v>207</v>
      </c>
      <c r="D37" s="6" t="s">
        <v>415</v>
      </c>
      <c r="E37" s="6" t="s">
        <v>416</v>
      </c>
      <c r="F37" s="6" t="s">
        <v>210</v>
      </c>
      <c r="G37" s="10" t="s">
        <v>211</v>
      </c>
      <c r="H37" s="10" t="n">
        <v>1</v>
      </c>
      <c r="I37" s="10" t="n">
        <v>0</v>
      </c>
      <c r="J37" s="11" t="s">
        <v>88</v>
      </c>
      <c r="K37" s="11" t="s">
        <v>212</v>
      </c>
      <c r="L37" s="11" t="s">
        <v>88</v>
      </c>
      <c r="M37" s="11" t="s">
        <v>88</v>
      </c>
      <c r="N37" s="11" t="s">
        <v>88</v>
      </c>
      <c r="O37" s="11" t="s">
        <v>88</v>
      </c>
      <c r="P37" s="6" t="s">
        <v>416</v>
      </c>
      <c r="Q37" s="6"/>
    </row>
    <row r="38" customFormat="false" ht="15" hidden="false" customHeight="true" outlineLevel="0" collapsed="false">
      <c r="A38" s="6" t="s">
        <v>418</v>
      </c>
      <c r="B38" s="6" t="s">
        <v>406</v>
      </c>
      <c r="C38" s="6" t="s">
        <v>207</v>
      </c>
      <c r="D38" s="6" t="s">
        <v>419</v>
      </c>
      <c r="E38" s="6" t="s">
        <v>416</v>
      </c>
      <c r="F38" s="6" t="s">
        <v>210</v>
      </c>
      <c r="G38" s="10" t="s">
        <v>211</v>
      </c>
      <c r="H38" s="10" t="n">
        <v>-1</v>
      </c>
      <c r="I38" s="10" t="n">
        <v>0</v>
      </c>
      <c r="J38" s="11" t="s">
        <v>88</v>
      </c>
      <c r="K38" s="11" t="s">
        <v>212</v>
      </c>
      <c r="L38" s="11" t="s">
        <v>88</v>
      </c>
      <c r="M38" s="11" t="s">
        <v>88</v>
      </c>
      <c r="N38" s="11" t="s">
        <v>88</v>
      </c>
      <c r="O38" s="11" t="s">
        <v>88</v>
      </c>
      <c r="P38" s="6" t="s">
        <v>416</v>
      </c>
      <c r="Q38" s="6"/>
    </row>
    <row r="39" customFormat="false" ht="15" hidden="false" customHeight="true" outlineLevel="0" collapsed="false">
      <c r="A39" s="6" t="s">
        <v>421</v>
      </c>
      <c r="B39" s="6" t="s">
        <v>406</v>
      </c>
      <c r="C39" s="6" t="s">
        <v>207</v>
      </c>
      <c r="D39" s="6" t="s">
        <v>422</v>
      </c>
      <c r="E39" s="6" t="s">
        <v>416</v>
      </c>
      <c r="F39" s="6" t="s">
        <v>210</v>
      </c>
      <c r="G39" s="10" t="s">
        <v>211</v>
      </c>
      <c r="H39" s="10" t="n">
        <v>-1</v>
      </c>
      <c r="I39" s="10" t="n">
        <v>0</v>
      </c>
      <c r="J39" s="11" t="s">
        <v>88</v>
      </c>
      <c r="K39" s="11" t="s">
        <v>212</v>
      </c>
      <c r="L39" s="11" t="s">
        <v>88</v>
      </c>
      <c r="M39" s="11" t="s">
        <v>88</v>
      </c>
      <c r="N39" s="11" t="s">
        <v>88</v>
      </c>
      <c r="O39" s="11" t="s">
        <v>88</v>
      </c>
      <c r="P39" s="6" t="s">
        <v>416</v>
      </c>
      <c r="Q39" s="6"/>
    </row>
    <row r="40" customFormat="false" ht="23.25" hidden="false" customHeight="true" outlineLevel="0" collapsed="false">
      <c r="A40" s="6" t="s">
        <v>423</v>
      </c>
      <c r="B40" s="6" t="s">
        <v>406</v>
      </c>
      <c r="C40" s="6" t="s">
        <v>233</v>
      </c>
      <c r="D40" s="6" t="s">
        <v>424</v>
      </c>
      <c r="E40" s="6" t="s">
        <v>425</v>
      </c>
      <c r="F40" s="6" t="s">
        <v>210</v>
      </c>
      <c r="G40" s="10" t="s">
        <v>211</v>
      </c>
      <c r="H40" s="10" t="n">
        <v>0</v>
      </c>
      <c r="I40" s="10" t="n">
        <v>0</v>
      </c>
      <c r="J40" s="11" t="s">
        <v>88</v>
      </c>
      <c r="K40" s="11" t="s">
        <v>88</v>
      </c>
      <c r="L40" s="11" t="s">
        <v>88</v>
      </c>
      <c r="M40" s="11" t="s">
        <v>212</v>
      </c>
      <c r="N40" s="11" t="s">
        <v>88</v>
      </c>
      <c r="O40" s="11" t="s">
        <v>88</v>
      </c>
      <c r="P40" s="6" t="s">
        <v>561</v>
      </c>
      <c r="Q40" s="6"/>
    </row>
    <row r="41" customFormat="false" ht="15" hidden="false" customHeight="true" outlineLevel="0" collapsed="false">
      <c r="A41" s="6" t="s">
        <v>426</v>
      </c>
      <c r="B41" s="6" t="s">
        <v>406</v>
      </c>
      <c r="C41" s="6" t="s">
        <v>207</v>
      </c>
      <c r="D41" s="6" t="s">
        <v>427</v>
      </c>
      <c r="E41" s="6" t="s">
        <v>428</v>
      </c>
      <c r="F41" s="6" t="s">
        <v>210</v>
      </c>
      <c r="G41" s="10" t="s">
        <v>211</v>
      </c>
      <c r="H41" s="10" t="n">
        <v>0</v>
      </c>
      <c r="I41" s="10" t="n">
        <v>0</v>
      </c>
      <c r="J41" s="11" t="s">
        <v>212</v>
      </c>
      <c r="K41" s="11" t="s">
        <v>88</v>
      </c>
      <c r="L41" s="11" t="s">
        <v>212</v>
      </c>
      <c r="M41" s="11" t="s">
        <v>212</v>
      </c>
      <c r="N41" s="11" t="s">
        <v>213</v>
      </c>
      <c r="O41" s="11" t="s">
        <v>213</v>
      </c>
      <c r="P41" s="6" t="s">
        <v>562</v>
      </c>
      <c r="Q41" s="6"/>
    </row>
    <row r="42" customFormat="false" ht="15" hidden="false" customHeight="true" outlineLevel="0" collapsed="false">
      <c r="A42" s="6" t="s">
        <v>430</v>
      </c>
      <c r="B42" s="6" t="s">
        <v>406</v>
      </c>
      <c r="C42" s="6" t="s">
        <v>233</v>
      </c>
      <c r="D42" s="6" t="s">
        <v>431</v>
      </c>
      <c r="E42" s="6" t="s">
        <v>432</v>
      </c>
      <c r="F42" s="6" t="s">
        <v>210</v>
      </c>
      <c r="G42" s="10" t="s">
        <v>211</v>
      </c>
      <c r="H42" s="10" t="n">
        <v>0</v>
      </c>
      <c r="I42" s="10" t="n">
        <v>0</v>
      </c>
      <c r="J42" s="11" t="s">
        <v>212</v>
      </c>
      <c r="K42" s="11" t="s">
        <v>212</v>
      </c>
      <c r="L42" s="11" t="s">
        <v>212</v>
      </c>
      <c r="M42" s="11" t="s">
        <v>212</v>
      </c>
      <c r="N42" s="11" t="s">
        <v>212</v>
      </c>
      <c r="O42" s="11" t="s">
        <v>213</v>
      </c>
      <c r="P42" s="6" t="s">
        <v>563</v>
      </c>
      <c r="Q42" s="6"/>
    </row>
    <row r="43" customFormat="false" ht="15" hidden="false" customHeight="true" outlineLevel="0" collapsed="false">
      <c r="A43" s="6" t="s">
        <v>433</v>
      </c>
      <c r="B43" s="6" t="s">
        <v>406</v>
      </c>
      <c r="C43" s="6" t="s">
        <v>233</v>
      </c>
      <c r="D43" s="6" t="s">
        <v>434</v>
      </c>
      <c r="E43" s="6" t="s">
        <v>435</v>
      </c>
      <c r="F43" s="6" t="s">
        <v>210</v>
      </c>
      <c r="G43" s="10" t="s">
        <v>211</v>
      </c>
      <c r="H43" s="10" t="n">
        <v>0</v>
      </c>
      <c r="I43" s="10" t="n">
        <v>0</v>
      </c>
      <c r="J43" s="11" t="s">
        <v>212</v>
      </c>
      <c r="K43" s="11" t="s">
        <v>88</v>
      </c>
      <c r="L43" s="11" t="s">
        <v>213</v>
      </c>
      <c r="M43" s="11" t="s">
        <v>88</v>
      </c>
      <c r="N43" s="11" t="s">
        <v>88</v>
      </c>
      <c r="O43" s="11" t="s">
        <v>88</v>
      </c>
      <c r="P43" s="6" t="s">
        <v>564</v>
      </c>
      <c r="Q43" s="6"/>
    </row>
    <row r="44" customFormat="false" ht="15" hidden="false" customHeight="true" outlineLevel="0" collapsed="false">
      <c r="A44" s="6" t="s">
        <v>436</v>
      </c>
      <c r="B44" s="6" t="s">
        <v>406</v>
      </c>
      <c r="C44" s="6" t="s">
        <v>288</v>
      </c>
      <c r="D44" s="6" t="s">
        <v>437</v>
      </c>
      <c r="E44" s="6" t="s">
        <v>438</v>
      </c>
      <c r="F44" s="6" t="s">
        <v>210</v>
      </c>
      <c r="G44" s="10" t="s">
        <v>211</v>
      </c>
      <c r="H44" s="10" t="n">
        <v>0</v>
      </c>
      <c r="I44" s="10" t="n">
        <v>0</v>
      </c>
      <c r="J44" s="11" t="s">
        <v>88</v>
      </c>
      <c r="K44" s="11" t="s">
        <v>212</v>
      </c>
      <c r="L44" s="11" t="s">
        <v>213</v>
      </c>
      <c r="M44" s="11" t="s">
        <v>213</v>
      </c>
      <c r="N44" s="11" t="s">
        <v>88</v>
      </c>
      <c r="O44" s="11" t="s">
        <v>88</v>
      </c>
      <c r="P44" s="6" t="s">
        <v>565</v>
      </c>
      <c r="Q44" s="6"/>
    </row>
    <row r="45" customFormat="false" ht="23.25" hidden="false" customHeight="true" outlineLevel="0" collapsed="false">
      <c r="A45" s="6" t="s">
        <v>439</v>
      </c>
      <c r="B45" s="6" t="s">
        <v>406</v>
      </c>
      <c r="C45" s="6" t="s">
        <v>288</v>
      </c>
      <c r="D45" s="6" t="s">
        <v>440</v>
      </c>
      <c r="E45" s="6" t="s">
        <v>441</v>
      </c>
      <c r="F45" s="6" t="s">
        <v>210</v>
      </c>
      <c r="G45" s="10" t="s">
        <v>211</v>
      </c>
      <c r="H45" s="10" t="n">
        <v>1</v>
      </c>
      <c r="I45" s="10" t="n">
        <v>0</v>
      </c>
      <c r="J45" s="11" t="s">
        <v>213</v>
      </c>
      <c r="K45" s="11" t="s">
        <v>88</v>
      </c>
      <c r="L45" s="11" t="s">
        <v>88</v>
      </c>
      <c r="M45" s="11" t="s">
        <v>212</v>
      </c>
      <c r="N45" s="11" t="s">
        <v>88</v>
      </c>
      <c r="O45" s="11" t="s">
        <v>88</v>
      </c>
      <c r="P45" s="6" t="s">
        <v>566</v>
      </c>
      <c r="Q45" s="6"/>
    </row>
    <row r="46" customFormat="false" ht="15" hidden="false" customHeight="true" outlineLevel="0" collapsed="false">
      <c r="A46" s="6" t="s">
        <v>442</v>
      </c>
      <c r="B46" s="6" t="s">
        <v>406</v>
      </c>
      <c r="C46" s="6" t="s">
        <v>288</v>
      </c>
      <c r="D46" s="6" t="s">
        <v>443</v>
      </c>
      <c r="E46" s="6" t="s">
        <v>444</v>
      </c>
      <c r="F46" s="6" t="s">
        <v>210</v>
      </c>
      <c r="G46" s="10" t="s">
        <v>211</v>
      </c>
      <c r="H46" s="10" t="n">
        <v>0</v>
      </c>
      <c r="I46" s="10" t="n">
        <v>0</v>
      </c>
      <c r="J46" s="11" t="s">
        <v>230</v>
      </c>
      <c r="K46" s="11" t="s">
        <v>88</v>
      </c>
      <c r="L46" s="11" t="s">
        <v>230</v>
      </c>
      <c r="M46" s="11" t="s">
        <v>230</v>
      </c>
      <c r="N46" s="11" t="s">
        <v>230</v>
      </c>
      <c r="O46" s="11" t="s">
        <v>88</v>
      </c>
      <c r="P46" s="6" t="s">
        <v>567</v>
      </c>
      <c r="Q46" s="6"/>
    </row>
    <row r="47" customFormat="false" ht="15" hidden="false" customHeight="true" outlineLevel="0" collapsed="false">
      <c r="A47" s="6" t="s">
        <v>445</v>
      </c>
      <c r="B47" s="6" t="s">
        <v>406</v>
      </c>
      <c r="C47" s="6" t="s">
        <v>207</v>
      </c>
      <c r="D47" s="6" t="s">
        <v>446</v>
      </c>
      <c r="E47" s="6" t="s">
        <v>447</v>
      </c>
      <c r="F47" s="6" t="s">
        <v>210</v>
      </c>
      <c r="G47" s="10" t="s">
        <v>211</v>
      </c>
      <c r="H47" s="10" t="n">
        <v>0</v>
      </c>
      <c r="I47" s="10" t="n">
        <v>0</v>
      </c>
      <c r="J47" s="11" t="s">
        <v>230</v>
      </c>
      <c r="K47" s="11" t="s">
        <v>230</v>
      </c>
      <c r="L47" s="11" t="s">
        <v>230</v>
      </c>
      <c r="M47" s="11" t="s">
        <v>230</v>
      </c>
      <c r="N47" s="11" t="s">
        <v>230</v>
      </c>
      <c r="O47" s="11" t="s">
        <v>213</v>
      </c>
      <c r="P47" s="6" t="s">
        <v>447</v>
      </c>
      <c r="Q47" s="6"/>
    </row>
    <row r="48" customFormat="false" ht="15" hidden="false" customHeight="true" outlineLevel="0" collapsed="false">
      <c r="A48" s="6" t="s">
        <v>448</v>
      </c>
      <c r="B48" s="6" t="s">
        <v>406</v>
      </c>
      <c r="C48" s="6" t="s">
        <v>233</v>
      </c>
      <c r="D48" s="6" t="s">
        <v>449</v>
      </c>
      <c r="E48" s="6" t="s">
        <v>450</v>
      </c>
      <c r="F48" s="6" t="s">
        <v>236</v>
      </c>
      <c r="G48" s="10" t="s">
        <v>211</v>
      </c>
      <c r="H48" s="10" t="n">
        <v>0</v>
      </c>
      <c r="I48" s="10" t="n">
        <v>0</v>
      </c>
      <c r="J48" s="11" t="s">
        <v>88</v>
      </c>
      <c r="K48" s="11" t="s">
        <v>88</v>
      </c>
      <c r="L48" s="11" t="s">
        <v>213</v>
      </c>
      <c r="M48" s="11" t="s">
        <v>88</v>
      </c>
      <c r="N48" s="11" t="s">
        <v>213</v>
      </c>
      <c r="O48" s="11" t="s">
        <v>88</v>
      </c>
      <c r="P48" s="6" t="s">
        <v>568</v>
      </c>
      <c r="Q48" s="6" t="s">
        <v>451</v>
      </c>
    </row>
    <row r="49" customFormat="false" ht="15" hidden="false" customHeight="true" outlineLevel="0" collapsed="false">
      <c r="A49" s="6" t="s">
        <v>452</v>
      </c>
      <c r="B49" s="6" t="s">
        <v>406</v>
      </c>
      <c r="C49" s="6" t="s">
        <v>288</v>
      </c>
      <c r="D49" s="6" t="s">
        <v>453</v>
      </c>
      <c r="E49" s="6" t="s">
        <v>454</v>
      </c>
      <c r="F49" s="6" t="s">
        <v>236</v>
      </c>
      <c r="G49" s="10" t="s">
        <v>211</v>
      </c>
      <c r="H49" s="10" t="n">
        <v>0</v>
      </c>
      <c r="I49" s="10" t="n">
        <v>0</v>
      </c>
      <c r="J49" s="11" t="s">
        <v>230</v>
      </c>
      <c r="K49" s="11" t="s">
        <v>88</v>
      </c>
      <c r="L49" s="11" t="s">
        <v>88</v>
      </c>
      <c r="M49" s="11" t="s">
        <v>88</v>
      </c>
      <c r="N49" s="11" t="s">
        <v>213</v>
      </c>
      <c r="O49" s="11" t="s">
        <v>88</v>
      </c>
      <c r="P49" s="6" t="s">
        <v>569</v>
      </c>
      <c r="Q49" s="6"/>
    </row>
    <row r="50" customFormat="false" ht="23.25" hidden="false" customHeight="true" outlineLevel="0" collapsed="false">
      <c r="A50" s="6" t="s">
        <v>455</v>
      </c>
      <c r="B50" s="6" t="s">
        <v>456</v>
      </c>
      <c r="C50" s="6" t="s">
        <v>207</v>
      </c>
      <c r="D50" s="6" t="s">
        <v>457</v>
      </c>
      <c r="E50" s="6" t="s">
        <v>458</v>
      </c>
      <c r="F50" s="6" t="s">
        <v>236</v>
      </c>
      <c r="G50" s="10" t="s">
        <v>211</v>
      </c>
      <c r="H50" s="10" t="n">
        <v>0</v>
      </c>
      <c r="I50" s="10" t="n">
        <v>0</v>
      </c>
      <c r="J50" s="11" t="s">
        <v>213</v>
      </c>
      <c r="K50" s="11" t="s">
        <v>88</v>
      </c>
      <c r="L50" s="11" t="s">
        <v>88</v>
      </c>
      <c r="M50" s="11" t="s">
        <v>88</v>
      </c>
      <c r="N50" s="11" t="s">
        <v>88</v>
      </c>
      <c r="O50" s="11" t="s">
        <v>88</v>
      </c>
      <c r="P50" s="6" t="s">
        <v>570</v>
      </c>
      <c r="Q50" s="6" t="s">
        <v>460</v>
      </c>
    </row>
    <row r="51" customFormat="false" ht="15" hidden="false" customHeight="true" outlineLevel="0" collapsed="false">
      <c r="A51" s="6" t="s">
        <v>461</v>
      </c>
      <c r="B51" s="6" t="s">
        <v>456</v>
      </c>
      <c r="C51" s="6" t="s">
        <v>207</v>
      </c>
      <c r="D51" s="6" t="s">
        <v>462</v>
      </c>
      <c r="E51" s="6" t="s">
        <v>463</v>
      </c>
      <c r="F51" s="6" t="s">
        <v>210</v>
      </c>
      <c r="G51" s="10" t="s">
        <v>211</v>
      </c>
      <c r="H51" s="10" t="n">
        <v>1</v>
      </c>
      <c r="I51" s="10" t="n">
        <v>0</v>
      </c>
      <c r="J51" s="11" t="s">
        <v>212</v>
      </c>
      <c r="K51" s="11" t="s">
        <v>88</v>
      </c>
      <c r="L51" s="11" t="s">
        <v>88</v>
      </c>
      <c r="M51" s="11" t="s">
        <v>88</v>
      </c>
      <c r="N51" s="11" t="s">
        <v>88</v>
      </c>
      <c r="O51" s="11" t="s">
        <v>88</v>
      </c>
      <c r="P51" s="6" t="s">
        <v>463</v>
      </c>
      <c r="Q51" s="6" t="s">
        <v>465</v>
      </c>
    </row>
    <row r="52" customFormat="false" ht="15" hidden="false" customHeight="true" outlineLevel="0" collapsed="false">
      <c r="A52" s="6" t="s">
        <v>466</v>
      </c>
      <c r="B52" s="6" t="s">
        <v>456</v>
      </c>
      <c r="C52" s="6" t="s">
        <v>207</v>
      </c>
      <c r="D52" s="6" t="s">
        <v>467</v>
      </c>
      <c r="E52" s="6" t="s">
        <v>468</v>
      </c>
      <c r="F52" s="6" t="s">
        <v>210</v>
      </c>
      <c r="G52" s="10" t="s">
        <v>211</v>
      </c>
      <c r="H52" s="10" t="n">
        <v>1</v>
      </c>
      <c r="I52" s="10" t="n">
        <v>0</v>
      </c>
      <c r="J52" s="11" t="s">
        <v>88</v>
      </c>
      <c r="K52" s="11" t="s">
        <v>88</v>
      </c>
      <c r="L52" s="11" t="s">
        <v>212</v>
      </c>
      <c r="M52" s="11" t="s">
        <v>88</v>
      </c>
      <c r="N52" s="11" t="s">
        <v>88</v>
      </c>
      <c r="O52" s="11" t="s">
        <v>88</v>
      </c>
      <c r="P52" s="6" t="s">
        <v>571</v>
      </c>
      <c r="Q52" s="6" t="s">
        <v>465</v>
      </c>
    </row>
    <row r="53" customFormat="false" ht="15" hidden="false" customHeight="true" outlineLevel="0" collapsed="false">
      <c r="A53" s="6" t="s">
        <v>470</v>
      </c>
      <c r="B53" s="6" t="s">
        <v>456</v>
      </c>
      <c r="C53" s="6" t="s">
        <v>207</v>
      </c>
      <c r="D53" s="6" t="s">
        <v>471</v>
      </c>
      <c r="E53" s="6" t="s">
        <v>472</v>
      </c>
      <c r="F53" s="6" t="s">
        <v>210</v>
      </c>
      <c r="G53" s="10" t="s">
        <v>211</v>
      </c>
      <c r="H53" s="10" t="n">
        <v>1</v>
      </c>
      <c r="I53" s="10" t="n">
        <v>0</v>
      </c>
      <c r="J53" s="11" t="s">
        <v>88</v>
      </c>
      <c r="K53" s="11" t="s">
        <v>88</v>
      </c>
      <c r="L53" s="11" t="s">
        <v>88</v>
      </c>
      <c r="M53" s="11" t="s">
        <v>212</v>
      </c>
      <c r="N53" s="11" t="s">
        <v>213</v>
      </c>
      <c r="O53" s="11" t="s">
        <v>88</v>
      </c>
      <c r="P53" s="6" t="s">
        <v>572</v>
      </c>
      <c r="Q53" s="6" t="s">
        <v>465</v>
      </c>
    </row>
    <row r="54" customFormat="false" ht="15" hidden="false" customHeight="true" outlineLevel="0" collapsed="false">
      <c r="A54" s="6" t="s">
        <v>474</v>
      </c>
      <c r="B54" s="6" t="s">
        <v>456</v>
      </c>
      <c r="C54" s="6" t="s">
        <v>207</v>
      </c>
      <c r="D54" s="6" t="s">
        <v>475</v>
      </c>
      <c r="E54" s="6" t="s">
        <v>476</v>
      </c>
      <c r="F54" s="6" t="s">
        <v>210</v>
      </c>
      <c r="G54" s="10" t="s">
        <v>211</v>
      </c>
      <c r="H54" s="10" t="n">
        <v>1</v>
      </c>
      <c r="I54" s="10" t="n">
        <v>0</v>
      </c>
      <c r="J54" s="11" t="s">
        <v>88</v>
      </c>
      <c r="K54" s="11" t="s">
        <v>88</v>
      </c>
      <c r="L54" s="11" t="s">
        <v>88</v>
      </c>
      <c r="M54" s="11" t="s">
        <v>88</v>
      </c>
      <c r="N54" s="11" t="s">
        <v>213</v>
      </c>
      <c r="O54" s="11" t="s">
        <v>88</v>
      </c>
      <c r="P54" s="6" t="s">
        <v>476</v>
      </c>
      <c r="Q54" s="6" t="s">
        <v>465</v>
      </c>
    </row>
    <row r="55" customFormat="false" ht="15" hidden="false" customHeight="true" outlineLevel="0" collapsed="false">
      <c r="A55" s="6" t="s">
        <v>478</v>
      </c>
      <c r="B55" s="6" t="s">
        <v>456</v>
      </c>
      <c r="C55" s="6" t="s">
        <v>207</v>
      </c>
      <c r="D55" s="6" t="s">
        <v>479</v>
      </c>
      <c r="E55" s="6" t="s">
        <v>480</v>
      </c>
      <c r="F55" s="6" t="s">
        <v>210</v>
      </c>
      <c r="G55" s="10" t="s">
        <v>211</v>
      </c>
      <c r="H55" s="10" t="n">
        <v>0</v>
      </c>
      <c r="I55" s="10" t="n">
        <v>0</v>
      </c>
      <c r="J55" s="11" t="s">
        <v>213</v>
      </c>
      <c r="K55" s="11" t="s">
        <v>212</v>
      </c>
      <c r="L55" s="11" t="s">
        <v>88</v>
      </c>
      <c r="M55" s="11" t="s">
        <v>213</v>
      </c>
      <c r="N55" s="11" t="s">
        <v>88</v>
      </c>
      <c r="O55" s="11" t="s">
        <v>88</v>
      </c>
      <c r="P55" s="6" t="s">
        <v>573</v>
      </c>
      <c r="Q55" s="6" t="s">
        <v>465</v>
      </c>
    </row>
    <row r="56" customFormat="false" ht="15" hidden="false" customHeight="true" outlineLevel="0" collapsed="false">
      <c r="A56" s="6" t="s">
        <v>482</v>
      </c>
      <c r="B56" s="6" t="s">
        <v>456</v>
      </c>
      <c r="C56" s="6" t="s">
        <v>207</v>
      </c>
      <c r="D56" s="6" t="s">
        <v>483</v>
      </c>
      <c r="E56" s="6" t="s">
        <v>484</v>
      </c>
      <c r="F56" s="6" t="s">
        <v>236</v>
      </c>
      <c r="G56" s="10" t="s">
        <v>211</v>
      </c>
      <c r="H56" s="10" t="n">
        <v>0</v>
      </c>
      <c r="I56" s="10" t="n">
        <v>0</v>
      </c>
      <c r="J56" s="11" t="s">
        <v>88</v>
      </c>
      <c r="K56" s="11" t="s">
        <v>88</v>
      </c>
      <c r="L56" s="11" t="s">
        <v>213</v>
      </c>
      <c r="M56" s="11" t="s">
        <v>213</v>
      </c>
      <c r="N56" s="11" t="s">
        <v>88</v>
      </c>
      <c r="O56" s="11" t="s">
        <v>88</v>
      </c>
      <c r="P56" s="6" t="s">
        <v>574</v>
      </c>
      <c r="Q56" s="6" t="s">
        <v>465</v>
      </c>
    </row>
    <row r="57" customFormat="false" ht="23.25" hidden="false" customHeight="true" outlineLevel="0" collapsed="false">
      <c r="A57" s="12" t="s">
        <v>485</v>
      </c>
      <c r="B57" s="6" t="s">
        <v>486</v>
      </c>
      <c r="C57" s="6" t="s">
        <v>207</v>
      </c>
      <c r="D57" s="6" t="s">
        <v>487</v>
      </c>
      <c r="E57" s="6" t="s">
        <v>488</v>
      </c>
      <c r="F57" s="12" t="s">
        <v>258</v>
      </c>
      <c r="G57" s="10" t="s">
        <v>259</v>
      </c>
      <c r="H57" s="10" t="n">
        <v>0</v>
      </c>
      <c r="I57" s="10" t="n">
        <v>0</v>
      </c>
      <c r="J57" s="11" t="s">
        <v>88</v>
      </c>
      <c r="K57" s="11" t="s">
        <v>88</v>
      </c>
      <c r="L57" s="11" t="s">
        <v>88</v>
      </c>
      <c r="M57" s="11" t="s">
        <v>88</v>
      </c>
      <c r="N57" s="11" t="s">
        <v>88</v>
      </c>
      <c r="O57" s="11" t="s">
        <v>88</v>
      </c>
      <c r="P57" s="6" t="s">
        <v>575</v>
      </c>
      <c r="Q57" s="6"/>
    </row>
    <row r="58" customFormat="false" ht="15" hidden="false" customHeight="true" outlineLevel="0" collapsed="false">
      <c r="A58" s="6" t="s">
        <v>490</v>
      </c>
      <c r="B58" s="6" t="s">
        <v>486</v>
      </c>
      <c r="C58" s="6" t="s">
        <v>207</v>
      </c>
      <c r="D58" s="6" t="s">
        <v>491</v>
      </c>
      <c r="E58" s="6" t="s">
        <v>492</v>
      </c>
      <c r="F58" s="6" t="s">
        <v>236</v>
      </c>
      <c r="G58" s="10" t="s">
        <v>211</v>
      </c>
      <c r="H58" s="10" t="n">
        <v>0</v>
      </c>
      <c r="I58" s="10" t="n">
        <v>0</v>
      </c>
      <c r="J58" s="11" t="s">
        <v>213</v>
      </c>
      <c r="K58" s="11" t="s">
        <v>213</v>
      </c>
      <c r="L58" s="11" t="s">
        <v>213</v>
      </c>
      <c r="M58" s="11" t="s">
        <v>213</v>
      </c>
      <c r="N58" s="11" t="s">
        <v>213</v>
      </c>
      <c r="O58" s="11" t="s">
        <v>88</v>
      </c>
      <c r="P58" s="6" t="s">
        <v>492</v>
      </c>
      <c r="Q58" s="6"/>
    </row>
    <row r="59" customFormat="false" ht="15" hidden="false" customHeight="true" outlineLevel="0" collapsed="false">
      <c r="A59" s="12" t="s">
        <v>493</v>
      </c>
      <c r="B59" s="6" t="s">
        <v>486</v>
      </c>
      <c r="C59" s="6" t="s">
        <v>207</v>
      </c>
      <c r="D59" s="6" t="s">
        <v>494</v>
      </c>
      <c r="E59" s="6" t="s">
        <v>495</v>
      </c>
      <c r="F59" s="12" t="s">
        <v>258</v>
      </c>
      <c r="G59" s="10" t="s">
        <v>259</v>
      </c>
      <c r="H59" s="10" t="n">
        <v>0</v>
      </c>
      <c r="I59" s="10" t="n">
        <v>0</v>
      </c>
      <c r="J59" s="11" t="s">
        <v>88</v>
      </c>
      <c r="K59" s="11" t="s">
        <v>88</v>
      </c>
      <c r="L59" s="11" t="s">
        <v>88</v>
      </c>
      <c r="M59" s="11" t="s">
        <v>88</v>
      </c>
      <c r="N59" s="11" t="s">
        <v>88</v>
      </c>
      <c r="O59" s="11" t="s">
        <v>88</v>
      </c>
      <c r="P59" s="6" t="s">
        <v>495</v>
      </c>
      <c r="Q59" s="6"/>
    </row>
    <row r="60" customFormat="false" ht="34.5" hidden="false" customHeight="true" outlineLevel="0" collapsed="false">
      <c r="A60" s="6" t="s">
        <v>496</v>
      </c>
      <c r="B60" s="6" t="s">
        <v>497</v>
      </c>
      <c r="C60" s="6" t="s">
        <v>207</v>
      </c>
      <c r="D60" s="6" t="s">
        <v>498</v>
      </c>
      <c r="E60" s="6" t="s">
        <v>499</v>
      </c>
      <c r="F60" s="6" t="s">
        <v>210</v>
      </c>
      <c r="G60" s="10" t="s">
        <v>211</v>
      </c>
      <c r="H60" s="10" t="n">
        <v>1</v>
      </c>
      <c r="I60" s="10" t="n">
        <v>0</v>
      </c>
      <c r="J60" s="11" t="s">
        <v>213</v>
      </c>
      <c r="K60" s="11" t="s">
        <v>213</v>
      </c>
      <c r="L60" s="11" t="s">
        <v>213</v>
      </c>
      <c r="M60" s="11" t="s">
        <v>213</v>
      </c>
      <c r="N60" s="11" t="s">
        <v>213</v>
      </c>
      <c r="O60" s="11" t="s">
        <v>213</v>
      </c>
      <c r="P60" s="6" t="s">
        <v>576</v>
      </c>
      <c r="Q60" s="6" t="s">
        <v>501</v>
      </c>
    </row>
    <row r="61" customFormat="false" ht="34.5" hidden="false" customHeight="true" outlineLevel="0" collapsed="false">
      <c r="A61" s="6" t="s">
        <v>502</v>
      </c>
      <c r="B61" s="6" t="s">
        <v>497</v>
      </c>
      <c r="C61" s="6" t="s">
        <v>207</v>
      </c>
      <c r="D61" s="6" t="s">
        <v>503</v>
      </c>
      <c r="E61" s="6" t="s">
        <v>504</v>
      </c>
      <c r="F61" s="6" t="s">
        <v>236</v>
      </c>
      <c r="G61" s="10" t="s">
        <v>211</v>
      </c>
      <c r="H61" s="10" t="n">
        <v>1</v>
      </c>
      <c r="I61" s="10" t="n">
        <v>0</v>
      </c>
      <c r="J61" s="11" t="s">
        <v>213</v>
      </c>
      <c r="K61" s="11" t="s">
        <v>88</v>
      </c>
      <c r="L61" s="11" t="s">
        <v>213</v>
      </c>
      <c r="M61" s="11" t="s">
        <v>88</v>
      </c>
      <c r="N61" s="11" t="s">
        <v>88</v>
      </c>
      <c r="O61" s="11" t="s">
        <v>213</v>
      </c>
      <c r="P61" s="6" t="s">
        <v>577</v>
      </c>
      <c r="Q61" s="6" t="s">
        <v>506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8"/>
    <col collapsed="false" customWidth="true" hidden="false" outlineLevel="0" max="4" min="4" style="1" width="38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7" min="7" style="1" width="6"/>
    <col collapsed="false" customWidth="true" hidden="false" outlineLevel="0" max="9" min="8" style="1" width="9"/>
    <col collapsed="false" customWidth="true" hidden="false" outlineLevel="0" max="13" min="10" style="1" width="11"/>
    <col collapsed="false" customWidth="true" hidden="false" outlineLevel="0" max="14" min="14" style="1" width="48"/>
    <col collapsed="false" customWidth="true" hidden="false" outlineLevel="0" max="15" min="15" style="1" width="40"/>
  </cols>
  <sheetData>
    <row r="1" customFormat="false" ht="30" hidden="false" customHeight="true" outlineLevel="0" collapsed="false">
      <c r="A1" s="5" t="s">
        <v>195</v>
      </c>
      <c r="B1" s="5" t="s">
        <v>196</v>
      </c>
      <c r="C1" s="5" t="s">
        <v>197</v>
      </c>
      <c r="D1" s="5" t="s">
        <v>198</v>
      </c>
      <c r="E1" s="5" t="s">
        <v>199</v>
      </c>
      <c r="F1" s="5" t="s">
        <v>52</v>
      </c>
      <c r="G1" s="5" t="s">
        <v>200</v>
      </c>
      <c r="H1" s="5" t="s">
        <v>201</v>
      </c>
      <c r="I1" s="5" t="s">
        <v>202</v>
      </c>
      <c r="J1" s="5" t="s">
        <v>38</v>
      </c>
      <c r="K1" s="5" t="s">
        <v>43</v>
      </c>
      <c r="L1" s="5" t="s">
        <v>46</v>
      </c>
      <c r="M1" s="5" t="s">
        <v>42</v>
      </c>
      <c r="N1" s="5" t="s">
        <v>203</v>
      </c>
      <c r="O1" s="5" t="s">
        <v>204</v>
      </c>
    </row>
    <row r="2" customFormat="false" ht="23.25" hidden="false" customHeight="true" outlineLevel="0" collapsed="false">
      <c r="A2" s="6" t="s">
        <v>507</v>
      </c>
      <c r="B2" s="6" t="s">
        <v>508</v>
      </c>
      <c r="C2" s="6" t="s">
        <v>207</v>
      </c>
      <c r="D2" s="6" t="s">
        <v>509</v>
      </c>
      <c r="E2" s="6" t="s">
        <v>510</v>
      </c>
      <c r="F2" s="6" t="s">
        <v>236</v>
      </c>
      <c r="G2" s="10" t="s">
        <v>211</v>
      </c>
      <c r="H2" s="10" t="n">
        <v>0</v>
      </c>
      <c r="I2" s="10" t="n">
        <v>0</v>
      </c>
      <c r="J2" s="11" t="s">
        <v>213</v>
      </c>
      <c r="K2" s="11" t="s">
        <v>88</v>
      </c>
      <c r="L2" s="11" t="s">
        <v>213</v>
      </c>
      <c r="M2" s="11" t="s">
        <v>88</v>
      </c>
      <c r="N2" s="6" t="s">
        <v>510</v>
      </c>
      <c r="O2" s="6" t="s">
        <v>511</v>
      </c>
    </row>
    <row r="3" customFormat="false" ht="23.25" hidden="false" customHeight="true" outlineLevel="0" collapsed="false">
      <c r="A3" s="6" t="s">
        <v>512</v>
      </c>
      <c r="B3" s="6" t="s">
        <v>508</v>
      </c>
      <c r="C3" s="6" t="s">
        <v>207</v>
      </c>
      <c r="D3" s="6" t="s">
        <v>513</v>
      </c>
      <c r="E3" s="6" t="s">
        <v>514</v>
      </c>
      <c r="F3" s="6" t="s">
        <v>210</v>
      </c>
      <c r="G3" s="10" t="s">
        <v>211</v>
      </c>
      <c r="H3" s="10" t="n">
        <v>0</v>
      </c>
      <c r="I3" s="10" t="n">
        <v>1</v>
      </c>
      <c r="J3" s="11" t="s">
        <v>212</v>
      </c>
      <c r="K3" s="11" t="s">
        <v>230</v>
      </c>
      <c r="L3" s="11" t="s">
        <v>212</v>
      </c>
      <c r="M3" s="11" t="s">
        <v>230</v>
      </c>
      <c r="N3" s="6" t="s">
        <v>578</v>
      </c>
      <c r="O3" s="6"/>
    </row>
    <row r="4" customFormat="false" ht="23.25" hidden="false" customHeight="true" outlineLevel="0" collapsed="false">
      <c r="A4" s="6" t="s">
        <v>533</v>
      </c>
      <c r="B4" s="6" t="s">
        <v>508</v>
      </c>
      <c r="C4" s="6" t="s">
        <v>288</v>
      </c>
      <c r="D4" s="6" t="s">
        <v>534</v>
      </c>
      <c r="E4" s="6" t="s">
        <v>535</v>
      </c>
      <c r="F4" s="6" t="s">
        <v>210</v>
      </c>
      <c r="G4" s="10" t="s">
        <v>211</v>
      </c>
      <c r="H4" s="10" t="n">
        <v>0</v>
      </c>
      <c r="I4" s="10" t="n">
        <v>0</v>
      </c>
      <c r="J4" s="11" t="s">
        <v>88</v>
      </c>
      <c r="K4" s="11" t="s">
        <v>88</v>
      </c>
      <c r="L4" s="11" t="s">
        <v>212</v>
      </c>
      <c r="M4" s="11" t="s">
        <v>88</v>
      </c>
      <c r="N4" s="6" t="s">
        <v>536</v>
      </c>
      <c r="O4" s="6" t="s">
        <v>537</v>
      </c>
    </row>
    <row r="5" customFormat="false" ht="15" hidden="false" customHeight="true" outlineLevel="0" collapsed="false">
      <c r="A5" s="6" t="s">
        <v>579</v>
      </c>
      <c r="B5" s="6" t="s">
        <v>580</v>
      </c>
      <c r="C5" s="6" t="s">
        <v>233</v>
      </c>
      <c r="D5" s="6" t="s">
        <v>581</v>
      </c>
      <c r="E5" s="6" t="s">
        <v>582</v>
      </c>
      <c r="F5" s="6" t="s">
        <v>210</v>
      </c>
      <c r="G5" s="10" t="s">
        <v>211</v>
      </c>
      <c r="H5" s="10" t="n">
        <v>0</v>
      </c>
      <c r="I5" s="10" t="n">
        <v>0</v>
      </c>
      <c r="J5" s="11" t="s">
        <v>213</v>
      </c>
      <c r="K5" s="11" t="s">
        <v>213</v>
      </c>
      <c r="L5" s="11" t="s">
        <v>213</v>
      </c>
      <c r="M5" s="11" t="s">
        <v>213</v>
      </c>
      <c r="N5" s="6" t="s">
        <v>583</v>
      </c>
      <c r="O5" s="6"/>
    </row>
    <row r="6" customFormat="false" ht="15" hidden="false" customHeight="true" outlineLevel="0" collapsed="false">
      <c r="A6" s="6" t="s">
        <v>584</v>
      </c>
      <c r="B6" s="6" t="s">
        <v>580</v>
      </c>
      <c r="C6" s="6" t="s">
        <v>233</v>
      </c>
      <c r="D6" s="6" t="s">
        <v>585</v>
      </c>
      <c r="E6" s="6" t="s">
        <v>586</v>
      </c>
      <c r="F6" s="6" t="s">
        <v>210</v>
      </c>
      <c r="G6" s="10" t="s">
        <v>211</v>
      </c>
      <c r="H6" s="10" t="n">
        <v>0</v>
      </c>
      <c r="I6" s="10" t="n">
        <v>0</v>
      </c>
      <c r="J6" s="11" t="s">
        <v>212</v>
      </c>
      <c r="K6" s="11" t="s">
        <v>88</v>
      </c>
      <c r="L6" s="11" t="s">
        <v>88</v>
      </c>
      <c r="M6" s="11" t="s">
        <v>88</v>
      </c>
      <c r="N6" s="6" t="s">
        <v>586</v>
      </c>
      <c r="O6" s="6"/>
    </row>
    <row r="7" customFormat="false" ht="15" hidden="false" customHeight="true" outlineLevel="0" collapsed="false">
      <c r="A7" s="6" t="s">
        <v>587</v>
      </c>
      <c r="B7" s="6" t="s">
        <v>580</v>
      </c>
      <c r="C7" s="6" t="s">
        <v>207</v>
      </c>
      <c r="D7" s="6" t="s">
        <v>588</v>
      </c>
      <c r="E7" s="6" t="s">
        <v>589</v>
      </c>
      <c r="F7" s="6" t="s">
        <v>210</v>
      </c>
      <c r="G7" s="10" t="s">
        <v>211</v>
      </c>
      <c r="H7" s="10" t="n">
        <v>1</v>
      </c>
      <c r="I7" s="10" t="n">
        <v>0</v>
      </c>
      <c r="J7" s="11" t="s">
        <v>212</v>
      </c>
      <c r="K7" s="11" t="s">
        <v>88</v>
      </c>
      <c r="L7" s="11" t="s">
        <v>230</v>
      </c>
      <c r="M7" s="11" t="s">
        <v>88</v>
      </c>
      <c r="N7" s="6" t="s">
        <v>590</v>
      </c>
      <c r="O7" s="6"/>
    </row>
    <row r="8" customFormat="false" ht="15" hidden="false" customHeight="true" outlineLevel="0" collapsed="false">
      <c r="A8" s="6" t="s">
        <v>591</v>
      </c>
      <c r="B8" s="6" t="s">
        <v>580</v>
      </c>
      <c r="C8" s="6" t="s">
        <v>288</v>
      </c>
      <c r="D8" s="6" t="s">
        <v>592</v>
      </c>
      <c r="E8" s="6" t="s">
        <v>593</v>
      </c>
      <c r="F8" s="6" t="s">
        <v>236</v>
      </c>
      <c r="G8" s="10" t="s">
        <v>211</v>
      </c>
      <c r="H8" s="10" t="n">
        <v>0</v>
      </c>
      <c r="I8" s="10" t="n">
        <v>0</v>
      </c>
      <c r="J8" s="11" t="s">
        <v>213</v>
      </c>
      <c r="K8" s="11" t="s">
        <v>213</v>
      </c>
      <c r="L8" s="11" t="s">
        <v>213</v>
      </c>
      <c r="M8" s="11" t="s">
        <v>88</v>
      </c>
      <c r="N8" s="6" t="s">
        <v>594</v>
      </c>
      <c r="O8" s="6"/>
    </row>
    <row r="9" customFormat="false" ht="15" hidden="false" customHeight="true" outlineLevel="0" collapsed="false">
      <c r="A9" s="6" t="s">
        <v>595</v>
      </c>
      <c r="B9" s="6" t="s">
        <v>580</v>
      </c>
      <c r="C9" s="6" t="s">
        <v>288</v>
      </c>
      <c r="D9" s="6" t="s">
        <v>596</v>
      </c>
      <c r="E9" s="6" t="s">
        <v>597</v>
      </c>
      <c r="F9" s="6" t="s">
        <v>236</v>
      </c>
      <c r="G9" s="10" t="s">
        <v>211</v>
      </c>
      <c r="H9" s="10" t="n">
        <v>0</v>
      </c>
      <c r="I9" s="10" t="n">
        <v>0</v>
      </c>
      <c r="J9" s="11" t="s">
        <v>213</v>
      </c>
      <c r="K9" s="11" t="s">
        <v>88</v>
      </c>
      <c r="L9" s="11" t="s">
        <v>213</v>
      </c>
      <c r="M9" s="11" t="s">
        <v>88</v>
      </c>
      <c r="N9" s="6" t="s">
        <v>598</v>
      </c>
      <c r="O9" s="6"/>
    </row>
    <row r="10" customFormat="false" ht="15" hidden="false" customHeight="true" outlineLevel="0" collapsed="false">
      <c r="A10" s="6" t="s">
        <v>599</v>
      </c>
      <c r="B10" s="6" t="s">
        <v>580</v>
      </c>
      <c r="C10" s="6" t="s">
        <v>288</v>
      </c>
      <c r="D10" s="6" t="s">
        <v>600</v>
      </c>
      <c r="E10" s="6" t="s">
        <v>601</v>
      </c>
      <c r="F10" s="6" t="s">
        <v>210</v>
      </c>
      <c r="G10" s="10" t="s">
        <v>211</v>
      </c>
      <c r="H10" s="10" t="n">
        <v>0</v>
      </c>
      <c r="I10" s="10" t="n">
        <v>0</v>
      </c>
      <c r="J10" s="11" t="s">
        <v>212</v>
      </c>
      <c r="K10" s="11" t="s">
        <v>88</v>
      </c>
      <c r="L10" s="11" t="s">
        <v>88</v>
      </c>
      <c r="M10" s="11" t="s">
        <v>88</v>
      </c>
      <c r="N10" s="6" t="s">
        <v>601</v>
      </c>
      <c r="O10" s="6"/>
    </row>
    <row r="11" customFormat="false" ht="23.25" hidden="false" customHeight="true" outlineLevel="0" collapsed="false">
      <c r="A11" s="6" t="s">
        <v>300</v>
      </c>
      <c r="B11" s="6" t="s">
        <v>301</v>
      </c>
      <c r="C11" s="6" t="s">
        <v>207</v>
      </c>
      <c r="D11" s="6" t="s">
        <v>302</v>
      </c>
      <c r="E11" s="6" t="s">
        <v>303</v>
      </c>
      <c r="F11" s="6" t="s">
        <v>210</v>
      </c>
      <c r="G11" s="10" t="s">
        <v>211</v>
      </c>
      <c r="H11" s="10" t="n">
        <v>-1</v>
      </c>
      <c r="I11" s="10" t="n">
        <v>0</v>
      </c>
      <c r="J11" s="11" t="s">
        <v>212</v>
      </c>
      <c r="K11" s="11" t="s">
        <v>212</v>
      </c>
      <c r="L11" s="11" t="s">
        <v>212</v>
      </c>
      <c r="M11" s="11" t="s">
        <v>213</v>
      </c>
      <c r="N11" s="6" t="s">
        <v>308</v>
      </c>
      <c r="O11" s="6" t="s">
        <v>305</v>
      </c>
    </row>
    <row r="12" customFormat="false" ht="15" hidden="false" customHeight="true" outlineLevel="0" collapsed="false">
      <c r="A12" s="6" t="s">
        <v>306</v>
      </c>
      <c r="B12" s="6" t="s">
        <v>301</v>
      </c>
      <c r="C12" s="6" t="s">
        <v>207</v>
      </c>
      <c r="D12" s="6" t="s">
        <v>307</v>
      </c>
      <c r="E12" s="6" t="s">
        <v>308</v>
      </c>
      <c r="F12" s="6" t="s">
        <v>210</v>
      </c>
      <c r="G12" s="10" t="s">
        <v>211</v>
      </c>
      <c r="H12" s="10" t="n">
        <v>0</v>
      </c>
      <c r="I12" s="10" t="n">
        <v>0</v>
      </c>
      <c r="J12" s="11" t="s">
        <v>230</v>
      </c>
      <c r="K12" s="11" t="s">
        <v>230</v>
      </c>
      <c r="L12" s="11" t="s">
        <v>230</v>
      </c>
      <c r="M12" s="11" t="s">
        <v>230</v>
      </c>
      <c r="N12" s="6" t="s">
        <v>543</v>
      </c>
      <c r="O12" s="6"/>
    </row>
    <row r="13" customFormat="false" ht="15" hidden="false" customHeight="true" outlineLevel="0" collapsed="false">
      <c r="A13" s="6" t="s">
        <v>310</v>
      </c>
      <c r="B13" s="6" t="s">
        <v>301</v>
      </c>
      <c r="C13" s="6" t="s">
        <v>233</v>
      </c>
      <c r="D13" s="6" t="s">
        <v>311</v>
      </c>
      <c r="E13" s="6" t="s">
        <v>312</v>
      </c>
      <c r="F13" s="6" t="s">
        <v>236</v>
      </c>
      <c r="G13" s="10" t="s">
        <v>211</v>
      </c>
      <c r="H13" s="10" t="n">
        <v>0</v>
      </c>
      <c r="I13" s="10" t="n">
        <v>0</v>
      </c>
      <c r="J13" s="11" t="s">
        <v>213</v>
      </c>
      <c r="K13" s="11" t="s">
        <v>88</v>
      </c>
      <c r="L13" s="11" t="s">
        <v>213</v>
      </c>
      <c r="M13" s="11" t="s">
        <v>88</v>
      </c>
      <c r="N13" s="6" t="s">
        <v>544</v>
      </c>
      <c r="O13" s="6"/>
    </row>
    <row r="14" customFormat="false" ht="15" hidden="false" customHeight="true" outlineLevel="0" collapsed="false">
      <c r="A14" s="6" t="s">
        <v>314</v>
      </c>
      <c r="B14" s="6" t="s">
        <v>301</v>
      </c>
      <c r="C14" s="6" t="s">
        <v>233</v>
      </c>
      <c r="D14" s="6" t="s">
        <v>315</v>
      </c>
      <c r="E14" s="6" t="s">
        <v>316</v>
      </c>
      <c r="F14" s="6" t="s">
        <v>236</v>
      </c>
      <c r="G14" s="10" t="s">
        <v>211</v>
      </c>
      <c r="H14" s="10" t="n">
        <v>0</v>
      </c>
      <c r="I14" s="10" t="n">
        <v>0</v>
      </c>
      <c r="J14" s="11" t="s">
        <v>213</v>
      </c>
      <c r="K14" s="11" t="s">
        <v>88</v>
      </c>
      <c r="L14" s="11" t="s">
        <v>213</v>
      </c>
      <c r="M14" s="11" t="s">
        <v>88</v>
      </c>
      <c r="N14" s="6" t="s">
        <v>316</v>
      </c>
      <c r="O14" s="6" t="s">
        <v>317</v>
      </c>
    </row>
    <row r="15" customFormat="false" ht="15" hidden="false" customHeight="true" outlineLevel="0" collapsed="false">
      <c r="A15" s="6" t="s">
        <v>318</v>
      </c>
      <c r="B15" s="6" t="s">
        <v>301</v>
      </c>
      <c r="C15" s="6" t="s">
        <v>207</v>
      </c>
      <c r="D15" s="6" t="s">
        <v>319</v>
      </c>
      <c r="E15" s="6" t="s">
        <v>316</v>
      </c>
      <c r="F15" s="6" t="s">
        <v>236</v>
      </c>
      <c r="G15" s="10" t="s">
        <v>211</v>
      </c>
      <c r="H15" s="10" t="n">
        <v>1</v>
      </c>
      <c r="I15" s="10" t="n">
        <v>0</v>
      </c>
      <c r="J15" s="11" t="s">
        <v>213</v>
      </c>
      <c r="K15" s="11" t="s">
        <v>88</v>
      </c>
      <c r="L15" s="11" t="s">
        <v>213</v>
      </c>
      <c r="M15" s="11" t="s">
        <v>88</v>
      </c>
      <c r="N15" s="6" t="s">
        <v>316</v>
      </c>
      <c r="O15" s="6" t="s">
        <v>317</v>
      </c>
    </row>
    <row r="16" customFormat="false" ht="15" hidden="false" customHeight="true" outlineLevel="0" collapsed="false">
      <c r="A16" s="6" t="s">
        <v>320</v>
      </c>
      <c r="B16" s="6" t="s">
        <v>301</v>
      </c>
      <c r="C16" s="6" t="s">
        <v>288</v>
      </c>
      <c r="D16" s="6" t="s">
        <v>321</v>
      </c>
      <c r="E16" s="6" t="s">
        <v>322</v>
      </c>
      <c r="F16" s="6" t="s">
        <v>236</v>
      </c>
      <c r="G16" s="10" t="s">
        <v>211</v>
      </c>
      <c r="H16" s="10" t="n">
        <v>0</v>
      </c>
      <c r="I16" s="10" t="n">
        <v>0</v>
      </c>
      <c r="J16" s="11" t="s">
        <v>213</v>
      </c>
      <c r="K16" s="11" t="s">
        <v>213</v>
      </c>
      <c r="L16" s="11" t="s">
        <v>213</v>
      </c>
      <c r="M16" s="11" t="s">
        <v>88</v>
      </c>
      <c r="N16" s="6" t="s">
        <v>544</v>
      </c>
      <c r="O16" s="6"/>
    </row>
    <row r="17" customFormat="false" ht="23.25" hidden="false" customHeight="true" outlineLevel="0" collapsed="false">
      <c r="A17" s="6" t="s">
        <v>324</v>
      </c>
      <c r="B17" s="6" t="s">
        <v>301</v>
      </c>
      <c r="C17" s="6" t="s">
        <v>207</v>
      </c>
      <c r="D17" s="6" t="s">
        <v>325</v>
      </c>
      <c r="E17" s="6" t="s">
        <v>326</v>
      </c>
      <c r="F17" s="6" t="s">
        <v>236</v>
      </c>
      <c r="G17" s="10" t="s">
        <v>211</v>
      </c>
      <c r="H17" s="10" t="n">
        <v>0</v>
      </c>
      <c r="I17" s="10" t="n">
        <v>0</v>
      </c>
      <c r="J17" s="11" t="s">
        <v>213</v>
      </c>
      <c r="K17" s="11" t="s">
        <v>213</v>
      </c>
      <c r="L17" s="11" t="s">
        <v>213</v>
      </c>
      <c r="M17" s="11" t="s">
        <v>88</v>
      </c>
      <c r="N17" s="6" t="s">
        <v>546</v>
      </c>
      <c r="O17" s="6" t="s">
        <v>328</v>
      </c>
    </row>
    <row r="18" customFormat="false" ht="15" hidden="false" customHeight="true" outlineLevel="0" collapsed="false">
      <c r="A18" s="6" t="s">
        <v>329</v>
      </c>
      <c r="B18" s="6" t="s">
        <v>301</v>
      </c>
      <c r="C18" s="6" t="s">
        <v>207</v>
      </c>
      <c r="D18" s="6" t="s">
        <v>330</v>
      </c>
      <c r="E18" s="6" t="s">
        <v>331</v>
      </c>
      <c r="F18" s="6" t="s">
        <v>236</v>
      </c>
      <c r="G18" s="10" t="s">
        <v>211</v>
      </c>
      <c r="H18" s="10" t="n">
        <v>0</v>
      </c>
      <c r="I18" s="10" t="n">
        <v>0</v>
      </c>
      <c r="J18" s="11" t="s">
        <v>213</v>
      </c>
      <c r="K18" s="11" t="s">
        <v>88</v>
      </c>
      <c r="L18" s="11" t="s">
        <v>213</v>
      </c>
      <c r="M18" s="11" t="s">
        <v>213</v>
      </c>
      <c r="N18" s="6" t="s">
        <v>602</v>
      </c>
      <c r="O18" s="6"/>
    </row>
    <row r="19" customFormat="false" ht="15" hidden="false" customHeight="true" outlineLevel="0" collapsed="false">
      <c r="A19" s="12" t="s">
        <v>333</v>
      </c>
      <c r="B19" s="6" t="s">
        <v>301</v>
      </c>
      <c r="C19" s="6" t="s">
        <v>207</v>
      </c>
      <c r="D19" s="6" t="s">
        <v>334</v>
      </c>
      <c r="E19" s="6" t="s">
        <v>335</v>
      </c>
      <c r="F19" s="12" t="s">
        <v>258</v>
      </c>
      <c r="G19" s="10" t="s">
        <v>259</v>
      </c>
      <c r="H19" s="10" t="n">
        <v>0</v>
      </c>
      <c r="I19" s="10" t="n">
        <v>0</v>
      </c>
      <c r="J19" s="11" t="s">
        <v>88</v>
      </c>
      <c r="K19" s="11" t="s">
        <v>88</v>
      </c>
      <c r="L19" s="11" t="s">
        <v>88</v>
      </c>
      <c r="M19" s="11" t="s">
        <v>88</v>
      </c>
      <c r="N19" s="6" t="s">
        <v>548</v>
      </c>
      <c r="O19" s="6" t="s">
        <v>337</v>
      </c>
    </row>
    <row r="20" customFormat="false" ht="23.25" hidden="false" customHeight="true" outlineLevel="0" collapsed="false">
      <c r="A20" s="12" t="s">
        <v>178</v>
      </c>
      <c r="B20" s="6" t="s">
        <v>301</v>
      </c>
      <c r="C20" s="6" t="s">
        <v>207</v>
      </c>
      <c r="D20" s="6" t="s">
        <v>338</v>
      </c>
      <c r="E20" s="6" t="s">
        <v>339</v>
      </c>
      <c r="F20" s="12" t="s">
        <v>258</v>
      </c>
      <c r="G20" s="10" t="s">
        <v>259</v>
      </c>
      <c r="H20" s="10" t="n">
        <v>0</v>
      </c>
      <c r="I20" s="10" t="n">
        <v>0</v>
      </c>
      <c r="J20" s="11" t="s">
        <v>88</v>
      </c>
      <c r="K20" s="11" t="s">
        <v>88</v>
      </c>
      <c r="L20" s="11" t="s">
        <v>88</v>
      </c>
      <c r="M20" s="11" t="s">
        <v>88</v>
      </c>
      <c r="N20" s="6" t="s">
        <v>603</v>
      </c>
      <c r="O20" s="6" t="s">
        <v>341</v>
      </c>
    </row>
    <row r="21" customFormat="false" ht="15" hidden="false" customHeight="true" outlineLevel="0" collapsed="false">
      <c r="A21" s="12" t="s">
        <v>342</v>
      </c>
      <c r="B21" s="6" t="s">
        <v>343</v>
      </c>
      <c r="C21" s="6" t="s">
        <v>233</v>
      </c>
      <c r="D21" s="6" t="s">
        <v>344</v>
      </c>
      <c r="E21" s="6" t="s">
        <v>345</v>
      </c>
      <c r="F21" s="12" t="s">
        <v>258</v>
      </c>
      <c r="G21" s="10" t="s">
        <v>259</v>
      </c>
      <c r="H21" s="10" t="n">
        <v>0</v>
      </c>
      <c r="I21" s="10" t="n">
        <v>0</v>
      </c>
      <c r="J21" s="11" t="s">
        <v>88</v>
      </c>
      <c r="K21" s="11" t="s">
        <v>88</v>
      </c>
      <c r="L21" s="11" t="s">
        <v>88</v>
      </c>
      <c r="M21" s="11" t="s">
        <v>88</v>
      </c>
      <c r="N21" s="6" t="s">
        <v>604</v>
      </c>
      <c r="O21" s="6" t="s">
        <v>347</v>
      </c>
    </row>
    <row r="22" customFormat="false" ht="15" hidden="false" customHeight="true" outlineLevel="0" collapsed="false">
      <c r="A22" s="12" t="s">
        <v>348</v>
      </c>
      <c r="B22" s="6" t="s">
        <v>343</v>
      </c>
      <c r="C22" s="6" t="s">
        <v>233</v>
      </c>
      <c r="D22" s="6" t="s">
        <v>349</v>
      </c>
      <c r="E22" s="6" t="s">
        <v>350</v>
      </c>
      <c r="F22" s="12" t="s">
        <v>258</v>
      </c>
      <c r="G22" s="10" t="s">
        <v>259</v>
      </c>
      <c r="H22" s="10" t="n">
        <v>0</v>
      </c>
      <c r="I22" s="10" t="n">
        <v>0</v>
      </c>
      <c r="J22" s="11" t="s">
        <v>88</v>
      </c>
      <c r="K22" s="11" t="s">
        <v>88</v>
      </c>
      <c r="L22" s="11" t="s">
        <v>88</v>
      </c>
      <c r="M22" s="11" t="s">
        <v>88</v>
      </c>
      <c r="N22" s="6" t="s">
        <v>605</v>
      </c>
      <c r="O22" s="6" t="s">
        <v>352</v>
      </c>
    </row>
    <row r="23" customFormat="false" ht="15" hidden="false" customHeight="true" outlineLevel="0" collapsed="false">
      <c r="A23" s="6" t="s">
        <v>353</v>
      </c>
      <c r="B23" s="6" t="s">
        <v>343</v>
      </c>
      <c r="C23" s="6" t="s">
        <v>207</v>
      </c>
      <c r="D23" s="6" t="s">
        <v>354</v>
      </c>
      <c r="E23" s="6" t="s">
        <v>355</v>
      </c>
      <c r="F23" s="6" t="s">
        <v>236</v>
      </c>
      <c r="G23" s="10" t="s">
        <v>211</v>
      </c>
      <c r="H23" s="10" t="n">
        <v>0</v>
      </c>
      <c r="I23" s="10" t="n">
        <v>0</v>
      </c>
      <c r="J23" s="11" t="s">
        <v>213</v>
      </c>
      <c r="K23" s="11" t="s">
        <v>213</v>
      </c>
      <c r="L23" s="11" t="s">
        <v>213</v>
      </c>
      <c r="M23" s="11" t="s">
        <v>88</v>
      </c>
      <c r="N23" s="6" t="s">
        <v>606</v>
      </c>
      <c r="O23" s="6"/>
    </row>
    <row r="24" customFormat="false" ht="23.25" hidden="false" customHeight="true" outlineLevel="0" collapsed="false">
      <c r="A24" s="6" t="s">
        <v>357</v>
      </c>
      <c r="B24" s="6" t="s">
        <v>343</v>
      </c>
      <c r="C24" s="6" t="s">
        <v>233</v>
      </c>
      <c r="D24" s="6" t="s">
        <v>358</v>
      </c>
      <c r="E24" s="6" t="s">
        <v>359</v>
      </c>
      <c r="F24" s="6" t="s">
        <v>236</v>
      </c>
      <c r="G24" s="10" t="s">
        <v>211</v>
      </c>
      <c r="H24" s="10" t="n">
        <v>0</v>
      </c>
      <c r="I24" s="10" t="n">
        <v>0</v>
      </c>
      <c r="J24" s="11" t="s">
        <v>213</v>
      </c>
      <c r="K24" s="11" t="s">
        <v>213</v>
      </c>
      <c r="L24" s="11" t="s">
        <v>213</v>
      </c>
      <c r="M24" s="11" t="s">
        <v>88</v>
      </c>
      <c r="N24" s="6" t="s">
        <v>607</v>
      </c>
      <c r="O24" s="6" t="s">
        <v>361</v>
      </c>
    </row>
    <row r="25" customFormat="false" ht="15" hidden="false" customHeight="true" outlineLevel="0" collapsed="false">
      <c r="A25" s="6" t="s">
        <v>362</v>
      </c>
      <c r="B25" s="6" t="s">
        <v>343</v>
      </c>
      <c r="C25" s="6" t="s">
        <v>207</v>
      </c>
      <c r="D25" s="6" t="s">
        <v>363</v>
      </c>
      <c r="E25" s="6" t="s">
        <v>161</v>
      </c>
      <c r="F25" s="6" t="s">
        <v>210</v>
      </c>
      <c r="G25" s="10" t="s">
        <v>211</v>
      </c>
      <c r="H25" s="10" t="n">
        <v>1</v>
      </c>
      <c r="I25" s="10" t="n">
        <v>0</v>
      </c>
      <c r="J25" s="11" t="s">
        <v>213</v>
      </c>
      <c r="K25" s="11" t="s">
        <v>213</v>
      </c>
      <c r="L25" s="11" t="s">
        <v>213</v>
      </c>
      <c r="M25" s="11" t="s">
        <v>213</v>
      </c>
      <c r="N25" s="6" t="s">
        <v>364</v>
      </c>
      <c r="O25" s="6"/>
    </row>
    <row r="26" customFormat="false" ht="15" hidden="false" customHeight="true" outlineLevel="0" collapsed="false">
      <c r="A26" s="12" t="s">
        <v>365</v>
      </c>
      <c r="B26" s="6" t="s">
        <v>343</v>
      </c>
      <c r="C26" s="6" t="s">
        <v>207</v>
      </c>
      <c r="D26" s="6" t="s">
        <v>366</v>
      </c>
      <c r="E26" s="6" t="s">
        <v>367</v>
      </c>
      <c r="F26" s="12" t="s">
        <v>258</v>
      </c>
      <c r="G26" s="10" t="s">
        <v>259</v>
      </c>
      <c r="H26" s="10" t="n">
        <v>0</v>
      </c>
      <c r="I26" s="10" t="n">
        <v>0</v>
      </c>
      <c r="J26" s="11" t="s">
        <v>88</v>
      </c>
      <c r="K26" s="11" t="s">
        <v>88</v>
      </c>
      <c r="L26" s="11" t="s">
        <v>88</v>
      </c>
      <c r="M26" s="11" t="s">
        <v>88</v>
      </c>
      <c r="N26" s="6" t="s">
        <v>608</v>
      </c>
      <c r="O26" s="6"/>
    </row>
    <row r="27" customFormat="false" ht="15" hidden="false" customHeight="true" outlineLevel="0" collapsed="false">
      <c r="A27" s="6" t="s">
        <v>368</v>
      </c>
      <c r="B27" s="6" t="s">
        <v>343</v>
      </c>
      <c r="C27" s="6" t="s">
        <v>207</v>
      </c>
      <c r="D27" s="6" t="s">
        <v>369</v>
      </c>
      <c r="E27" s="6" t="s">
        <v>370</v>
      </c>
      <c r="F27" s="6" t="s">
        <v>236</v>
      </c>
      <c r="G27" s="10" t="s">
        <v>211</v>
      </c>
      <c r="H27" s="10" t="n">
        <v>0</v>
      </c>
      <c r="I27" s="10" t="n">
        <v>0</v>
      </c>
      <c r="J27" s="11" t="s">
        <v>213</v>
      </c>
      <c r="K27" s="11" t="s">
        <v>213</v>
      </c>
      <c r="L27" s="11" t="s">
        <v>88</v>
      </c>
      <c r="M27" s="11" t="s">
        <v>88</v>
      </c>
      <c r="N27" s="6" t="s">
        <v>370</v>
      </c>
      <c r="O27" s="6"/>
    </row>
    <row r="28" customFormat="false" ht="23.25" hidden="false" customHeight="true" outlineLevel="0" collapsed="false">
      <c r="A28" s="12" t="s">
        <v>371</v>
      </c>
      <c r="B28" s="6" t="s">
        <v>343</v>
      </c>
      <c r="C28" s="6" t="s">
        <v>207</v>
      </c>
      <c r="D28" s="6" t="s">
        <v>372</v>
      </c>
      <c r="E28" s="6" t="s">
        <v>373</v>
      </c>
      <c r="F28" s="12" t="s">
        <v>258</v>
      </c>
      <c r="G28" s="10" t="s">
        <v>259</v>
      </c>
      <c r="H28" s="10" t="n">
        <v>0</v>
      </c>
      <c r="I28" s="10" t="n">
        <v>0</v>
      </c>
      <c r="J28" s="11" t="s">
        <v>88</v>
      </c>
      <c r="K28" s="11" t="s">
        <v>88</v>
      </c>
      <c r="L28" s="11" t="s">
        <v>88</v>
      </c>
      <c r="M28" s="11" t="s">
        <v>88</v>
      </c>
      <c r="N28" s="6" t="s">
        <v>555</v>
      </c>
      <c r="O28" s="6" t="s">
        <v>375</v>
      </c>
    </row>
    <row r="29" customFormat="false" ht="15" hidden="false" customHeight="true" outlineLevel="0" collapsed="false">
      <c r="A29" s="12" t="s">
        <v>376</v>
      </c>
      <c r="B29" s="6" t="s">
        <v>343</v>
      </c>
      <c r="C29" s="6" t="s">
        <v>233</v>
      </c>
      <c r="D29" s="6" t="s">
        <v>377</v>
      </c>
      <c r="E29" s="6" t="s">
        <v>257</v>
      </c>
      <c r="F29" s="12" t="s">
        <v>258</v>
      </c>
      <c r="G29" s="10" t="s">
        <v>259</v>
      </c>
      <c r="H29" s="10" t="n">
        <v>0</v>
      </c>
      <c r="I29" s="10" t="n">
        <v>0</v>
      </c>
      <c r="J29" s="11" t="s">
        <v>88</v>
      </c>
      <c r="K29" s="11" t="s">
        <v>88</v>
      </c>
      <c r="L29" s="11" t="s">
        <v>88</v>
      </c>
      <c r="M29" s="11" t="s">
        <v>88</v>
      </c>
      <c r="N29" s="6" t="s">
        <v>378</v>
      </c>
      <c r="O29" s="6" t="s">
        <v>379</v>
      </c>
    </row>
    <row r="30" customFormat="false" ht="15" hidden="false" customHeight="true" outlineLevel="0" collapsed="false">
      <c r="A30" s="12" t="s">
        <v>380</v>
      </c>
      <c r="B30" s="6" t="s">
        <v>343</v>
      </c>
      <c r="C30" s="6" t="s">
        <v>288</v>
      </c>
      <c r="D30" s="6" t="s">
        <v>381</v>
      </c>
      <c r="E30" s="6" t="s">
        <v>382</v>
      </c>
      <c r="F30" s="12" t="s">
        <v>258</v>
      </c>
      <c r="G30" s="10" t="s">
        <v>259</v>
      </c>
      <c r="H30" s="10" t="n">
        <v>0</v>
      </c>
      <c r="I30" s="10" t="n">
        <v>0</v>
      </c>
      <c r="J30" s="11" t="s">
        <v>88</v>
      </c>
      <c r="K30" s="11" t="s">
        <v>88</v>
      </c>
      <c r="L30" s="11" t="s">
        <v>88</v>
      </c>
      <c r="M30" s="11" t="s">
        <v>88</v>
      </c>
      <c r="N30" s="6" t="s">
        <v>383</v>
      </c>
      <c r="O30" s="6" t="s">
        <v>383</v>
      </c>
    </row>
    <row r="31" customFormat="false" ht="15" hidden="false" customHeight="true" outlineLevel="0" collapsed="false">
      <c r="A31" s="12" t="s">
        <v>384</v>
      </c>
      <c r="B31" s="6" t="s">
        <v>343</v>
      </c>
      <c r="C31" s="6" t="s">
        <v>233</v>
      </c>
      <c r="D31" s="6" t="s">
        <v>385</v>
      </c>
      <c r="E31" s="6" t="s">
        <v>386</v>
      </c>
      <c r="F31" s="12" t="s">
        <v>258</v>
      </c>
      <c r="G31" s="10" t="s">
        <v>259</v>
      </c>
      <c r="H31" s="10" t="n">
        <v>0</v>
      </c>
      <c r="I31" s="10" t="n">
        <v>0</v>
      </c>
      <c r="J31" s="11" t="s">
        <v>88</v>
      </c>
      <c r="K31" s="11" t="s">
        <v>88</v>
      </c>
      <c r="L31" s="11" t="s">
        <v>88</v>
      </c>
      <c r="M31" s="11" t="s">
        <v>88</v>
      </c>
      <c r="N31" s="6" t="s">
        <v>383</v>
      </c>
      <c r="O31" s="6" t="s">
        <v>387</v>
      </c>
    </row>
    <row r="32" customFormat="false" ht="23.25" hidden="false" customHeight="true" outlineLevel="0" collapsed="false">
      <c r="A32" s="12" t="s">
        <v>388</v>
      </c>
      <c r="B32" s="6" t="s">
        <v>343</v>
      </c>
      <c r="C32" s="6" t="s">
        <v>233</v>
      </c>
      <c r="D32" s="6" t="s">
        <v>389</v>
      </c>
      <c r="E32" s="6" t="s">
        <v>390</v>
      </c>
      <c r="F32" s="12" t="s">
        <v>258</v>
      </c>
      <c r="G32" s="10" t="s">
        <v>259</v>
      </c>
      <c r="H32" s="10" t="n">
        <v>0</v>
      </c>
      <c r="I32" s="10" t="n">
        <v>0</v>
      </c>
      <c r="J32" s="11" t="s">
        <v>88</v>
      </c>
      <c r="K32" s="11" t="s">
        <v>88</v>
      </c>
      <c r="L32" s="11" t="s">
        <v>88</v>
      </c>
      <c r="M32" s="11" t="s">
        <v>88</v>
      </c>
      <c r="N32" s="6" t="s">
        <v>605</v>
      </c>
      <c r="O32" s="6" t="s">
        <v>392</v>
      </c>
    </row>
    <row r="33" customFormat="false" ht="15" hidden="false" customHeight="true" outlineLevel="0" collapsed="false">
      <c r="A33" s="12" t="s">
        <v>393</v>
      </c>
      <c r="B33" s="6" t="s">
        <v>343</v>
      </c>
      <c r="C33" s="6" t="s">
        <v>233</v>
      </c>
      <c r="D33" s="6" t="s">
        <v>394</v>
      </c>
      <c r="E33" s="6" t="s">
        <v>395</v>
      </c>
      <c r="F33" s="12" t="s">
        <v>258</v>
      </c>
      <c r="G33" s="10" t="s">
        <v>259</v>
      </c>
      <c r="H33" s="10" t="n">
        <v>0</v>
      </c>
      <c r="I33" s="10" t="n">
        <v>0</v>
      </c>
      <c r="J33" s="11" t="s">
        <v>88</v>
      </c>
      <c r="K33" s="11" t="s">
        <v>88</v>
      </c>
      <c r="L33" s="11" t="s">
        <v>88</v>
      </c>
      <c r="M33" s="11" t="s">
        <v>88</v>
      </c>
      <c r="N33" s="6" t="s">
        <v>395</v>
      </c>
      <c r="O33" s="6" t="s">
        <v>396</v>
      </c>
    </row>
    <row r="34" customFormat="false" ht="23.25" hidden="false" customHeight="true" outlineLevel="0" collapsed="false">
      <c r="A34" s="12" t="s">
        <v>397</v>
      </c>
      <c r="B34" s="6" t="s">
        <v>343</v>
      </c>
      <c r="C34" s="6" t="s">
        <v>233</v>
      </c>
      <c r="D34" s="6" t="s">
        <v>398</v>
      </c>
      <c r="E34" s="6" t="s">
        <v>399</v>
      </c>
      <c r="F34" s="12" t="s">
        <v>258</v>
      </c>
      <c r="G34" s="10" t="s">
        <v>259</v>
      </c>
      <c r="H34" s="10" t="n">
        <v>0</v>
      </c>
      <c r="I34" s="10" t="n">
        <v>0</v>
      </c>
      <c r="J34" s="11" t="s">
        <v>88</v>
      </c>
      <c r="K34" s="11" t="s">
        <v>88</v>
      </c>
      <c r="L34" s="11" t="s">
        <v>88</v>
      </c>
      <c r="M34" s="11" t="s">
        <v>88</v>
      </c>
      <c r="N34" s="6" t="s">
        <v>400</v>
      </c>
      <c r="O34" s="6" t="s">
        <v>400</v>
      </c>
    </row>
    <row r="35" customFormat="false" ht="23.25" hidden="false" customHeight="true" outlineLevel="0" collapsed="false">
      <c r="A35" s="12" t="s">
        <v>401</v>
      </c>
      <c r="B35" s="6" t="s">
        <v>343</v>
      </c>
      <c r="C35" s="6" t="s">
        <v>233</v>
      </c>
      <c r="D35" s="6" t="s">
        <v>402</v>
      </c>
      <c r="E35" s="6" t="s">
        <v>403</v>
      </c>
      <c r="F35" s="12" t="s">
        <v>258</v>
      </c>
      <c r="G35" s="10" t="s">
        <v>259</v>
      </c>
      <c r="H35" s="10" t="n">
        <v>0</v>
      </c>
      <c r="I35" s="10" t="n">
        <v>0</v>
      </c>
      <c r="J35" s="11" t="s">
        <v>88</v>
      </c>
      <c r="K35" s="11" t="s">
        <v>88</v>
      </c>
      <c r="L35" s="11" t="s">
        <v>88</v>
      </c>
      <c r="M35" s="11" t="s">
        <v>88</v>
      </c>
      <c r="N35" s="6" t="s">
        <v>609</v>
      </c>
      <c r="O35" s="6" t="s">
        <v>404</v>
      </c>
    </row>
    <row r="36" customFormat="false" ht="15" hidden="false" customHeight="true" outlineLevel="0" collapsed="false">
      <c r="A36" s="6" t="s">
        <v>405</v>
      </c>
      <c r="B36" s="6" t="s">
        <v>406</v>
      </c>
      <c r="C36" s="6" t="s">
        <v>233</v>
      </c>
      <c r="D36" s="6" t="s">
        <v>407</v>
      </c>
      <c r="E36" s="6" t="s">
        <v>408</v>
      </c>
      <c r="F36" s="6" t="s">
        <v>210</v>
      </c>
      <c r="G36" s="10" t="s">
        <v>211</v>
      </c>
      <c r="H36" s="10" t="n">
        <v>0</v>
      </c>
      <c r="I36" s="10" t="n">
        <v>0</v>
      </c>
      <c r="J36" s="11" t="s">
        <v>212</v>
      </c>
      <c r="K36" s="11" t="s">
        <v>212</v>
      </c>
      <c r="L36" s="11" t="s">
        <v>212</v>
      </c>
      <c r="M36" s="11" t="s">
        <v>212</v>
      </c>
      <c r="N36" s="6" t="s">
        <v>408</v>
      </c>
      <c r="O36" s="6"/>
    </row>
    <row r="37" customFormat="false" ht="15" hidden="false" customHeight="true" outlineLevel="0" collapsed="false">
      <c r="A37" s="6" t="s">
        <v>410</v>
      </c>
      <c r="B37" s="6" t="s">
        <v>406</v>
      </c>
      <c r="C37" s="6" t="s">
        <v>233</v>
      </c>
      <c r="D37" s="6" t="s">
        <v>411</v>
      </c>
      <c r="E37" s="6" t="s">
        <v>412</v>
      </c>
      <c r="F37" s="6" t="s">
        <v>210</v>
      </c>
      <c r="G37" s="10" t="s">
        <v>211</v>
      </c>
      <c r="H37" s="10" t="n">
        <v>0</v>
      </c>
      <c r="I37" s="10" t="n">
        <v>0</v>
      </c>
      <c r="J37" s="11" t="s">
        <v>212</v>
      </c>
      <c r="K37" s="11" t="s">
        <v>88</v>
      </c>
      <c r="L37" s="11" t="s">
        <v>213</v>
      </c>
      <c r="M37" s="11" t="s">
        <v>88</v>
      </c>
      <c r="N37" s="6" t="s">
        <v>610</v>
      </c>
      <c r="O37" s="6"/>
    </row>
    <row r="38" customFormat="false" ht="15" hidden="false" customHeight="true" outlineLevel="0" collapsed="false">
      <c r="A38" s="6" t="s">
        <v>414</v>
      </c>
      <c r="B38" s="6" t="s">
        <v>406</v>
      </c>
      <c r="C38" s="6" t="s">
        <v>207</v>
      </c>
      <c r="D38" s="6" t="s">
        <v>415</v>
      </c>
      <c r="E38" s="6" t="s">
        <v>416</v>
      </c>
      <c r="F38" s="6" t="s">
        <v>210</v>
      </c>
      <c r="G38" s="10" t="s">
        <v>211</v>
      </c>
      <c r="H38" s="10" t="n">
        <v>1</v>
      </c>
      <c r="I38" s="10" t="n">
        <v>0</v>
      </c>
      <c r="J38" s="11" t="s">
        <v>88</v>
      </c>
      <c r="K38" s="11" t="s">
        <v>88</v>
      </c>
      <c r="L38" s="11" t="s">
        <v>88</v>
      </c>
      <c r="M38" s="11" t="s">
        <v>212</v>
      </c>
      <c r="N38" s="6" t="s">
        <v>416</v>
      </c>
      <c r="O38" s="6"/>
    </row>
    <row r="39" customFormat="false" ht="15" hidden="false" customHeight="true" outlineLevel="0" collapsed="false">
      <c r="A39" s="6" t="s">
        <v>418</v>
      </c>
      <c r="B39" s="6" t="s">
        <v>406</v>
      </c>
      <c r="C39" s="6" t="s">
        <v>207</v>
      </c>
      <c r="D39" s="6" t="s">
        <v>419</v>
      </c>
      <c r="E39" s="6" t="s">
        <v>416</v>
      </c>
      <c r="F39" s="6" t="s">
        <v>210</v>
      </c>
      <c r="G39" s="10" t="s">
        <v>211</v>
      </c>
      <c r="H39" s="10" t="n">
        <v>-1</v>
      </c>
      <c r="I39" s="10" t="n">
        <v>0</v>
      </c>
      <c r="J39" s="11" t="s">
        <v>88</v>
      </c>
      <c r="K39" s="11" t="s">
        <v>88</v>
      </c>
      <c r="L39" s="11" t="s">
        <v>88</v>
      </c>
      <c r="M39" s="11" t="s">
        <v>212</v>
      </c>
      <c r="N39" s="6" t="s">
        <v>416</v>
      </c>
      <c r="O39" s="6"/>
    </row>
    <row r="40" customFormat="false" ht="15" hidden="false" customHeight="true" outlineLevel="0" collapsed="false">
      <c r="A40" s="6" t="s">
        <v>421</v>
      </c>
      <c r="B40" s="6" t="s">
        <v>406</v>
      </c>
      <c r="C40" s="6" t="s">
        <v>207</v>
      </c>
      <c r="D40" s="6" t="s">
        <v>422</v>
      </c>
      <c r="E40" s="6" t="s">
        <v>416</v>
      </c>
      <c r="F40" s="6" t="s">
        <v>210</v>
      </c>
      <c r="G40" s="10" t="s">
        <v>211</v>
      </c>
      <c r="H40" s="10" t="n">
        <v>-1</v>
      </c>
      <c r="I40" s="10" t="n">
        <v>0</v>
      </c>
      <c r="J40" s="11" t="s">
        <v>88</v>
      </c>
      <c r="K40" s="11" t="s">
        <v>88</v>
      </c>
      <c r="L40" s="11" t="s">
        <v>88</v>
      </c>
      <c r="M40" s="11" t="s">
        <v>212</v>
      </c>
      <c r="N40" s="6" t="s">
        <v>416</v>
      </c>
      <c r="O40" s="6"/>
    </row>
    <row r="41" customFormat="false" ht="23.25" hidden="false" customHeight="true" outlineLevel="0" collapsed="false">
      <c r="A41" s="12" t="s">
        <v>423</v>
      </c>
      <c r="B41" s="6" t="s">
        <v>406</v>
      </c>
      <c r="C41" s="6" t="s">
        <v>233</v>
      </c>
      <c r="D41" s="6" t="s">
        <v>424</v>
      </c>
      <c r="E41" s="6" t="s">
        <v>425</v>
      </c>
      <c r="F41" s="12" t="s">
        <v>258</v>
      </c>
      <c r="G41" s="10" t="s">
        <v>259</v>
      </c>
      <c r="H41" s="10" t="n">
        <v>0</v>
      </c>
      <c r="I41" s="10" t="n">
        <v>0</v>
      </c>
      <c r="J41" s="11" t="s">
        <v>88</v>
      </c>
      <c r="K41" s="11" t="s">
        <v>88</v>
      </c>
      <c r="L41" s="11" t="s">
        <v>88</v>
      </c>
      <c r="M41" s="11" t="s">
        <v>88</v>
      </c>
      <c r="N41" s="6" t="s">
        <v>611</v>
      </c>
      <c r="O41" s="6"/>
    </row>
    <row r="42" customFormat="false" ht="15" hidden="false" customHeight="true" outlineLevel="0" collapsed="false">
      <c r="A42" s="6" t="s">
        <v>426</v>
      </c>
      <c r="B42" s="6" t="s">
        <v>406</v>
      </c>
      <c r="C42" s="6" t="s">
        <v>207</v>
      </c>
      <c r="D42" s="6" t="s">
        <v>427</v>
      </c>
      <c r="E42" s="6" t="s">
        <v>428</v>
      </c>
      <c r="F42" s="6" t="s">
        <v>210</v>
      </c>
      <c r="G42" s="10" t="s">
        <v>211</v>
      </c>
      <c r="H42" s="10" t="n">
        <v>0</v>
      </c>
      <c r="I42" s="10" t="n">
        <v>0</v>
      </c>
      <c r="J42" s="11" t="s">
        <v>88</v>
      </c>
      <c r="K42" s="11" t="s">
        <v>212</v>
      </c>
      <c r="L42" s="11" t="s">
        <v>88</v>
      </c>
      <c r="M42" s="11" t="s">
        <v>88</v>
      </c>
      <c r="N42" s="6" t="s">
        <v>612</v>
      </c>
      <c r="O42" s="6"/>
    </row>
    <row r="43" customFormat="false" ht="15" hidden="false" customHeight="true" outlineLevel="0" collapsed="false">
      <c r="A43" s="6" t="s">
        <v>430</v>
      </c>
      <c r="B43" s="6" t="s">
        <v>406</v>
      </c>
      <c r="C43" s="6" t="s">
        <v>233</v>
      </c>
      <c r="D43" s="6" t="s">
        <v>431</v>
      </c>
      <c r="E43" s="6" t="s">
        <v>432</v>
      </c>
      <c r="F43" s="6" t="s">
        <v>210</v>
      </c>
      <c r="G43" s="10" t="s">
        <v>211</v>
      </c>
      <c r="H43" s="10" t="n">
        <v>0</v>
      </c>
      <c r="I43" s="10" t="n">
        <v>0</v>
      </c>
      <c r="J43" s="11" t="s">
        <v>213</v>
      </c>
      <c r="K43" s="11" t="s">
        <v>212</v>
      </c>
      <c r="L43" s="11" t="s">
        <v>213</v>
      </c>
      <c r="M43" s="11" t="s">
        <v>212</v>
      </c>
      <c r="N43" s="6" t="s">
        <v>613</v>
      </c>
      <c r="O43" s="6"/>
    </row>
    <row r="44" customFormat="false" ht="15" hidden="false" customHeight="true" outlineLevel="0" collapsed="false">
      <c r="A44" s="6" t="s">
        <v>433</v>
      </c>
      <c r="B44" s="6" t="s">
        <v>406</v>
      </c>
      <c r="C44" s="6" t="s">
        <v>233</v>
      </c>
      <c r="D44" s="6" t="s">
        <v>434</v>
      </c>
      <c r="E44" s="6" t="s">
        <v>435</v>
      </c>
      <c r="F44" s="6" t="s">
        <v>236</v>
      </c>
      <c r="G44" s="10" t="s">
        <v>211</v>
      </c>
      <c r="H44" s="10" t="n">
        <v>0</v>
      </c>
      <c r="I44" s="10" t="n">
        <v>0</v>
      </c>
      <c r="J44" s="11" t="s">
        <v>88</v>
      </c>
      <c r="K44" s="11" t="s">
        <v>213</v>
      </c>
      <c r="L44" s="11" t="s">
        <v>88</v>
      </c>
      <c r="M44" s="11" t="s">
        <v>88</v>
      </c>
      <c r="N44" s="6" t="s">
        <v>614</v>
      </c>
      <c r="O44" s="6"/>
    </row>
    <row r="45" customFormat="false" ht="15" hidden="false" customHeight="true" outlineLevel="0" collapsed="false">
      <c r="A45" s="6" t="s">
        <v>436</v>
      </c>
      <c r="B45" s="6" t="s">
        <v>406</v>
      </c>
      <c r="C45" s="6" t="s">
        <v>288</v>
      </c>
      <c r="D45" s="6" t="s">
        <v>437</v>
      </c>
      <c r="E45" s="6" t="s">
        <v>438</v>
      </c>
      <c r="F45" s="6" t="s">
        <v>210</v>
      </c>
      <c r="G45" s="10" t="s">
        <v>211</v>
      </c>
      <c r="H45" s="10" t="n">
        <v>0</v>
      </c>
      <c r="I45" s="10" t="n">
        <v>0</v>
      </c>
      <c r="J45" s="11" t="s">
        <v>88</v>
      </c>
      <c r="K45" s="11" t="s">
        <v>213</v>
      </c>
      <c r="L45" s="11" t="s">
        <v>88</v>
      </c>
      <c r="M45" s="11" t="s">
        <v>212</v>
      </c>
      <c r="N45" s="6" t="s">
        <v>615</v>
      </c>
      <c r="O45" s="6"/>
    </row>
    <row r="46" customFormat="false" ht="23.25" hidden="false" customHeight="true" outlineLevel="0" collapsed="false">
      <c r="A46" s="12" t="s">
        <v>439</v>
      </c>
      <c r="B46" s="6" t="s">
        <v>406</v>
      </c>
      <c r="C46" s="6" t="s">
        <v>288</v>
      </c>
      <c r="D46" s="6" t="s">
        <v>440</v>
      </c>
      <c r="E46" s="6" t="s">
        <v>441</v>
      </c>
      <c r="F46" s="12" t="s">
        <v>258</v>
      </c>
      <c r="G46" s="10" t="s">
        <v>259</v>
      </c>
      <c r="H46" s="10" t="n">
        <v>0</v>
      </c>
      <c r="I46" s="10" t="n">
        <v>0</v>
      </c>
      <c r="J46" s="11" t="s">
        <v>88</v>
      </c>
      <c r="K46" s="11" t="s">
        <v>88</v>
      </c>
      <c r="L46" s="11" t="s">
        <v>88</v>
      </c>
      <c r="M46" s="11" t="s">
        <v>88</v>
      </c>
      <c r="N46" s="6" t="s">
        <v>605</v>
      </c>
      <c r="O46" s="6"/>
    </row>
    <row r="47" customFormat="false" ht="15" hidden="false" customHeight="true" outlineLevel="0" collapsed="false">
      <c r="A47" s="12" t="s">
        <v>442</v>
      </c>
      <c r="B47" s="6" t="s">
        <v>406</v>
      </c>
      <c r="C47" s="6" t="s">
        <v>288</v>
      </c>
      <c r="D47" s="6" t="s">
        <v>443</v>
      </c>
      <c r="E47" s="6" t="s">
        <v>444</v>
      </c>
      <c r="F47" s="12" t="s">
        <v>258</v>
      </c>
      <c r="G47" s="10" t="s">
        <v>259</v>
      </c>
      <c r="H47" s="10" t="n">
        <v>0</v>
      </c>
      <c r="I47" s="10" t="n">
        <v>0</v>
      </c>
      <c r="J47" s="11" t="s">
        <v>88</v>
      </c>
      <c r="K47" s="11" t="s">
        <v>88</v>
      </c>
      <c r="L47" s="11" t="s">
        <v>88</v>
      </c>
      <c r="M47" s="11" t="s">
        <v>88</v>
      </c>
      <c r="N47" s="6" t="s">
        <v>616</v>
      </c>
      <c r="O47" s="6"/>
    </row>
    <row r="48" customFormat="false" ht="15" hidden="false" customHeight="true" outlineLevel="0" collapsed="false">
      <c r="A48" s="6" t="s">
        <v>445</v>
      </c>
      <c r="B48" s="6" t="s">
        <v>406</v>
      </c>
      <c r="C48" s="6" t="s">
        <v>207</v>
      </c>
      <c r="D48" s="6" t="s">
        <v>446</v>
      </c>
      <c r="E48" s="6" t="s">
        <v>447</v>
      </c>
      <c r="F48" s="6" t="s">
        <v>236</v>
      </c>
      <c r="G48" s="10" t="s">
        <v>211</v>
      </c>
      <c r="H48" s="10" t="n">
        <v>0</v>
      </c>
      <c r="I48" s="10" t="n">
        <v>0</v>
      </c>
      <c r="J48" s="11" t="s">
        <v>230</v>
      </c>
      <c r="K48" s="11" t="s">
        <v>230</v>
      </c>
      <c r="L48" s="11" t="s">
        <v>230</v>
      </c>
      <c r="M48" s="11" t="s">
        <v>230</v>
      </c>
      <c r="N48" s="6" t="s">
        <v>617</v>
      </c>
      <c r="O48" s="6"/>
    </row>
    <row r="49" customFormat="false" ht="15" hidden="false" customHeight="true" outlineLevel="0" collapsed="false">
      <c r="A49" s="12" t="s">
        <v>448</v>
      </c>
      <c r="B49" s="6" t="s">
        <v>406</v>
      </c>
      <c r="C49" s="6" t="s">
        <v>233</v>
      </c>
      <c r="D49" s="6" t="s">
        <v>449</v>
      </c>
      <c r="E49" s="6" t="s">
        <v>450</v>
      </c>
      <c r="F49" s="12" t="s">
        <v>258</v>
      </c>
      <c r="G49" s="10" t="s">
        <v>259</v>
      </c>
      <c r="H49" s="10" t="n">
        <v>0</v>
      </c>
      <c r="I49" s="10" t="n">
        <v>0</v>
      </c>
      <c r="J49" s="11" t="s">
        <v>88</v>
      </c>
      <c r="K49" s="11" t="s">
        <v>88</v>
      </c>
      <c r="L49" s="11" t="s">
        <v>88</v>
      </c>
      <c r="M49" s="11" t="s">
        <v>88</v>
      </c>
      <c r="N49" s="6" t="s">
        <v>605</v>
      </c>
      <c r="O49" s="6" t="s">
        <v>451</v>
      </c>
    </row>
    <row r="50" customFormat="false" ht="15" hidden="false" customHeight="true" outlineLevel="0" collapsed="false">
      <c r="A50" s="12" t="s">
        <v>452</v>
      </c>
      <c r="B50" s="6" t="s">
        <v>406</v>
      </c>
      <c r="C50" s="6" t="s">
        <v>288</v>
      </c>
      <c r="D50" s="6" t="s">
        <v>453</v>
      </c>
      <c r="E50" s="6" t="s">
        <v>454</v>
      </c>
      <c r="F50" s="12" t="s">
        <v>258</v>
      </c>
      <c r="G50" s="10" t="s">
        <v>259</v>
      </c>
      <c r="H50" s="10" t="n">
        <v>0</v>
      </c>
      <c r="I50" s="10" t="n">
        <v>0</v>
      </c>
      <c r="J50" s="11" t="s">
        <v>88</v>
      </c>
      <c r="K50" s="11" t="s">
        <v>88</v>
      </c>
      <c r="L50" s="11" t="s">
        <v>88</v>
      </c>
      <c r="M50" s="11" t="s">
        <v>88</v>
      </c>
      <c r="N50" s="6" t="s">
        <v>605</v>
      </c>
      <c r="O50" s="6"/>
    </row>
    <row r="51" customFormat="false" ht="23.25" hidden="false" customHeight="true" outlineLevel="0" collapsed="false">
      <c r="A51" s="12" t="s">
        <v>455</v>
      </c>
      <c r="B51" s="6" t="s">
        <v>456</v>
      </c>
      <c r="C51" s="6" t="s">
        <v>207</v>
      </c>
      <c r="D51" s="6" t="s">
        <v>457</v>
      </c>
      <c r="E51" s="6" t="s">
        <v>458</v>
      </c>
      <c r="F51" s="12" t="s">
        <v>258</v>
      </c>
      <c r="G51" s="10" t="s">
        <v>259</v>
      </c>
      <c r="H51" s="10" t="n">
        <v>0</v>
      </c>
      <c r="I51" s="10" t="n">
        <v>0</v>
      </c>
      <c r="J51" s="11" t="s">
        <v>88</v>
      </c>
      <c r="K51" s="11" t="s">
        <v>88</v>
      </c>
      <c r="L51" s="11" t="s">
        <v>88</v>
      </c>
      <c r="M51" s="11" t="s">
        <v>88</v>
      </c>
      <c r="N51" s="6" t="s">
        <v>618</v>
      </c>
      <c r="O51" s="6" t="s">
        <v>460</v>
      </c>
    </row>
    <row r="52" customFormat="false" ht="15" hidden="false" customHeight="true" outlineLevel="0" collapsed="false">
      <c r="A52" s="12" t="s">
        <v>461</v>
      </c>
      <c r="B52" s="6" t="s">
        <v>456</v>
      </c>
      <c r="C52" s="6" t="s">
        <v>207</v>
      </c>
      <c r="D52" s="6" t="s">
        <v>462</v>
      </c>
      <c r="E52" s="6" t="s">
        <v>463</v>
      </c>
      <c r="F52" s="12" t="s">
        <v>258</v>
      </c>
      <c r="G52" s="10" t="s">
        <v>259</v>
      </c>
      <c r="H52" s="10" t="n">
        <v>0</v>
      </c>
      <c r="I52" s="10" t="n">
        <v>0</v>
      </c>
      <c r="J52" s="11" t="s">
        <v>88</v>
      </c>
      <c r="K52" s="11" t="s">
        <v>88</v>
      </c>
      <c r="L52" s="11" t="s">
        <v>88</v>
      </c>
      <c r="M52" s="11" t="s">
        <v>88</v>
      </c>
      <c r="N52" s="6" t="s">
        <v>619</v>
      </c>
      <c r="O52" s="6" t="s">
        <v>465</v>
      </c>
    </row>
    <row r="53" customFormat="false" ht="15" hidden="false" customHeight="true" outlineLevel="0" collapsed="false">
      <c r="A53" s="6" t="s">
        <v>466</v>
      </c>
      <c r="B53" s="6" t="s">
        <v>456</v>
      </c>
      <c r="C53" s="6" t="s">
        <v>207</v>
      </c>
      <c r="D53" s="6" t="s">
        <v>467</v>
      </c>
      <c r="E53" s="6" t="s">
        <v>468</v>
      </c>
      <c r="F53" s="6" t="s">
        <v>210</v>
      </c>
      <c r="G53" s="10" t="s">
        <v>211</v>
      </c>
      <c r="H53" s="10" t="n">
        <v>1</v>
      </c>
      <c r="I53" s="10" t="n">
        <v>0</v>
      </c>
      <c r="J53" s="11" t="s">
        <v>88</v>
      </c>
      <c r="K53" s="11" t="s">
        <v>212</v>
      </c>
      <c r="L53" s="11" t="s">
        <v>88</v>
      </c>
      <c r="M53" s="11" t="s">
        <v>88</v>
      </c>
      <c r="N53" s="6" t="s">
        <v>571</v>
      </c>
      <c r="O53" s="6" t="s">
        <v>465</v>
      </c>
    </row>
    <row r="54" customFormat="false" ht="15" hidden="false" customHeight="true" outlineLevel="0" collapsed="false">
      <c r="A54" s="12" t="s">
        <v>470</v>
      </c>
      <c r="B54" s="6" t="s">
        <v>456</v>
      </c>
      <c r="C54" s="6" t="s">
        <v>207</v>
      </c>
      <c r="D54" s="6" t="s">
        <v>471</v>
      </c>
      <c r="E54" s="6" t="s">
        <v>472</v>
      </c>
      <c r="F54" s="12" t="s">
        <v>258</v>
      </c>
      <c r="G54" s="10" t="s">
        <v>259</v>
      </c>
      <c r="H54" s="10" t="n">
        <v>0</v>
      </c>
      <c r="I54" s="10" t="n">
        <v>0</v>
      </c>
      <c r="J54" s="11" t="s">
        <v>88</v>
      </c>
      <c r="K54" s="11" t="s">
        <v>88</v>
      </c>
      <c r="L54" s="11" t="s">
        <v>88</v>
      </c>
      <c r="M54" s="11" t="s">
        <v>88</v>
      </c>
      <c r="N54" s="6" t="s">
        <v>605</v>
      </c>
      <c r="O54" s="6" t="s">
        <v>465</v>
      </c>
    </row>
    <row r="55" customFormat="false" ht="15" hidden="false" customHeight="true" outlineLevel="0" collapsed="false">
      <c r="A55" s="12" t="s">
        <v>474</v>
      </c>
      <c r="B55" s="6" t="s">
        <v>456</v>
      </c>
      <c r="C55" s="6" t="s">
        <v>207</v>
      </c>
      <c r="D55" s="6" t="s">
        <v>475</v>
      </c>
      <c r="E55" s="6" t="s">
        <v>476</v>
      </c>
      <c r="F55" s="12" t="s">
        <v>258</v>
      </c>
      <c r="G55" s="10" t="s">
        <v>259</v>
      </c>
      <c r="H55" s="10" t="n">
        <v>0</v>
      </c>
      <c r="I55" s="10" t="n">
        <v>0</v>
      </c>
      <c r="J55" s="11" t="s">
        <v>88</v>
      </c>
      <c r="K55" s="11" t="s">
        <v>88</v>
      </c>
      <c r="L55" s="11" t="s">
        <v>88</v>
      </c>
      <c r="M55" s="11" t="s">
        <v>88</v>
      </c>
      <c r="N55" s="6" t="s">
        <v>620</v>
      </c>
      <c r="O55" s="6" t="s">
        <v>465</v>
      </c>
    </row>
    <row r="56" customFormat="false" ht="15" hidden="false" customHeight="true" outlineLevel="0" collapsed="false">
      <c r="A56" s="6" t="s">
        <v>478</v>
      </c>
      <c r="B56" s="6" t="s">
        <v>456</v>
      </c>
      <c r="C56" s="6" t="s">
        <v>207</v>
      </c>
      <c r="D56" s="6" t="s">
        <v>479</v>
      </c>
      <c r="E56" s="6" t="s">
        <v>480</v>
      </c>
      <c r="F56" s="6" t="s">
        <v>210</v>
      </c>
      <c r="G56" s="10" t="s">
        <v>211</v>
      </c>
      <c r="H56" s="10" t="n">
        <v>0</v>
      </c>
      <c r="I56" s="10" t="n">
        <v>0</v>
      </c>
      <c r="J56" s="11" t="s">
        <v>88</v>
      </c>
      <c r="K56" s="11" t="s">
        <v>88</v>
      </c>
      <c r="L56" s="11" t="s">
        <v>88</v>
      </c>
      <c r="M56" s="11" t="s">
        <v>212</v>
      </c>
      <c r="N56" s="6" t="s">
        <v>621</v>
      </c>
      <c r="O56" s="6" t="s">
        <v>465</v>
      </c>
    </row>
    <row r="57" customFormat="false" ht="15" hidden="false" customHeight="true" outlineLevel="0" collapsed="false">
      <c r="A57" s="6" t="s">
        <v>482</v>
      </c>
      <c r="B57" s="6" t="s">
        <v>456</v>
      </c>
      <c r="C57" s="6" t="s">
        <v>207</v>
      </c>
      <c r="D57" s="6" t="s">
        <v>483</v>
      </c>
      <c r="E57" s="6" t="s">
        <v>484</v>
      </c>
      <c r="F57" s="6" t="s">
        <v>236</v>
      </c>
      <c r="G57" s="10" t="s">
        <v>211</v>
      </c>
      <c r="H57" s="10" t="n">
        <v>0</v>
      </c>
      <c r="I57" s="10" t="n">
        <v>0</v>
      </c>
      <c r="J57" s="11" t="s">
        <v>88</v>
      </c>
      <c r="K57" s="11" t="s">
        <v>213</v>
      </c>
      <c r="L57" s="11" t="s">
        <v>88</v>
      </c>
      <c r="M57" s="11" t="s">
        <v>88</v>
      </c>
      <c r="N57" s="6" t="s">
        <v>622</v>
      </c>
      <c r="O57" s="6" t="s">
        <v>465</v>
      </c>
    </row>
    <row r="58" customFormat="false" ht="23.25" hidden="false" customHeight="true" outlineLevel="0" collapsed="false">
      <c r="A58" s="12" t="s">
        <v>485</v>
      </c>
      <c r="B58" s="6" t="s">
        <v>486</v>
      </c>
      <c r="C58" s="6" t="s">
        <v>207</v>
      </c>
      <c r="D58" s="6" t="s">
        <v>487</v>
      </c>
      <c r="E58" s="6" t="s">
        <v>488</v>
      </c>
      <c r="F58" s="12" t="s">
        <v>258</v>
      </c>
      <c r="G58" s="10" t="s">
        <v>259</v>
      </c>
      <c r="H58" s="10" t="n">
        <v>0</v>
      </c>
      <c r="I58" s="10" t="n">
        <v>0</v>
      </c>
      <c r="J58" s="11" t="s">
        <v>88</v>
      </c>
      <c r="K58" s="11" t="s">
        <v>88</v>
      </c>
      <c r="L58" s="11" t="s">
        <v>88</v>
      </c>
      <c r="M58" s="11" t="s">
        <v>88</v>
      </c>
      <c r="N58" s="6" t="s">
        <v>575</v>
      </c>
      <c r="O58" s="6"/>
    </row>
    <row r="59" customFormat="false" ht="15" hidden="false" customHeight="true" outlineLevel="0" collapsed="false">
      <c r="A59" s="6" t="s">
        <v>490</v>
      </c>
      <c r="B59" s="6" t="s">
        <v>486</v>
      </c>
      <c r="C59" s="6" t="s">
        <v>207</v>
      </c>
      <c r="D59" s="6" t="s">
        <v>491</v>
      </c>
      <c r="E59" s="6" t="s">
        <v>492</v>
      </c>
      <c r="F59" s="6" t="s">
        <v>236</v>
      </c>
      <c r="G59" s="10" t="s">
        <v>211</v>
      </c>
      <c r="H59" s="10" t="n">
        <v>0</v>
      </c>
      <c r="I59" s="10" t="n">
        <v>0</v>
      </c>
      <c r="J59" s="11" t="s">
        <v>213</v>
      </c>
      <c r="K59" s="11" t="s">
        <v>213</v>
      </c>
      <c r="L59" s="11" t="s">
        <v>88</v>
      </c>
      <c r="M59" s="11" t="s">
        <v>213</v>
      </c>
      <c r="N59" s="6" t="s">
        <v>623</v>
      </c>
      <c r="O59" s="6"/>
    </row>
    <row r="60" customFormat="false" ht="15" hidden="false" customHeight="true" outlineLevel="0" collapsed="false">
      <c r="A60" s="12" t="s">
        <v>493</v>
      </c>
      <c r="B60" s="6" t="s">
        <v>486</v>
      </c>
      <c r="C60" s="6" t="s">
        <v>207</v>
      </c>
      <c r="D60" s="6" t="s">
        <v>494</v>
      </c>
      <c r="E60" s="6" t="s">
        <v>495</v>
      </c>
      <c r="F60" s="12" t="s">
        <v>258</v>
      </c>
      <c r="G60" s="10" t="s">
        <v>259</v>
      </c>
      <c r="H60" s="10" t="n">
        <v>0</v>
      </c>
      <c r="I60" s="10" t="n">
        <v>0</v>
      </c>
      <c r="J60" s="11" t="s">
        <v>88</v>
      </c>
      <c r="K60" s="11" t="s">
        <v>88</v>
      </c>
      <c r="L60" s="11" t="s">
        <v>88</v>
      </c>
      <c r="M60" s="11" t="s">
        <v>88</v>
      </c>
      <c r="N60" s="6" t="s">
        <v>495</v>
      </c>
      <c r="O60" s="6"/>
    </row>
    <row r="61" customFormat="false" ht="34.5" hidden="false" customHeight="true" outlineLevel="0" collapsed="false">
      <c r="A61" s="6" t="s">
        <v>496</v>
      </c>
      <c r="B61" s="6" t="s">
        <v>497</v>
      </c>
      <c r="C61" s="6" t="s">
        <v>207</v>
      </c>
      <c r="D61" s="6" t="s">
        <v>498</v>
      </c>
      <c r="E61" s="6" t="s">
        <v>499</v>
      </c>
      <c r="F61" s="6" t="s">
        <v>210</v>
      </c>
      <c r="G61" s="10" t="s">
        <v>211</v>
      </c>
      <c r="H61" s="10" t="n">
        <v>1</v>
      </c>
      <c r="I61" s="10" t="n">
        <v>0</v>
      </c>
      <c r="J61" s="11" t="s">
        <v>213</v>
      </c>
      <c r="K61" s="11" t="s">
        <v>213</v>
      </c>
      <c r="L61" s="11" t="s">
        <v>213</v>
      </c>
      <c r="M61" s="11" t="s">
        <v>213</v>
      </c>
      <c r="N61" s="6" t="s">
        <v>576</v>
      </c>
      <c r="O61" s="6" t="s">
        <v>501</v>
      </c>
    </row>
    <row r="62" customFormat="false" ht="34.5" hidden="false" customHeight="true" outlineLevel="0" collapsed="false">
      <c r="A62" s="6" t="s">
        <v>502</v>
      </c>
      <c r="B62" s="6" t="s">
        <v>497</v>
      </c>
      <c r="C62" s="6" t="s">
        <v>207</v>
      </c>
      <c r="D62" s="6" t="s">
        <v>503</v>
      </c>
      <c r="E62" s="6" t="s">
        <v>504</v>
      </c>
      <c r="F62" s="6" t="s">
        <v>236</v>
      </c>
      <c r="G62" s="10" t="s">
        <v>211</v>
      </c>
      <c r="H62" s="10" t="n">
        <v>1</v>
      </c>
      <c r="I62" s="10" t="n">
        <v>0</v>
      </c>
      <c r="J62" s="11" t="s">
        <v>213</v>
      </c>
      <c r="K62" s="11" t="s">
        <v>213</v>
      </c>
      <c r="L62" s="11" t="s">
        <v>213</v>
      </c>
      <c r="M62" s="11" t="s">
        <v>88</v>
      </c>
      <c r="N62" s="6" t="s">
        <v>504</v>
      </c>
      <c r="O62" s="6" t="s">
        <v>506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8"/>
    <col collapsed="false" customWidth="true" hidden="false" outlineLevel="0" max="4" min="3" style="1" width="12"/>
    <col collapsed="false" customWidth="true" hidden="false" outlineLevel="0" max="5" min="5" style="1" width="11"/>
    <col collapsed="false" customWidth="true" hidden="false" outlineLevel="0" max="8" min="6" style="1" width="10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1" min="11" style="1" width="8"/>
    <col collapsed="false" customWidth="true" hidden="false" outlineLevel="0" max="12" min="12" style="1" width="11"/>
    <col collapsed="false" customWidth="true" hidden="false" outlineLevel="0" max="13" min="13" style="1" width="9"/>
    <col collapsed="false" customWidth="true" hidden="false" outlineLevel="0" max="14" min="14" style="1" width="8"/>
    <col collapsed="false" customWidth="true" hidden="false" outlineLevel="0" max="15" min="15" style="1" width="11"/>
    <col collapsed="false" customWidth="true" hidden="false" outlineLevel="0" max="16" min="16" style="1" width="9"/>
    <col collapsed="false" customWidth="true" hidden="false" outlineLevel="0" max="17" min="17" style="1" width="60"/>
  </cols>
  <sheetData>
    <row r="1" customFormat="false" ht="30" hidden="false" customHeight="true" outlineLevel="0" collapsed="false">
      <c r="A1" s="5" t="s">
        <v>27</v>
      </c>
      <c r="B1" s="5" t="s">
        <v>28</v>
      </c>
      <c r="C1" s="5" t="s">
        <v>624</v>
      </c>
      <c r="D1" s="5" t="s">
        <v>31</v>
      </c>
      <c r="E1" s="5" t="s">
        <v>625</v>
      </c>
      <c r="F1" s="5" t="s">
        <v>32</v>
      </c>
      <c r="G1" s="5" t="s">
        <v>626</v>
      </c>
      <c r="H1" s="5" t="s">
        <v>627</v>
      </c>
      <c r="I1" s="5" t="s">
        <v>628</v>
      </c>
      <c r="J1" s="5" t="s">
        <v>629</v>
      </c>
      <c r="K1" s="5" t="s">
        <v>630</v>
      </c>
      <c r="L1" s="5" t="s">
        <v>631</v>
      </c>
      <c r="M1" s="5" t="s">
        <v>632</v>
      </c>
      <c r="N1" s="5" t="s">
        <v>633</v>
      </c>
      <c r="O1" s="5" t="s">
        <v>634</v>
      </c>
      <c r="P1" s="5" t="s">
        <v>635</v>
      </c>
      <c r="Q1" s="5" t="s">
        <v>33</v>
      </c>
    </row>
    <row r="2" customFormat="false" ht="15" hidden="false" customHeight="true" outlineLevel="0" collapsed="false">
      <c r="A2" s="6" t="s">
        <v>34</v>
      </c>
      <c r="B2" s="6" t="s">
        <v>35</v>
      </c>
      <c r="C2" s="10" t="s">
        <v>636</v>
      </c>
      <c r="D2" s="10" t="s">
        <v>637</v>
      </c>
      <c r="E2" s="10" t="s">
        <v>211</v>
      </c>
      <c r="F2" s="10" t="n">
        <v>0.999</v>
      </c>
      <c r="G2" s="10" t="s">
        <v>638</v>
      </c>
      <c r="H2" s="10" t="s">
        <v>638</v>
      </c>
      <c r="I2" s="10" t="n">
        <v>0</v>
      </c>
      <c r="J2" s="10" t="n">
        <v>4</v>
      </c>
      <c r="K2" s="10" t="n">
        <v>0.05</v>
      </c>
      <c r="L2" s="10" t="n">
        <v>50</v>
      </c>
      <c r="M2" s="10" t="n">
        <v>3</v>
      </c>
      <c r="N2" s="10" t="n">
        <v>0.05</v>
      </c>
      <c r="O2" s="10" t="n">
        <v>100</v>
      </c>
      <c r="P2" s="10" t="n">
        <v>1.5</v>
      </c>
      <c r="Q2" s="6" t="s">
        <v>639</v>
      </c>
    </row>
    <row r="3" customFormat="false" ht="15" hidden="false" customHeight="true" outlineLevel="0" collapsed="false">
      <c r="A3" s="6" t="s">
        <v>34</v>
      </c>
      <c r="B3" s="6" t="s">
        <v>36</v>
      </c>
      <c r="C3" s="10" t="s">
        <v>636</v>
      </c>
      <c r="D3" s="10" t="s">
        <v>637</v>
      </c>
      <c r="E3" s="10" t="s">
        <v>211</v>
      </c>
      <c r="F3" s="10" t="n">
        <v>0.999</v>
      </c>
      <c r="G3" s="10" t="s">
        <v>638</v>
      </c>
      <c r="H3" s="10" t="s">
        <v>638</v>
      </c>
      <c r="I3" s="10" t="n">
        <v>0</v>
      </c>
      <c r="J3" s="10" t="n">
        <v>4</v>
      </c>
      <c r="K3" s="10" t="n">
        <v>0.05</v>
      </c>
      <c r="L3" s="10" t="n">
        <v>50</v>
      </c>
      <c r="M3" s="10" t="n">
        <v>3</v>
      </c>
      <c r="N3" s="10" t="n">
        <v>0.05</v>
      </c>
      <c r="O3" s="10" t="n">
        <v>100</v>
      </c>
      <c r="P3" s="10" t="n">
        <v>1.5</v>
      </c>
      <c r="Q3" s="6" t="s">
        <v>640</v>
      </c>
    </row>
    <row r="4" customFormat="false" ht="34.5" hidden="false" customHeight="true" outlineLevel="0" collapsed="false">
      <c r="A4" s="6" t="s">
        <v>34</v>
      </c>
      <c r="B4" s="6" t="s">
        <v>37</v>
      </c>
      <c r="C4" s="10" t="s">
        <v>636</v>
      </c>
      <c r="D4" s="10" t="s">
        <v>637</v>
      </c>
      <c r="E4" s="10" t="s">
        <v>211</v>
      </c>
      <c r="F4" s="10" t="n">
        <v>0.995</v>
      </c>
      <c r="G4" s="10" t="s">
        <v>638</v>
      </c>
      <c r="H4" s="10" t="s">
        <v>638</v>
      </c>
      <c r="I4" s="10" t="n">
        <v>1</v>
      </c>
      <c r="J4" s="10" t="n">
        <v>3</v>
      </c>
      <c r="K4" s="10" t="n">
        <v>0.05</v>
      </c>
      <c r="L4" s="10" t="n">
        <v>100</v>
      </c>
      <c r="M4" s="10" t="n">
        <v>2</v>
      </c>
      <c r="N4" s="10" t="n">
        <v>0.05</v>
      </c>
      <c r="O4" s="10" t="n">
        <v>100</v>
      </c>
      <c r="P4" s="10" t="n">
        <v>1.6</v>
      </c>
      <c r="Q4" s="6" t="s">
        <v>641</v>
      </c>
    </row>
    <row r="5" customFormat="false" ht="15" hidden="false" customHeight="true" outlineLevel="0" collapsed="false">
      <c r="A5" s="6" t="s">
        <v>34</v>
      </c>
      <c r="B5" s="6" t="s">
        <v>38</v>
      </c>
      <c r="C5" s="10" t="s">
        <v>636</v>
      </c>
      <c r="D5" s="10" t="s">
        <v>637</v>
      </c>
      <c r="E5" s="10" t="s">
        <v>211</v>
      </c>
      <c r="F5" s="10" t="n">
        <v>0.999</v>
      </c>
      <c r="G5" s="10" t="s">
        <v>638</v>
      </c>
      <c r="H5" s="10" t="s">
        <v>642</v>
      </c>
      <c r="I5" s="10" t="n">
        <v>0</v>
      </c>
      <c r="J5" s="10" t="n">
        <v>3</v>
      </c>
      <c r="K5" s="10" t="n">
        <v>0.05</v>
      </c>
      <c r="L5" s="10" t="n">
        <v>50</v>
      </c>
      <c r="M5" s="10" t="n">
        <v>3</v>
      </c>
      <c r="N5" s="10" t="n">
        <v>0.05</v>
      </c>
      <c r="O5" s="10" t="n">
        <v>100</v>
      </c>
      <c r="P5" s="10" t="n">
        <v>1.5</v>
      </c>
      <c r="Q5" s="6" t="s">
        <v>643</v>
      </c>
    </row>
    <row r="6" customFormat="false" ht="15" hidden="false" customHeight="true" outlineLevel="0" collapsed="false">
      <c r="A6" s="6" t="s">
        <v>34</v>
      </c>
      <c r="B6" s="6" t="s">
        <v>39</v>
      </c>
      <c r="C6" s="10" t="s">
        <v>636</v>
      </c>
      <c r="D6" s="10" t="s">
        <v>637</v>
      </c>
      <c r="E6" s="10" t="s">
        <v>211</v>
      </c>
      <c r="F6" s="10" t="n">
        <v>0.999</v>
      </c>
      <c r="G6" s="10" t="s">
        <v>638</v>
      </c>
      <c r="H6" s="10" t="s">
        <v>642</v>
      </c>
      <c r="I6" s="10" t="n">
        <v>0</v>
      </c>
      <c r="J6" s="10" t="n">
        <v>3</v>
      </c>
      <c r="K6" s="10" t="n">
        <v>0.05</v>
      </c>
      <c r="L6" s="10" t="n">
        <v>50</v>
      </c>
      <c r="M6" s="10" t="n">
        <v>3</v>
      </c>
      <c r="N6" s="10" t="n">
        <v>0.05</v>
      </c>
      <c r="O6" s="10" t="n">
        <v>100</v>
      </c>
      <c r="P6" s="10" t="n">
        <v>1.5</v>
      </c>
      <c r="Q6" s="6" t="s">
        <v>644</v>
      </c>
    </row>
    <row r="7" customFormat="false" ht="15" hidden="false" customHeight="true" outlineLevel="0" collapsed="false">
      <c r="A7" s="6" t="s">
        <v>40</v>
      </c>
      <c r="B7" s="6" t="s">
        <v>41</v>
      </c>
      <c r="C7" s="10" t="s">
        <v>636</v>
      </c>
      <c r="D7" s="10" t="s">
        <v>637</v>
      </c>
      <c r="E7" s="10" t="s">
        <v>211</v>
      </c>
      <c r="F7" s="10" t="n">
        <v>0.999</v>
      </c>
      <c r="G7" s="10" t="s">
        <v>638</v>
      </c>
      <c r="H7" s="10" t="s">
        <v>642</v>
      </c>
      <c r="I7" s="10" t="n">
        <v>0</v>
      </c>
      <c r="J7" s="10" t="n">
        <v>3</v>
      </c>
      <c r="K7" s="10" t="n">
        <v>0.05</v>
      </c>
      <c r="L7" s="10" t="n">
        <v>50</v>
      </c>
      <c r="M7" s="10" t="n">
        <v>3</v>
      </c>
      <c r="N7" s="10" t="n">
        <v>0.05</v>
      </c>
      <c r="O7" s="10" t="n">
        <v>100</v>
      </c>
      <c r="P7" s="10" t="n">
        <v>1.5</v>
      </c>
      <c r="Q7" s="6" t="s">
        <v>645</v>
      </c>
    </row>
    <row r="8" customFormat="false" ht="15" hidden="false" customHeight="true" outlineLevel="0" collapsed="false">
      <c r="A8" s="6" t="s">
        <v>40</v>
      </c>
      <c r="B8" s="6" t="s">
        <v>42</v>
      </c>
      <c r="C8" s="10" t="s">
        <v>636</v>
      </c>
      <c r="D8" s="10" t="s">
        <v>637</v>
      </c>
      <c r="E8" s="10" t="s">
        <v>211</v>
      </c>
      <c r="F8" s="10" t="n">
        <v>0.995</v>
      </c>
      <c r="G8" s="10" t="s">
        <v>638</v>
      </c>
      <c r="H8" s="10" t="s">
        <v>642</v>
      </c>
      <c r="I8" s="10" t="n">
        <v>0</v>
      </c>
      <c r="J8" s="10" t="n">
        <v>3</v>
      </c>
      <c r="K8" s="10" t="n">
        <v>0.05</v>
      </c>
      <c r="L8" s="10" t="n">
        <v>30</v>
      </c>
      <c r="M8" s="10" t="n">
        <v>2</v>
      </c>
      <c r="N8" s="10" t="n">
        <v>0.05</v>
      </c>
      <c r="O8" s="10" t="n">
        <v>100</v>
      </c>
      <c r="P8" s="10" t="n">
        <v>1.6</v>
      </c>
      <c r="Q8" s="6" t="s">
        <v>646</v>
      </c>
    </row>
    <row r="9" customFormat="false" ht="15" hidden="false" customHeight="true" outlineLevel="0" collapsed="false">
      <c r="A9" s="6" t="s">
        <v>40</v>
      </c>
      <c r="B9" s="6" t="s">
        <v>43</v>
      </c>
      <c r="C9" s="10" t="s">
        <v>636</v>
      </c>
      <c r="D9" s="10" t="s">
        <v>637</v>
      </c>
      <c r="E9" s="10" t="s">
        <v>211</v>
      </c>
      <c r="F9" s="10" t="n">
        <v>0.999</v>
      </c>
      <c r="G9" s="10" t="s">
        <v>638</v>
      </c>
      <c r="H9" s="10" t="s">
        <v>642</v>
      </c>
      <c r="I9" s="10" t="n">
        <v>0</v>
      </c>
      <c r="J9" s="10" t="n">
        <v>4</v>
      </c>
      <c r="K9" s="10" t="n">
        <v>0.05</v>
      </c>
      <c r="L9" s="10" t="n">
        <v>50</v>
      </c>
      <c r="M9" s="10" t="n">
        <v>3</v>
      </c>
      <c r="N9" s="10" t="n">
        <v>0.05</v>
      </c>
      <c r="O9" s="10" t="n">
        <v>100</v>
      </c>
      <c r="P9" s="10" t="n">
        <v>1.5</v>
      </c>
      <c r="Q9" s="6" t="s">
        <v>647</v>
      </c>
    </row>
    <row r="10" customFormat="false" ht="23.25" hidden="false" customHeight="true" outlineLevel="0" collapsed="false">
      <c r="A10" s="6" t="s">
        <v>40</v>
      </c>
      <c r="B10" s="6" t="s">
        <v>44</v>
      </c>
      <c r="C10" s="10" t="s">
        <v>636</v>
      </c>
      <c r="D10" s="10" t="s">
        <v>637</v>
      </c>
      <c r="E10" s="10" t="s">
        <v>211</v>
      </c>
      <c r="F10" s="10" t="n">
        <v>0.995</v>
      </c>
      <c r="G10" s="10" t="s">
        <v>638</v>
      </c>
      <c r="H10" s="10" t="s">
        <v>642</v>
      </c>
      <c r="I10" s="10" t="n">
        <v>1</v>
      </c>
      <c r="J10" s="10" t="n">
        <v>3</v>
      </c>
      <c r="K10" s="10" t="n">
        <v>0.05</v>
      </c>
      <c r="L10" s="10" t="n">
        <v>30</v>
      </c>
      <c r="M10" s="10" t="n">
        <v>2</v>
      </c>
      <c r="N10" s="10" t="n">
        <v>0.05</v>
      </c>
      <c r="O10" s="10" t="n">
        <v>100</v>
      </c>
      <c r="P10" s="10" t="n">
        <v>1.6</v>
      </c>
      <c r="Q10" s="6" t="s">
        <v>648</v>
      </c>
    </row>
    <row r="11" customFormat="false" ht="15" hidden="false" customHeight="true" outlineLevel="0" collapsed="false">
      <c r="A11" s="6" t="s">
        <v>40</v>
      </c>
      <c r="B11" s="6" t="s">
        <v>45</v>
      </c>
      <c r="C11" s="10" t="s">
        <v>636</v>
      </c>
      <c r="D11" s="10" t="s">
        <v>637</v>
      </c>
      <c r="E11" s="10" t="s">
        <v>211</v>
      </c>
      <c r="F11" s="10" t="n">
        <v>0.99</v>
      </c>
      <c r="G11" s="10" t="s">
        <v>638</v>
      </c>
      <c r="H11" s="10" t="s">
        <v>642</v>
      </c>
      <c r="I11" s="10" t="n">
        <v>0</v>
      </c>
      <c r="J11" s="10" t="n">
        <v>3</v>
      </c>
      <c r="K11" s="10" t="n">
        <v>0.05</v>
      </c>
      <c r="L11" s="10" t="n">
        <v>30</v>
      </c>
      <c r="M11" s="10" t="n">
        <v>2</v>
      </c>
      <c r="N11" s="10" t="n">
        <v>0.05</v>
      </c>
      <c r="O11" s="10" t="n">
        <v>100</v>
      </c>
      <c r="P11" s="10" t="n">
        <v>1.7</v>
      </c>
      <c r="Q11" s="6" t="s">
        <v>649</v>
      </c>
    </row>
    <row r="12" customFormat="false" ht="15" hidden="false" customHeight="true" outlineLevel="0" collapsed="false">
      <c r="A12" s="6" t="s">
        <v>40</v>
      </c>
      <c r="B12" s="6" t="s">
        <v>46</v>
      </c>
      <c r="C12" s="10" t="s">
        <v>636</v>
      </c>
      <c r="D12" s="10" t="s">
        <v>637</v>
      </c>
      <c r="E12" s="10" t="s">
        <v>211</v>
      </c>
      <c r="F12" s="10" t="n">
        <v>0.999</v>
      </c>
      <c r="G12" s="10" t="s">
        <v>638</v>
      </c>
      <c r="H12" s="10" t="s">
        <v>642</v>
      </c>
      <c r="I12" s="10" t="n">
        <v>0</v>
      </c>
      <c r="J12" s="10" t="n">
        <v>3</v>
      </c>
      <c r="K12" s="10" t="n">
        <v>0.05</v>
      </c>
      <c r="L12" s="10" t="n">
        <v>30</v>
      </c>
      <c r="M12" s="10" t="n">
        <v>3</v>
      </c>
      <c r="N12" s="10" t="n">
        <v>0.05</v>
      </c>
      <c r="O12" s="10" t="n">
        <v>100</v>
      </c>
      <c r="P12" s="10" t="n">
        <v>1.5</v>
      </c>
      <c r="Q12" s="6" t="s">
        <v>650</v>
      </c>
    </row>
    <row r="13" customFormat="false" ht="15" hidden="false" customHeight="true" outlineLevel="0" collapsed="false">
      <c r="A13" s="6" t="s">
        <v>47</v>
      </c>
      <c r="B13" s="6" t="s">
        <v>38</v>
      </c>
      <c r="C13" s="10" t="s">
        <v>636</v>
      </c>
      <c r="D13" s="10" t="s">
        <v>637</v>
      </c>
      <c r="E13" s="10" t="s">
        <v>211</v>
      </c>
      <c r="F13" s="10" t="n">
        <v>0.999</v>
      </c>
      <c r="G13" s="10" t="s">
        <v>638</v>
      </c>
      <c r="H13" s="10" t="s">
        <v>642</v>
      </c>
      <c r="I13" s="10" t="n">
        <v>0</v>
      </c>
      <c r="J13" s="10" t="n">
        <v>4</v>
      </c>
      <c r="K13" s="10" t="n">
        <v>0.05</v>
      </c>
      <c r="L13" s="10" t="n">
        <v>50</v>
      </c>
      <c r="M13" s="10" t="n">
        <v>3</v>
      </c>
      <c r="N13" s="10" t="n">
        <v>0.05</v>
      </c>
      <c r="O13" s="10" t="n">
        <v>100</v>
      </c>
      <c r="P13" s="10" t="n">
        <v>1.5</v>
      </c>
      <c r="Q13" s="6" t="s">
        <v>651</v>
      </c>
    </row>
    <row r="14" customFormat="false" ht="15" hidden="false" customHeight="true" outlineLevel="0" collapsed="false">
      <c r="A14" s="6" t="s">
        <v>47</v>
      </c>
      <c r="B14" s="6" t="s">
        <v>43</v>
      </c>
      <c r="C14" s="10" t="s">
        <v>636</v>
      </c>
      <c r="D14" s="10" t="s">
        <v>637</v>
      </c>
      <c r="E14" s="10" t="s">
        <v>211</v>
      </c>
      <c r="F14" s="10" t="n">
        <v>0.999</v>
      </c>
      <c r="G14" s="10" t="s">
        <v>638</v>
      </c>
      <c r="H14" s="10" t="s">
        <v>642</v>
      </c>
      <c r="I14" s="10" t="n">
        <v>0</v>
      </c>
      <c r="J14" s="10" t="n">
        <v>3</v>
      </c>
      <c r="K14" s="10" t="n">
        <v>0.05</v>
      </c>
      <c r="L14" s="10" t="n">
        <v>50</v>
      </c>
      <c r="M14" s="10" t="n">
        <v>3</v>
      </c>
      <c r="N14" s="10" t="n">
        <v>0.05</v>
      </c>
      <c r="O14" s="10" t="n">
        <v>100</v>
      </c>
      <c r="P14" s="10" t="n">
        <v>1.5</v>
      </c>
      <c r="Q14" s="6" t="s">
        <v>652</v>
      </c>
    </row>
    <row r="15" customFormat="false" ht="15" hidden="false" customHeight="true" outlineLevel="0" collapsed="false">
      <c r="A15" s="6" t="s">
        <v>47</v>
      </c>
      <c r="B15" s="6" t="s">
        <v>46</v>
      </c>
      <c r="C15" s="10" t="s">
        <v>636</v>
      </c>
      <c r="D15" s="10" t="s">
        <v>637</v>
      </c>
      <c r="E15" s="10" t="s">
        <v>211</v>
      </c>
      <c r="F15" s="10" t="n">
        <v>0.999</v>
      </c>
      <c r="G15" s="10" t="s">
        <v>638</v>
      </c>
      <c r="H15" s="10" t="s">
        <v>642</v>
      </c>
      <c r="I15" s="10" t="n">
        <v>0</v>
      </c>
      <c r="J15" s="10" t="n">
        <v>3</v>
      </c>
      <c r="K15" s="10" t="n">
        <v>0.05</v>
      </c>
      <c r="L15" s="10" t="n">
        <v>50</v>
      </c>
      <c r="M15" s="10" t="n">
        <v>3</v>
      </c>
      <c r="N15" s="10" t="n">
        <v>0.05</v>
      </c>
      <c r="O15" s="10" t="n">
        <v>100</v>
      </c>
      <c r="P15" s="10" t="n">
        <v>1.5</v>
      </c>
      <c r="Q15" s="6" t="s">
        <v>653</v>
      </c>
    </row>
    <row r="16" customFormat="false" ht="15" hidden="false" customHeight="true" outlineLevel="0" collapsed="false">
      <c r="A16" s="6" t="s">
        <v>47</v>
      </c>
      <c r="B16" s="6" t="s">
        <v>42</v>
      </c>
      <c r="C16" s="10" t="s">
        <v>636</v>
      </c>
      <c r="D16" s="10" t="s">
        <v>637</v>
      </c>
      <c r="E16" s="10" t="s">
        <v>211</v>
      </c>
      <c r="F16" s="10" t="n">
        <v>0.995</v>
      </c>
      <c r="G16" s="10" t="s">
        <v>638</v>
      </c>
      <c r="H16" s="10" t="s">
        <v>642</v>
      </c>
      <c r="I16" s="10" t="n">
        <v>0</v>
      </c>
      <c r="J16" s="10" t="n">
        <v>3</v>
      </c>
      <c r="K16" s="10" t="n">
        <v>0.05</v>
      </c>
      <c r="L16" s="10" t="n">
        <v>30</v>
      </c>
      <c r="M16" s="10" t="n">
        <v>2</v>
      </c>
      <c r="N16" s="10" t="n">
        <v>0.05</v>
      </c>
      <c r="O16" s="10" t="n">
        <v>100</v>
      </c>
      <c r="P16" s="10" t="n">
        <v>1.6</v>
      </c>
      <c r="Q16" s="6" t="s">
        <v>654</v>
      </c>
    </row>
    <row r="18" customFormat="false" ht="15" hidden="false" customHeight="true" outlineLevel="0" collapsed="false">
      <c r="A18" s="13" t="s">
        <v>655</v>
      </c>
    </row>
    <row r="19" customFormat="false" ht="15" hidden="false" customHeight="true" outlineLevel="0" collapsed="false">
      <c r="A19" s="9" t="s">
        <v>656</v>
      </c>
    </row>
    <row r="20" customFormat="false" ht="15" hidden="false" customHeight="true" outlineLevel="0" collapsed="false">
      <c r="A20" s="9" t="s">
        <v>657</v>
      </c>
    </row>
    <row r="21" customFormat="false" ht="15" hidden="false" customHeight="true" outlineLevel="0" collapsed="false">
      <c r="A21" s="9" t="s">
        <v>658</v>
      </c>
    </row>
    <row r="22" customFormat="false" ht="15" hidden="false" customHeight="true" outlineLevel="0" collapsed="false">
      <c r="A22" s="9" t="s">
        <v>659</v>
      </c>
    </row>
  </sheetData>
  <dataValidations count="4"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  <dataValidation allowBlank="false" errorStyle="stop" operator="between" showDropDown="false" showErrorMessage="false" showInputMessage="false" sqref="D2:D16" type="list">
      <formula1>"auto,gamma_gbm,gamma_glm,mean"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44"/>
    <col collapsed="false" customWidth="true" hidden="false" outlineLevel="0" max="5" min="5" style="1" width="60"/>
  </cols>
  <sheetData>
    <row r="1" customFormat="false" ht="30" hidden="false" customHeight="true" outlineLevel="0" collapsed="false">
      <c r="A1" s="5" t="s">
        <v>27</v>
      </c>
      <c r="B1" s="5" t="s">
        <v>28</v>
      </c>
      <c r="C1" s="5" t="s">
        <v>195</v>
      </c>
      <c r="D1" s="5" t="s">
        <v>660</v>
      </c>
      <c r="E1" s="5" t="s">
        <v>33</v>
      </c>
    </row>
    <row r="2" customFormat="false" ht="15" hidden="false" customHeight="true" outlineLevel="0" collapsed="false">
      <c r="A2" s="10" t="s">
        <v>34</v>
      </c>
      <c r="B2" s="10" t="s">
        <v>35</v>
      </c>
      <c r="C2" s="10" t="s">
        <v>271</v>
      </c>
      <c r="D2" s="10" t="s">
        <v>661</v>
      </c>
      <c r="E2" s="6" t="s">
        <v>662</v>
      </c>
    </row>
    <row r="3" customFormat="false" ht="23.25" hidden="false" customHeight="true" outlineLevel="0" collapsed="false">
      <c r="A3" s="10" t="s">
        <v>34</v>
      </c>
      <c r="B3" s="10" t="s">
        <v>39</v>
      </c>
      <c r="C3" s="10" t="s">
        <v>271</v>
      </c>
      <c r="D3" s="10" t="s">
        <v>661</v>
      </c>
      <c r="E3" s="6" t="s">
        <v>663</v>
      </c>
    </row>
    <row r="4" customFormat="false" ht="15" hidden="false" customHeight="true" outlineLevel="0" collapsed="false">
      <c r="A4" s="10" t="s">
        <v>34</v>
      </c>
      <c r="B4" s="10" t="s">
        <v>38</v>
      </c>
      <c r="C4" s="10" t="s">
        <v>271</v>
      </c>
      <c r="D4" s="10" t="s">
        <v>664</v>
      </c>
      <c r="E4" s="6" t="s">
        <v>665</v>
      </c>
    </row>
    <row r="5" customFormat="false" ht="15" hidden="false" customHeight="true" outlineLevel="0" collapsed="false">
      <c r="A5" s="10" t="s">
        <v>40</v>
      </c>
      <c r="B5" s="10" t="s">
        <v>46</v>
      </c>
      <c r="C5" s="10" t="s">
        <v>533</v>
      </c>
      <c r="D5" s="10" t="s">
        <v>666</v>
      </c>
      <c r="E5" s="6" t="s">
        <v>667</v>
      </c>
    </row>
    <row r="6" customFormat="false" ht="15" hidden="false" customHeight="true" outlineLevel="0" collapsed="false">
      <c r="A6" s="10" t="s">
        <v>47</v>
      </c>
      <c r="B6" s="10" t="s">
        <v>46</v>
      </c>
      <c r="C6" s="10" t="s">
        <v>533</v>
      </c>
      <c r="D6" s="10" t="s">
        <v>666</v>
      </c>
      <c r="E6" s="6" t="s">
        <v>667</v>
      </c>
    </row>
    <row r="8" customFormat="false" ht="15" hidden="false" customHeight="true" outlineLevel="0" collapsed="false">
      <c r="A8" s="9" t="s">
        <v>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80"/>
  </cols>
  <sheetData>
    <row r="1" customFormat="false" ht="30" hidden="false" customHeight="true" outlineLevel="0" collapsed="false">
      <c r="A1" s="5" t="s">
        <v>669</v>
      </c>
      <c r="B1" s="5" t="s">
        <v>670</v>
      </c>
      <c r="C1" s="5" t="s">
        <v>671</v>
      </c>
    </row>
    <row r="2" customFormat="false" ht="15" hidden="false" customHeight="true" outlineLevel="0" collapsed="false">
      <c r="A2" s="6" t="s">
        <v>672</v>
      </c>
      <c r="B2" s="10" t="s">
        <v>673</v>
      </c>
      <c r="C2" s="6" t="s">
        <v>674</v>
      </c>
    </row>
    <row r="3" customFormat="false" ht="15" hidden="false" customHeight="true" outlineLevel="0" collapsed="false">
      <c r="A3" s="6" t="s">
        <v>675</v>
      </c>
      <c r="B3" s="10" t="s">
        <v>676</v>
      </c>
      <c r="C3" s="6" t="s">
        <v>677</v>
      </c>
    </row>
    <row r="4" customFormat="false" ht="15" hidden="false" customHeight="true" outlineLevel="0" collapsed="false">
      <c r="A4" s="6" t="s">
        <v>678</v>
      </c>
      <c r="B4" s="10" t="s">
        <v>679</v>
      </c>
      <c r="C4" s="6" t="s">
        <v>680</v>
      </c>
    </row>
    <row r="5" customFormat="false" ht="15" hidden="false" customHeight="true" outlineLevel="0" collapsed="false">
      <c r="A5" s="6" t="s">
        <v>681</v>
      </c>
      <c r="B5" s="10" t="s">
        <v>682</v>
      </c>
      <c r="C5" s="6" t="s">
        <v>683</v>
      </c>
    </row>
    <row r="6" customFormat="false" ht="15" hidden="false" customHeight="true" outlineLevel="0" collapsed="false">
      <c r="A6" s="6" t="s">
        <v>684</v>
      </c>
      <c r="B6" s="10" t="s">
        <v>685</v>
      </c>
      <c r="C6" s="6" t="s">
        <v>686</v>
      </c>
    </row>
    <row r="7" customFormat="false" ht="15" hidden="false" customHeight="true" outlineLevel="0" collapsed="false">
      <c r="A7" s="6" t="s">
        <v>687</v>
      </c>
      <c r="B7" s="10" t="s">
        <v>688</v>
      </c>
      <c r="C7" s="6" t="s">
        <v>689</v>
      </c>
    </row>
    <row r="8" customFormat="false" ht="15" hidden="false" customHeight="true" outlineLevel="0" collapsed="false">
      <c r="A8" s="6" t="s">
        <v>690</v>
      </c>
      <c r="B8" s="10" t="s">
        <v>691</v>
      </c>
      <c r="C8" s="6" t="s">
        <v>692</v>
      </c>
    </row>
    <row r="9" customFormat="false" ht="15" hidden="false" customHeight="true" outlineLevel="0" collapsed="false">
      <c r="A9" s="6" t="s">
        <v>693</v>
      </c>
      <c r="B9" s="10" t="s">
        <v>694</v>
      </c>
      <c r="C9" s="6" t="s">
        <v>695</v>
      </c>
    </row>
    <row r="10" customFormat="false" ht="15" hidden="false" customHeight="true" outlineLevel="0" collapsed="false">
      <c r="A10" s="6" t="s">
        <v>696</v>
      </c>
      <c r="B10" s="10" t="s">
        <v>637</v>
      </c>
      <c r="C10" s="6" t="s">
        <v>697</v>
      </c>
    </row>
    <row r="11" customFormat="false" ht="15" hidden="false" customHeight="true" outlineLevel="0" collapsed="false">
      <c r="A11" s="6" t="s">
        <v>698</v>
      </c>
      <c r="B11" s="10" t="s">
        <v>211</v>
      </c>
      <c r="C11" s="6" t="s">
        <v>699</v>
      </c>
    </row>
    <row r="12" customFormat="false" ht="15" hidden="false" customHeight="true" outlineLevel="0" collapsed="false">
      <c r="A12" s="6" t="s">
        <v>700</v>
      </c>
      <c r="B12" s="10" t="s">
        <v>211</v>
      </c>
      <c r="C12" s="6" t="s">
        <v>701</v>
      </c>
    </row>
    <row r="13" customFormat="false" ht="15" hidden="false" customHeight="true" outlineLevel="0" collapsed="false">
      <c r="A13" s="6" t="s">
        <v>702</v>
      </c>
      <c r="B13" s="10" t="s">
        <v>703</v>
      </c>
      <c r="C13" s="6" t="s">
        <v>704</v>
      </c>
    </row>
    <row r="14" customFormat="false" ht="15" hidden="false" customHeight="true" outlineLevel="0" collapsed="false">
      <c r="A14" s="6" t="s">
        <v>705</v>
      </c>
      <c r="B14" s="10" t="s">
        <v>706</v>
      </c>
      <c r="C14" s="6"/>
    </row>
    <row r="15" customFormat="false" ht="15" hidden="false" customHeight="true" outlineLevel="0" collapsed="false">
      <c r="A15" s="6" t="s">
        <v>707</v>
      </c>
      <c r="B15" s="10" t="s">
        <v>688</v>
      </c>
      <c r="C15" s="6" t="s">
        <v>708</v>
      </c>
    </row>
    <row r="16" customFormat="false" ht="15" hidden="false" customHeight="true" outlineLevel="0" collapsed="false">
      <c r="A16" s="6" t="s">
        <v>709</v>
      </c>
      <c r="B16" s="10" t="s">
        <v>710</v>
      </c>
      <c r="C16" s="6" t="s">
        <v>711</v>
      </c>
    </row>
    <row r="17" customFormat="false" ht="15" hidden="false" customHeight="true" outlineLevel="0" collapsed="false">
      <c r="A17" s="6" t="s">
        <v>712</v>
      </c>
      <c r="B17" s="10" t="s">
        <v>710</v>
      </c>
      <c r="C17" s="6" t="s">
        <v>713</v>
      </c>
    </row>
    <row r="18" customFormat="false" ht="15" hidden="false" customHeight="true" outlineLevel="0" collapsed="false">
      <c r="A18" s="6" t="s">
        <v>714</v>
      </c>
      <c r="B18" s="10" t="s">
        <v>715</v>
      </c>
      <c r="C18" s="6" t="s">
        <v>716</v>
      </c>
    </row>
    <row r="19" customFormat="false" ht="15" hidden="false" customHeight="true" outlineLevel="0" collapsed="false">
      <c r="A19" s="6" t="s">
        <v>717</v>
      </c>
      <c r="B19" s="10" t="s">
        <v>718</v>
      </c>
      <c r="C19" s="6" t="s">
        <v>719</v>
      </c>
    </row>
    <row r="20" customFormat="false" ht="23.25" hidden="false" customHeight="true" outlineLevel="0" collapsed="false">
      <c r="A20" s="6" t="s">
        <v>720</v>
      </c>
      <c r="B20" s="10" t="s">
        <v>721</v>
      </c>
      <c r="C20" s="6" t="s">
        <v>722</v>
      </c>
    </row>
    <row r="21" customFormat="false" ht="15" hidden="false" customHeight="true" outlineLevel="0" collapsed="false">
      <c r="A21" s="6" t="s">
        <v>723</v>
      </c>
      <c r="B21" s="10" t="s">
        <v>724</v>
      </c>
      <c r="C21" s="6" t="s">
        <v>725</v>
      </c>
    </row>
    <row r="22" customFormat="false" ht="15" hidden="false" customHeight="true" outlineLevel="0" collapsed="false">
      <c r="A22" s="6" t="s">
        <v>726</v>
      </c>
      <c r="B22" s="10" t="s">
        <v>727</v>
      </c>
      <c r="C22" s="6" t="s">
        <v>728</v>
      </c>
    </row>
    <row r="23" customFormat="false" ht="23.25" hidden="false" customHeight="true" outlineLevel="0" collapsed="false">
      <c r="A23" s="6" t="s">
        <v>729</v>
      </c>
      <c r="B23" s="10" t="s">
        <v>730</v>
      </c>
      <c r="C23" s="6" t="s">
        <v>731</v>
      </c>
    </row>
    <row r="24" customFormat="false" ht="23.25" hidden="false" customHeight="true" outlineLevel="0" collapsed="false">
      <c r="A24" s="6" t="s">
        <v>732</v>
      </c>
      <c r="B24" s="10" t="s">
        <v>715</v>
      </c>
      <c r="C24" s="6" t="s">
        <v>733</v>
      </c>
    </row>
    <row r="25" customFormat="false" ht="15" hidden="false" customHeight="true" outlineLevel="0" collapsed="false">
      <c r="A25" s="6" t="s">
        <v>734</v>
      </c>
      <c r="B25" s="10" t="s">
        <v>673</v>
      </c>
      <c r="C25" s="6" t="s">
        <v>735</v>
      </c>
    </row>
    <row r="26" customFormat="false" ht="15" hidden="false" customHeight="true" outlineLevel="0" collapsed="false">
      <c r="A26" s="6" t="s">
        <v>736</v>
      </c>
      <c r="B26" s="10" t="s">
        <v>737</v>
      </c>
      <c r="C26" s="6" t="s">
        <v>738</v>
      </c>
    </row>
    <row r="27" customFormat="false" ht="23.25" hidden="false" customHeight="true" outlineLevel="0" collapsed="false">
      <c r="A27" s="6" t="s">
        <v>739</v>
      </c>
      <c r="B27" s="10" t="s">
        <v>740</v>
      </c>
      <c r="C27" s="6" t="s">
        <v>741</v>
      </c>
    </row>
    <row r="28" customFormat="false" ht="15" hidden="false" customHeight="true" outlineLevel="0" collapsed="false">
      <c r="A28" s="6" t="s">
        <v>742</v>
      </c>
      <c r="B28" s="10" t="s">
        <v>743</v>
      </c>
      <c r="C28" s="6" t="s">
        <v>744</v>
      </c>
    </row>
    <row r="29" customFormat="false" ht="23.25" hidden="false" customHeight="true" outlineLevel="0" collapsed="false">
      <c r="A29" s="6" t="s">
        <v>745</v>
      </c>
      <c r="B29" s="10" t="s">
        <v>746</v>
      </c>
      <c r="C29" s="6" t="s">
        <v>747</v>
      </c>
    </row>
    <row r="30" customFormat="false" ht="15" hidden="false" customHeight="true" outlineLevel="0" collapsed="false">
      <c r="A30" s="6" t="s">
        <v>748</v>
      </c>
      <c r="B30" s="10" t="s">
        <v>727</v>
      </c>
      <c r="C30" s="6" t="s">
        <v>749</v>
      </c>
    </row>
    <row r="31" customFormat="false" ht="23.25" hidden="false" customHeight="true" outlineLevel="0" collapsed="false">
      <c r="A31" s="6" t="s">
        <v>750</v>
      </c>
      <c r="B31" s="10" t="s">
        <v>751</v>
      </c>
      <c r="C31" s="6" t="s">
        <v>752</v>
      </c>
    </row>
    <row r="32" customFormat="false" ht="23.25" hidden="false" customHeight="true" outlineLevel="0" collapsed="false">
      <c r="A32" s="6" t="s">
        <v>753</v>
      </c>
      <c r="B32" s="10" t="s">
        <v>259</v>
      </c>
      <c r="C32" s="6" t="s">
        <v>754</v>
      </c>
    </row>
    <row r="33" customFormat="false" ht="15" hidden="false" customHeight="true" outlineLevel="0" collapsed="false">
      <c r="A33" s="6" t="s">
        <v>755</v>
      </c>
      <c r="B33" s="10" t="s">
        <v>756</v>
      </c>
      <c r="C33" s="6" t="s">
        <v>757</v>
      </c>
    </row>
    <row r="34" customFormat="false" ht="15" hidden="false" customHeight="true" outlineLevel="0" collapsed="false">
      <c r="A34" s="6" t="s">
        <v>758</v>
      </c>
      <c r="B34" s="10" t="s">
        <v>759</v>
      </c>
      <c r="C34" s="6" t="s">
        <v>760</v>
      </c>
    </row>
    <row r="35" customFormat="false" ht="15" hidden="false" customHeight="true" outlineLevel="0" collapsed="false">
      <c r="A35" s="6" t="s">
        <v>761</v>
      </c>
      <c r="B35" s="10" t="s">
        <v>762</v>
      </c>
      <c r="C35" s="6"/>
    </row>
    <row r="36" customFormat="false" ht="23.25" hidden="false" customHeight="true" outlineLevel="0" collapsed="false">
      <c r="A36" s="6" t="s">
        <v>763</v>
      </c>
      <c r="B36" s="10" t="s">
        <v>211</v>
      </c>
      <c r="C36" s="6" t="s">
        <v>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3" min="3" style="1" width="46"/>
    <col collapsed="false" customWidth="true" hidden="false" outlineLevel="0" max="4" min="4" style="1" width="34"/>
    <col collapsed="false" customWidth="true" hidden="false" outlineLevel="0" max="7" min="5" style="1" width="11"/>
    <col collapsed="false" customWidth="true" hidden="false" outlineLevel="0" max="8" min="8" style="1" width="44"/>
  </cols>
  <sheetData>
    <row r="1" customFormat="false" ht="30" hidden="false" customHeight="true" outlineLevel="0" collapsed="false">
      <c r="A1" s="5" t="s">
        <v>195</v>
      </c>
      <c r="B1" s="5" t="s">
        <v>196</v>
      </c>
      <c r="C1" s="5" t="s">
        <v>198</v>
      </c>
      <c r="D1" s="5" t="s">
        <v>199</v>
      </c>
      <c r="E1" s="5" t="s">
        <v>34</v>
      </c>
      <c r="F1" s="5" t="s">
        <v>40</v>
      </c>
      <c r="G1" s="5" t="s">
        <v>47</v>
      </c>
      <c r="H1" s="5" t="s">
        <v>204</v>
      </c>
    </row>
    <row r="2" customFormat="false" ht="15" hidden="false" customHeight="true" outlineLevel="0" collapsed="false">
      <c r="A2" s="6" t="s">
        <v>765</v>
      </c>
      <c r="B2" s="6" t="s">
        <v>301</v>
      </c>
      <c r="C2" s="6" t="s">
        <v>766</v>
      </c>
      <c r="D2" s="6" t="s">
        <v>767</v>
      </c>
      <c r="E2" s="6" t="s">
        <v>768</v>
      </c>
      <c r="F2" s="6" t="s">
        <v>768</v>
      </c>
      <c r="G2" s="6" t="s">
        <v>768</v>
      </c>
      <c r="H2" s="6" t="s">
        <v>769</v>
      </c>
    </row>
    <row r="3" customFormat="false" ht="23.25" hidden="false" customHeight="true" outlineLevel="0" collapsed="false">
      <c r="A3" s="6" t="s">
        <v>770</v>
      </c>
      <c r="B3" s="6" t="s">
        <v>301</v>
      </c>
      <c r="C3" s="6" t="s">
        <v>771</v>
      </c>
      <c r="D3" s="6" t="s">
        <v>772</v>
      </c>
      <c r="E3" s="6" t="s">
        <v>768</v>
      </c>
      <c r="F3" s="6" t="s">
        <v>768</v>
      </c>
      <c r="G3" s="6" t="s">
        <v>768</v>
      </c>
      <c r="H3" s="6" t="s">
        <v>769</v>
      </c>
    </row>
    <row r="4" customFormat="false" ht="15" hidden="false" customHeight="true" outlineLevel="0" collapsed="false">
      <c r="A4" s="6" t="s">
        <v>773</v>
      </c>
      <c r="B4" s="6" t="s">
        <v>301</v>
      </c>
      <c r="C4" s="6" t="s">
        <v>774</v>
      </c>
      <c r="D4" s="6" t="s">
        <v>775</v>
      </c>
      <c r="E4" s="6" t="s">
        <v>768</v>
      </c>
      <c r="F4" s="6" t="s">
        <v>768</v>
      </c>
      <c r="G4" s="6" t="s">
        <v>768</v>
      </c>
      <c r="H4" s="6" t="s">
        <v>769</v>
      </c>
    </row>
    <row r="5" customFormat="false" ht="15" hidden="false" customHeight="true" outlineLevel="0" collapsed="false">
      <c r="A5" s="6" t="s">
        <v>776</v>
      </c>
      <c r="B5" s="6" t="s">
        <v>301</v>
      </c>
      <c r="C5" s="6" t="s">
        <v>777</v>
      </c>
      <c r="D5" s="6" t="s">
        <v>778</v>
      </c>
      <c r="E5" s="6" t="s">
        <v>768</v>
      </c>
      <c r="F5" s="6" t="s">
        <v>768</v>
      </c>
      <c r="G5" s="6" t="s">
        <v>768</v>
      </c>
      <c r="H5" s="6" t="s">
        <v>769</v>
      </c>
    </row>
    <row r="6" customFormat="false" ht="15" hidden="false" customHeight="true" outlineLevel="0" collapsed="false">
      <c r="A6" s="6" t="s">
        <v>779</v>
      </c>
      <c r="B6" s="6" t="s">
        <v>301</v>
      </c>
      <c r="C6" s="6" t="s">
        <v>780</v>
      </c>
      <c r="D6" s="6" t="s">
        <v>781</v>
      </c>
      <c r="E6" s="6" t="s">
        <v>768</v>
      </c>
      <c r="F6" s="6" t="s">
        <v>768</v>
      </c>
      <c r="G6" s="6" t="s">
        <v>768</v>
      </c>
      <c r="H6" s="6" t="s">
        <v>782</v>
      </c>
    </row>
    <row r="7" customFormat="false" ht="15" hidden="false" customHeight="true" outlineLevel="0" collapsed="false">
      <c r="A7" s="6" t="s">
        <v>783</v>
      </c>
      <c r="B7" s="6" t="s">
        <v>301</v>
      </c>
      <c r="C7" s="6" t="s">
        <v>784</v>
      </c>
      <c r="D7" s="6" t="s">
        <v>785</v>
      </c>
      <c r="E7" s="6" t="s">
        <v>768</v>
      </c>
      <c r="F7" s="6" t="s">
        <v>768</v>
      </c>
      <c r="G7" s="6" t="s">
        <v>768</v>
      </c>
      <c r="H7" s="6" t="s">
        <v>786</v>
      </c>
    </row>
    <row r="8" customFormat="false" ht="15" hidden="false" customHeight="true" outlineLevel="0" collapsed="false">
      <c r="A8" s="6" t="s">
        <v>787</v>
      </c>
      <c r="B8" s="6" t="s">
        <v>788</v>
      </c>
      <c r="C8" s="6" t="s">
        <v>789</v>
      </c>
      <c r="D8" s="6" t="s">
        <v>790</v>
      </c>
      <c r="E8" s="6" t="s">
        <v>768</v>
      </c>
      <c r="F8" s="6" t="s">
        <v>768</v>
      </c>
      <c r="G8" s="6" t="s">
        <v>768</v>
      </c>
      <c r="H8" s="6" t="s">
        <v>791</v>
      </c>
    </row>
    <row r="9" customFormat="false" ht="15" hidden="false" customHeight="true" outlineLevel="0" collapsed="false">
      <c r="A9" s="6" t="s">
        <v>792</v>
      </c>
      <c r="B9" s="6" t="s">
        <v>301</v>
      </c>
      <c r="C9" s="6" t="s">
        <v>793</v>
      </c>
      <c r="D9" s="6" t="s">
        <v>790</v>
      </c>
      <c r="E9" s="6" t="s">
        <v>768</v>
      </c>
      <c r="F9" s="6" t="s">
        <v>768</v>
      </c>
      <c r="G9" s="6" t="s">
        <v>768</v>
      </c>
      <c r="H9" s="6" t="s">
        <v>794</v>
      </c>
    </row>
    <row r="10" customFormat="false" ht="15" hidden="false" customHeight="true" outlineLevel="0" collapsed="false">
      <c r="A10" s="6" t="s">
        <v>795</v>
      </c>
      <c r="B10" s="6" t="s">
        <v>343</v>
      </c>
      <c r="C10" s="6" t="s">
        <v>796</v>
      </c>
      <c r="D10" s="6" t="s">
        <v>382</v>
      </c>
      <c r="E10" s="6" t="s">
        <v>768</v>
      </c>
      <c r="F10" s="6" t="s">
        <v>768</v>
      </c>
      <c r="G10" s="6" t="s">
        <v>768</v>
      </c>
      <c r="H10" s="6" t="s">
        <v>797</v>
      </c>
    </row>
    <row r="11" customFormat="false" ht="15" hidden="false" customHeight="true" outlineLevel="0" collapsed="false">
      <c r="A11" s="6" t="s">
        <v>798</v>
      </c>
      <c r="B11" s="6" t="s">
        <v>343</v>
      </c>
      <c r="C11" s="6" t="s">
        <v>799</v>
      </c>
      <c r="D11" s="6" t="s">
        <v>800</v>
      </c>
      <c r="E11" s="6" t="s">
        <v>768</v>
      </c>
      <c r="F11" s="6" t="s">
        <v>768</v>
      </c>
      <c r="G11" s="6" t="s">
        <v>768</v>
      </c>
      <c r="H11" s="6" t="s">
        <v>801</v>
      </c>
    </row>
    <row r="12" customFormat="false" ht="15" hidden="false" customHeight="true" outlineLevel="0" collapsed="false">
      <c r="A12" s="6" t="s">
        <v>802</v>
      </c>
      <c r="B12" s="6" t="s">
        <v>803</v>
      </c>
      <c r="C12" s="6" t="s">
        <v>804</v>
      </c>
      <c r="D12" s="6" t="s">
        <v>767</v>
      </c>
      <c r="E12" s="6" t="s">
        <v>768</v>
      </c>
      <c r="F12" s="6" t="s">
        <v>768</v>
      </c>
      <c r="G12" s="6" t="s">
        <v>768</v>
      </c>
      <c r="H12" s="6" t="s">
        <v>88</v>
      </c>
    </row>
    <row r="13" customFormat="false" ht="15" hidden="false" customHeight="true" outlineLevel="0" collapsed="false">
      <c r="A13" s="6" t="s">
        <v>28</v>
      </c>
      <c r="B13" s="6" t="s">
        <v>803</v>
      </c>
      <c r="C13" s="6" t="s">
        <v>805</v>
      </c>
      <c r="D13" s="6" t="s">
        <v>806</v>
      </c>
      <c r="E13" s="6" t="s">
        <v>768</v>
      </c>
      <c r="F13" s="6" t="s">
        <v>768</v>
      </c>
      <c r="G13" s="6" t="s">
        <v>768</v>
      </c>
      <c r="H13" s="6" t="s">
        <v>88</v>
      </c>
    </row>
    <row r="14" customFormat="false" ht="15" hidden="false" customHeight="true" outlineLevel="0" collapsed="false">
      <c r="A14" s="6" t="s">
        <v>807</v>
      </c>
      <c r="B14" s="6" t="s">
        <v>803</v>
      </c>
      <c r="C14" s="6" t="s">
        <v>808</v>
      </c>
      <c r="D14" s="6" t="s">
        <v>809</v>
      </c>
      <c r="E14" s="6" t="s">
        <v>768</v>
      </c>
      <c r="F14" s="6" t="s">
        <v>768</v>
      </c>
      <c r="G14" s="6" t="s">
        <v>768</v>
      </c>
      <c r="H14" s="6" t="s">
        <v>88</v>
      </c>
    </row>
    <row r="15" customFormat="false" ht="23.25" hidden="false" customHeight="true" outlineLevel="0" collapsed="false">
      <c r="A15" s="6" t="s">
        <v>810</v>
      </c>
      <c r="B15" s="6" t="s">
        <v>803</v>
      </c>
      <c r="C15" s="6" t="s">
        <v>811</v>
      </c>
      <c r="D15" s="6" t="s">
        <v>812</v>
      </c>
      <c r="E15" s="6" t="s">
        <v>768</v>
      </c>
      <c r="F15" s="6" t="s">
        <v>768</v>
      </c>
      <c r="G15" s="6" t="s">
        <v>768</v>
      </c>
      <c r="H15" s="6" t="s">
        <v>88</v>
      </c>
    </row>
    <row r="16" customFormat="false" ht="23.25" hidden="false" customHeight="true" outlineLevel="0" collapsed="false">
      <c r="A16" s="6" t="s">
        <v>56</v>
      </c>
      <c r="B16" s="6" t="s">
        <v>803</v>
      </c>
      <c r="C16" s="6" t="s">
        <v>813</v>
      </c>
      <c r="D16" s="6" t="s">
        <v>814</v>
      </c>
      <c r="E16" s="6" t="s">
        <v>768</v>
      </c>
      <c r="F16" s="6" t="s">
        <v>768</v>
      </c>
      <c r="G16" s="6" t="s">
        <v>768</v>
      </c>
      <c r="H16" s="6" t="s">
        <v>88</v>
      </c>
    </row>
    <row r="17" customFormat="false" ht="15" hidden="false" customHeight="true" outlineLevel="0" collapsed="false">
      <c r="A17" s="6" t="s">
        <v>815</v>
      </c>
      <c r="B17" s="6" t="s">
        <v>803</v>
      </c>
      <c r="C17" s="6" t="s">
        <v>816</v>
      </c>
      <c r="D17" s="6" t="s">
        <v>817</v>
      </c>
      <c r="E17" s="6" t="s">
        <v>768</v>
      </c>
      <c r="F17" s="6" t="s">
        <v>768</v>
      </c>
      <c r="G17" s="6" t="s">
        <v>768</v>
      </c>
      <c r="H17" s="6" t="s">
        <v>88</v>
      </c>
    </row>
    <row r="18" customFormat="false" ht="15" hidden="false" customHeight="true" outlineLevel="0" collapsed="false">
      <c r="A18" s="6" t="s">
        <v>818</v>
      </c>
      <c r="B18" s="6" t="s">
        <v>803</v>
      </c>
      <c r="C18" s="6" t="s">
        <v>819</v>
      </c>
      <c r="D18" s="6" t="s">
        <v>820</v>
      </c>
      <c r="E18" s="6" t="s">
        <v>768</v>
      </c>
      <c r="F18" s="6" t="s">
        <v>768</v>
      </c>
      <c r="G18" s="6" t="s">
        <v>768</v>
      </c>
      <c r="H18" s="6" t="s">
        <v>88</v>
      </c>
    </row>
    <row r="19" customFormat="false" ht="15" hidden="false" customHeight="true" outlineLevel="0" collapsed="false">
      <c r="A19" s="6" t="s">
        <v>821</v>
      </c>
      <c r="B19" s="6" t="s">
        <v>803</v>
      </c>
      <c r="C19" s="6" t="s">
        <v>822</v>
      </c>
      <c r="D19" s="6" t="s">
        <v>823</v>
      </c>
      <c r="E19" s="6" t="s">
        <v>768</v>
      </c>
      <c r="F19" s="6" t="s">
        <v>768</v>
      </c>
      <c r="G19" s="6" t="s">
        <v>768</v>
      </c>
      <c r="H19" s="6" t="s">
        <v>88</v>
      </c>
    </row>
    <row r="20" customFormat="false" ht="15" hidden="false" customHeight="true" outlineLevel="0" collapsed="false">
      <c r="A20" s="6" t="s">
        <v>824</v>
      </c>
      <c r="B20" s="6" t="s">
        <v>803</v>
      </c>
      <c r="C20" s="6" t="s">
        <v>825</v>
      </c>
      <c r="D20" s="6" t="s">
        <v>826</v>
      </c>
      <c r="E20" s="6" t="s">
        <v>768</v>
      </c>
      <c r="F20" s="6" t="s">
        <v>768</v>
      </c>
      <c r="G20" s="6" t="s">
        <v>768</v>
      </c>
      <c r="H20" s="6" t="s">
        <v>827</v>
      </c>
    </row>
    <row r="21" customFormat="false" ht="15" hidden="false" customHeight="true" outlineLevel="0" collapsed="false">
      <c r="A21" s="6" t="s">
        <v>205</v>
      </c>
      <c r="B21" s="6" t="s">
        <v>206</v>
      </c>
      <c r="C21" s="6" t="s">
        <v>208</v>
      </c>
      <c r="D21" s="6" t="s">
        <v>209</v>
      </c>
      <c r="E21" s="14" t="str">
        <f aca="false">IFERROR(INDEX(Features_Motor!$F:$F,MATCH($A21,Features_Motor!$A:$A,0)),"n/a")</f>
        <v>Include</v>
      </c>
      <c r="F21" s="14" t="str">
        <f aca="false">IFERROR(INDEX(Features_Buildings!$F:$F,MATCH($A21,Features_Buildings!$A:$A,0)),"n/a")</f>
        <v>n/a</v>
      </c>
      <c r="G21" s="14" t="str">
        <f aca="false">IFERROR(INDEX(Features_Contents!$F:$F,MATCH($A21,Features_Contents!$A:$A,0)),"n/a")</f>
        <v>n/a</v>
      </c>
      <c r="H21" s="6"/>
    </row>
    <row r="22" customFormat="false" ht="15" hidden="false" customHeight="true" outlineLevel="0" collapsed="false">
      <c r="A22" s="6" t="s">
        <v>215</v>
      </c>
      <c r="B22" s="6" t="s">
        <v>206</v>
      </c>
      <c r="C22" s="6" t="s">
        <v>216</v>
      </c>
      <c r="D22" s="6" t="s">
        <v>217</v>
      </c>
      <c r="E22" s="14" t="str">
        <f aca="false">IFERROR(INDEX(Features_Motor!$F:$F,MATCH($A22,Features_Motor!$A:$A,0)),"n/a")</f>
        <v>Include</v>
      </c>
      <c r="F22" s="14" t="str">
        <f aca="false">IFERROR(INDEX(Features_Buildings!$F:$F,MATCH($A22,Features_Buildings!$A:$A,0)),"n/a")</f>
        <v>n/a</v>
      </c>
      <c r="G22" s="14" t="str">
        <f aca="false">IFERROR(INDEX(Features_Contents!$F:$F,MATCH($A22,Features_Contents!$A:$A,0)),"n/a")</f>
        <v>n/a</v>
      </c>
      <c r="H22" s="6"/>
    </row>
    <row r="23" customFormat="false" ht="15" hidden="false" customHeight="true" outlineLevel="0" collapsed="false">
      <c r="A23" s="6" t="s">
        <v>219</v>
      </c>
      <c r="B23" s="6" t="s">
        <v>206</v>
      </c>
      <c r="C23" s="6" t="s">
        <v>220</v>
      </c>
      <c r="D23" s="6" t="s">
        <v>221</v>
      </c>
      <c r="E23" s="14" t="str">
        <f aca="false">IFERROR(INDEX(Features_Motor!$F:$F,MATCH($A23,Features_Motor!$A:$A,0)),"n/a")</f>
        <v>Include</v>
      </c>
      <c r="F23" s="14" t="str">
        <f aca="false">IFERROR(INDEX(Features_Buildings!$F:$F,MATCH($A23,Features_Buildings!$A:$A,0)),"n/a")</f>
        <v>n/a</v>
      </c>
      <c r="G23" s="14" t="str">
        <f aca="false">IFERROR(INDEX(Features_Contents!$F:$F,MATCH($A23,Features_Contents!$A:$A,0)),"n/a")</f>
        <v>n/a</v>
      </c>
      <c r="H23" s="6"/>
    </row>
    <row r="24" customFormat="false" ht="15" hidden="false" customHeight="true" outlineLevel="0" collapsed="false">
      <c r="A24" s="6" t="s">
        <v>223</v>
      </c>
      <c r="B24" s="6" t="s">
        <v>206</v>
      </c>
      <c r="C24" s="6" t="s">
        <v>224</v>
      </c>
      <c r="D24" s="6" t="s">
        <v>225</v>
      </c>
      <c r="E24" s="14" t="str">
        <f aca="false">IFERROR(INDEX(Features_Motor!$F:$F,MATCH($A24,Features_Motor!$A:$A,0)),"n/a")</f>
        <v>Include</v>
      </c>
      <c r="F24" s="14" t="str">
        <f aca="false">IFERROR(INDEX(Features_Buildings!$F:$F,MATCH($A24,Features_Buildings!$A:$A,0)),"n/a")</f>
        <v>n/a</v>
      </c>
      <c r="G24" s="14" t="str">
        <f aca="false">IFERROR(INDEX(Features_Contents!$F:$F,MATCH($A24,Features_Contents!$A:$A,0)),"n/a")</f>
        <v>n/a</v>
      </c>
      <c r="H24" s="6"/>
    </row>
    <row r="25" customFormat="false" ht="15" hidden="false" customHeight="true" outlineLevel="0" collapsed="false">
      <c r="A25" s="6" t="s">
        <v>227</v>
      </c>
      <c r="B25" s="6" t="s">
        <v>206</v>
      </c>
      <c r="C25" s="6" t="s">
        <v>228</v>
      </c>
      <c r="D25" s="6" t="s">
        <v>229</v>
      </c>
      <c r="E25" s="14" t="str">
        <f aca="false">IFERROR(INDEX(Features_Motor!$F:$F,MATCH($A25,Features_Motor!$A:$A,0)),"n/a")</f>
        <v>Include</v>
      </c>
      <c r="F25" s="14" t="str">
        <f aca="false">IFERROR(INDEX(Features_Buildings!$F:$F,MATCH($A25,Features_Buildings!$A:$A,0)),"n/a")</f>
        <v>n/a</v>
      </c>
      <c r="G25" s="14" t="str">
        <f aca="false">IFERROR(INDEX(Features_Contents!$F:$F,MATCH($A25,Features_Contents!$A:$A,0)),"n/a")</f>
        <v>n/a</v>
      </c>
      <c r="H25" s="6"/>
    </row>
    <row r="26" customFormat="false" ht="23.25" hidden="false" customHeight="true" outlineLevel="0" collapsed="false">
      <c r="A26" s="6" t="s">
        <v>232</v>
      </c>
      <c r="B26" s="6" t="s">
        <v>206</v>
      </c>
      <c r="C26" s="6" t="s">
        <v>234</v>
      </c>
      <c r="D26" s="6" t="s">
        <v>235</v>
      </c>
      <c r="E26" s="14" t="str">
        <f aca="false">IFERROR(INDEX(Features_Motor!$F:$F,MATCH($A26,Features_Motor!$A:$A,0)),"n/a")</f>
        <v>Test</v>
      </c>
      <c r="F26" s="14" t="str">
        <f aca="false">IFERROR(INDEX(Features_Buildings!$F:$F,MATCH($A26,Features_Buildings!$A:$A,0)),"n/a")</f>
        <v>n/a</v>
      </c>
      <c r="G26" s="14" t="str">
        <f aca="false">IFERROR(INDEX(Features_Contents!$F:$F,MATCH($A26,Features_Contents!$A:$A,0)),"n/a")</f>
        <v>n/a</v>
      </c>
      <c r="H26" s="6" t="s">
        <v>238</v>
      </c>
    </row>
    <row r="27" customFormat="false" ht="15" hidden="false" customHeight="true" outlineLevel="0" collapsed="false">
      <c r="A27" s="6" t="s">
        <v>239</v>
      </c>
      <c r="B27" s="6" t="s">
        <v>206</v>
      </c>
      <c r="C27" s="6" t="s">
        <v>240</v>
      </c>
      <c r="D27" s="6" t="s">
        <v>241</v>
      </c>
      <c r="E27" s="14" t="str">
        <f aca="false">IFERROR(INDEX(Features_Motor!$F:$F,MATCH($A27,Features_Motor!$A:$A,0)),"n/a")</f>
        <v>Include</v>
      </c>
      <c r="F27" s="14" t="str">
        <f aca="false">IFERROR(INDEX(Features_Buildings!$F:$F,MATCH($A27,Features_Buildings!$A:$A,0)),"n/a")</f>
        <v>n/a</v>
      </c>
      <c r="G27" s="14" t="str">
        <f aca="false">IFERROR(INDEX(Features_Contents!$F:$F,MATCH($A27,Features_Contents!$A:$A,0)),"n/a")</f>
        <v>n/a</v>
      </c>
      <c r="H27" s="6"/>
    </row>
    <row r="28" customFormat="false" ht="15" hidden="false" customHeight="true" outlineLevel="0" collapsed="false">
      <c r="A28" s="6" t="s">
        <v>243</v>
      </c>
      <c r="B28" s="6" t="s">
        <v>206</v>
      </c>
      <c r="C28" s="6" t="s">
        <v>244</v>
      </c>
      <c r="D28" s="6" t="s">
        <v>245</v>
      </c>
      <c r="E28" s="14" t="str">
        <f aca="false">IFERROR(INDEX(Features_Motor!$F:$F,MATCH($A28,Features_Motor!$A:$A,0)),"n/a")</f>
        <v>Include</v>
      </c>
      <c r="F28" s="14" t="str">
        <f aca="false">IFERROR(INDEX(Features_Buildings!$F:$F,MATCH($A28,Features_Buildings!$A:$A,0)),"n/a")</f>
        <v>n/a</v>
      </c>
      <c r="G28" s="14" t="str">
        <f aca="false">IFERROR(INDEX(Features_Contents!$F:$F,MATCH($A28,Features_Contents!$A:$A,0)),"n/a")</f>
        <v>n/a</v>
      </c>
      <c r="H28" s="6"/>
    </row>
    <row r="29" customFormat="false" ht="15" hidden="false" customHeight="true" outlineLevel="0" collapsed="false">
      <c r="A29" s="6" t="s">
        <v>247</v>
      </c>
      <c r="B29" s="6" t="s">
        <v>206</v>
      </c>
      <c r="C29" s="6" t="s">
        <v>248</v>
      </c>
      <c r="D29" s="6" t="s">
        <v>249</v>
      </c>
      <c r="E29" s="14" t="str">
        <f aca="false">IFERROR(INDEX(Features_Motor!$F:$F,MATCH($A29,Features_Motor!$A:$A,0)),"n/a")</f>
        <v>Test</v>
      </c>
      <c r="F29" s="14" t="str">
        <f aca="false">IFERROR(INDEX(Features_Buildings!$F:$F,MATCH($A29,Features_Buildings!$A:$A,0)),"n/a")</f>
        <v>n/a</v>
      </c>
      <c r="G29" s="14" t="str">
        <f aca="false">IFERROR(INDEX(Features_Contents!$F:$F,MATCH($A29,Features_Contents!$A:$A,0)),"n/a")</f>
        <v>n/a</v>
      </c>
      <c r="H29" s="6"/>
    </row>
    <row r="30" customFormat="false" ht="15" hidden="false" customHeight="true" outlineLevel="0" collapsed="false">
      <c r="A30" s="6" t="s">
        <v>251</v>
      </c>
      <c r="B30" s="6" t="s">
        <v>206</v>
      </c>
      <c r="C30" s="6" t="s">
        <v>252</v>
      </c>
      <c r="D30" s="6" t="s">
        <v>253</v>
      </c>
      <c r="E30" s="14" t="str">
        <f aca="false">IFERROR(INDEX(Features_Motor!$F:$F,MATCH($A30,Features_Motor!$A:$A,0)),"n/a")</f>
        <v>Test</v>
      </c>
      <c r="F30" s="14" t="str">
        <f aca="false">IFERROR(INDEX(Features_Buildings!$F:$F,MATCH($A30,Features_Buildings!$A:$A,0)),"n/a")</f>
        <v>n/a</v>
      </c>
      <c r="G30" s="14" t="str">
        <f aca="false">IFERROR(INDEX(Features_Contents!$F:$F,MATCH($A30,Features_Contents!$A:$A,0)),"n/a")</f>
        <v>n/a</v>
      </c>
      <c r="H30" s="6"/>
    </row>
    <row r="31" customFormat="false" ht="23.25" hidden="false" customHeight="true" outlineLevel="0" collapsed="false">
      <c r="A31" s="6" t="s">
        <v>255</v>
      </c>
      <c r="B31" s="6" t="s">
        <v>206</v>
      </c>
      <c r="C31" s="6" t="s">
        <v>256</v>
      </c>
      <c r="D31" s="6" t="s">
        <v>257</v>
      </c>
      <c r="E31" s="14" t="str">
        <f aca="false">IFERROR(INDEX(Features_Motor!$F:$F,MATCH($A31,Features_Motor!$A:$A,0)),"n/a")</f>
        <v>Exclude</v>
      </c>
      <c r="F31" s="14" t="str">
        <f aca="false">IFERROR(INDEX(Features_Buildings!$F:$F,MATCH($A31,Features_Buildings!$A:$A,0)),"n/a")</f>
        <v>n/a</v>
      </c>
      <c r="G31" s="14" t="str">
        <f aca="false">IFERROR(INDEX(Features_Contents!$F:$F,MATCH($A31,Features_Contents!$A:$A,0)),"n/a")</f>
        <v>n/a</v>
      </c>
      <c r="H31" s="6" t="s">
        <v>261</v>
      </c>
    </row>
    <row r="32" customFormat="false" ht="15" hidden="false" customHeight="true" outlineLevel="0" collapsed="false">
      <c r="A32" s="6" t="s">
        <v>262</v>
      </c>
      <c r="B32" s="6" t="s">
        <v>206</v>
      </c>
      <c r="C32" s="6" t="s">
        <v>263</v>
      </c>
      <c r="D32" s="6" t="s">
        <v>264</v>
      </c>
      <c r="E32" s="14" t="str">
        <f aca="false">IFERROR(INDEX(Features_Motor!$F:$F,MATCH($A32,Features_Motor!$A:$A,0)),"n/a")</f>
        <v>Test</v>
      </c>
      <c r="F32" s="14" t="str">
        <f aca="false">IFERROR(INDEX(Features_Buildings!$F:$F,MATCH($A32,Features_Buildings!$A:$A,0)),"n/a")</f>
        <v>n/a</v>
      </c>
      <c r="G32" s="14" t="str">
        <f aca="false">IFERROR(INDEX(Features_Contents!$F:$F,MATCH($A32,Features_Contents!$A:$A,0)),"n/a")</f>
        <v>n/a</v>
      </c>
      <c r="H32" s="6"/>
    </row>
    <row r="33" customFormat="false" ht="15" hidden="false" customHeight="true" outlineLevel="0" collapsed="false">
      <c r="A33" s="6" t="s">
        <v>266</v>
      </c>
      <c r="B33" s="6" t="s">
        <v>206</v>
      </c>
      <c r="C33" s="6" t="s">
        <v>268</v>
      </c>
      <c r="D33" s="6" t="s">
        <v>269</v>
      </c>
      <c r="E33" s="14" t="str">
        <f aca="false">IFERROR(INDEX(Features_Motor!$F:$F,MATCH($A33,Features_Motor!$A:$A,0)),"n/a")</f>
        <v>Include</v>
      </c>
      <c r="F33" s="14" t="str">
        <f aca="false">IFERROR(INDEX(Features_Buildings!$F:$F,MATCH($A33,Features_Buildings!$A:$A,0)),"n/a")</f>
        <v>n/a</v>
      </c>
      <c r="G33" s="14" t="str">
        <f aca="false">IFERROR(INDEX(Features_Contents!$F:$F,MATCH($A33,Features_Contents!$A:$A,0)),"n/a")</f>
        <v>n/a</v>
      </c>
      <c r="H33" s="6"/>
    </row>
    <row r="34" customFormat="false" ht="23.25" hidden="false" customHeight="true" outlineLevel="0" collapsed="false">
      <c r="A34" s="6" t="s">
        <v>271</v>
      </c>
      <c r="B34" s="6" t="s">
        <v>206</v>
      </c>
      <c r="C34" s="6" t="s">
        <v>272</v>
      </c>
      <c r="D34" s="6" t="s">
        <v>273</v>
      </c>
      <c r="E34" s="14" t="str">
        <f aca="false">IFERROR(INDEX(Features_Motor!$F:$F,MATCH($A34,Features_Motor!$A:$A,0)),"n/a")</f>
        <v>Include</v>
      </c>
      <c r="F34" s="14" t="str">
        <f aca="false">IFERROR(INDEX(Features_Buildings!$F:$F,MATCH($A34,Features_Buildings!$A:$A,0)),"n/a")</f>
        <v>n/a</v>
      </c>
      <c r="G34" s="14" t="str">
        <f aca="false">IFERROR(INDEX(Features_Contents!$F:$F,MATCH($A34,Features_Contents!$A:$A,0)),"n/a")</f>
        <v>n/a</v>
      </c>
      <c r="H34" s="6" t="s">
        <v>275</v>
      </c>
    </row>
    <row r="35" customFormat="false" ht="15" hidden="false" customHeight="true" outlineLevel="0" collapsed="false">
      <c r="A35" s="6" t="s">
        <v>276</v>
      </c>
      <c r="B35" s="6" t="s">
        <v>206</v>
      </c>
      <c r="C35" s="6" t="s">
        <v>277</v>
      </c>
      <c r="D35" s="6" t="s">
        <v>278</v>
      </c>
      <c r="E35" s="14" t="str">
        <f aca="false">IFERROR(INDEX(Features_Motor!$F:$F,MATCH($A35,Features_Motor!$A:$A,0)),"n/a")</f>
        <v>Include</v>
      </c>
      <c r="F35" s="14" t="str">
        <f aca="false">IFERROR(INDEX(Features_Buildings!$F:$F,MATCH($A35,Features_Buildings!$A:$A,0)),"n/a")</f>
        <v>n/a</v>
      </c>
      <c r="G35" s="14" t="str">
        <f aca="false">IFERROR(INDEX(Features_Contents!$F:$F,MATCH($A35,Features_Contents!$A:$A,0)),"n/a")</f>
        <v>n/a</v>
      </c>
      <c r="H35" s="6"/>
    </row>
    <row r="36" customFormat="false" ht="15" hidden="false" customHeight="true" outlineLevel="0" collapsed="false">
      <c r="A36" s="6" t="s">
        <v>280</v>
      </c>
      <c r="B36" s="6" t="s">
        <v>206</v>
      </c>
      <c r="C36" s="6" t="s">
        <v>281</v>
      </c>
      <c r="D36" s="6" t="s">
        <v>282</v>
      </c>
      <c r="E36" s="14" t="str">
        <f aca="false">IFERROR(INDEX(Features_Motor!$F:$F,MATCH($A36,Features_Motor!$A:$A,0)),"n/a")</f>
        <v>Include</v>
      </c>
      <c r="F36" s="14" t="str">
        <f aca="false">IFERROR(INDEX(Features_Buildings!$F:$F,MATCH($A36,Features_Buildings!$A:$A,0)),"n/a")</f>
        <v>n/a</v>
      </c>
      <c r="G36" s="14" t="str">
        <f aca="false">IFERROR(INDEX(Features_Contents!$F:$F,MATCH($A36,Features_Contents!$A:$A,0)),"n/a")</f>
        <v>n/a</v>
      </c>
      <c r="H36" s="6"/>
    </row>
    <row r="37" customFormat="false" ht="15" hidden="false" customHeight="true" outlineLevel="0" collapsed="false">
      <c r="A37" s="6" t="s">
        <v>284</v>
      </c>
      <c r="B37" s="6" t="s">
        <v>206</v>
      </c>
      <c r="C37" s="6" t="s">
        <v>285</v>
      </c>
      <c r="D37" s="6" t="s">
        <v>286</v>
      </c>
      <c r="E37" s="14" t="str">
        <f aca="false">IFERROR(INDEX(Features_Motor!$F:$F,MATCH($A37,Features_Motor!$A:$A,0)),"n/a")</f>
        <v>Include</v>
      </c>
      <c r="F37" s="14" t="str">
        <f aca="false">IFERROR(INDEX(Features_Buildings!$F:$F,MATCH($A37,Features_Buildings!$A:$A,0)),"n/a")</f>
        <v>n/a</v>
      </c>
      <c r="G37" s="14" t="str">
        <f aca="false">IFERROR(INDEX(Features_Contents!$F:$F,MATCH($A37,Features_Contents!$A:$A,0)),"n/a")</f>
        <v>n/a</v>
      </c>
      <c r="H37" s="6"/>
    </row>
    <row r="38" customFormat="false" ht="15" hidden="false" customHeight="true" outlineLevel="0" collapsed="false">
      <c r="A38" s="6" t="s">
        <v>287</v>
      </c>
      <c r="B38" s="6" t="s">
        <v>206</v>
      </c>
      <c r="C38" s="6" t="s">
        <v>289</v>
      </c>
      <c r="D38" s="6" t="s">
        <v>209</v>
      </c>
      <c r="E38" s="14" t="str">
        <f aca="false">IFERROR(INDEX(Features_Motor!$F:$F,MATCH($A38,Features_Motor!$A:$A,0)),"n/a")</f>
        <v>Include</v>
      </c>
      <c r="F38" s="14" t="str">
        <f aca="false">IFERROR(INDEX(Features_Buildings!$F:$F,MATCH($A38,Features_Buildings!$A:$A,0)),"n/a")</f>
        <v>n/a</v>
      </c>
      <c r="G38" s="14" t="str">
        <f aca="false">IFERROR(INDEX(Features_Contents!$F:$F,MATCH($A38,Features_Contents!$A:$A,0)),"n/a")</f>
        <v>n/a</v>
      </c>
      <c r="H38" s="6"/>
    </row>
    <row r="39" customFormat="false" ht="15" hidden="false" customHeight="true" outlineLevel="0" collapsed="false">
      <c r="A39" s="6" t="s">
        <v>291</v>
      </c>
      <c r="B39" s="6" t="s">
        <v>206</v>
      </c>
      <c r="C39" s="6" t="s">
        <v>292</v>
      </c>
      <c r="D39" s="6" t="s">
        <v>293</v>
      </c>
      <c r="E39" s="14" t="str">
        <f aca="false">IFERROR(INDEX(Features_Motor!$F:$F,MATCH($A39,Features_Motor!$A:$A,0)),"n/a")</f>
        <v>Test</v>
      </c>
      <c r="F39" s="14" t="str">
        <f aca="false">IFERROR(INDEX(Features_Buildings!$F:$F,MATCH($A39,Features_Buildings!$A:$A,0)),"n/a")</f>
        <v>n/a</v>
      </c>
      <c r="G39" s="14" t="str">
        <f aca="false">IFERROR(INDEX(Features_Contents!$F:$F,MATCH($A39,Features_Contents!$A:$A,0)),"n/a")</f>
        <v>n/a</v>
      </c>
      <c r="H39" s="6"/>
    </row>
    <row r="40" customFormat="false" ht="15" hidden="false" customHeight="true" outlineLevel="0" collapsed="false">
      <c r="A40" s="6" t="s">
        <v>295</v>
      </c>
      <c r="B40" s="6" t="s">
        <v>206</v>
      </c>
      <c r="C40" s="6" t="s">
        <v>296</v>
      </c>
      <c r="D40" s="6" t="s">
        <v>297</v>
      </c>
      <c r="E40" s="14" t="str">
        <f aca="false">IFERROR(INDEX(Features_Motor!$F:$F,MATCH($A40,Features_Motor!$A:$A,0)),"n/a")</f>
        <v>Test</v>
      </c>
      <c r="F40" s="14" t="str">
        <f aca="false">IFERROR(INDEX(Features_Buildings!$F:$F,MATCH($A40,Features_Buildings!$A:$A,0)),"n/a")</f>
        <v>n/a</v>
      </c>
      <c r="G40" s="14" t="str">
        <f aca="false">IFERROR(INDEX(Features_Contents!$F:$F,MATCH($A40,Features_Contents!$A:$A,0)),"n/a")</f>
        <v>n/a</v>
      </c>
      <c r="H40" s="6" t="s">
        <v>299</v>
      </c>
    </row>
    <row r="41" customFormat="false" ht="23.25" hidden="false" customHeight="true" outlineLevel="0" collapsed="false">
      <c r="A41" s="6" t="s">
        <v>507</v>
      </c>
      <c r="B41" s="6" t="s">
        <v>508</v>
      </c>
      <c r="C41" s="6" t="s">
        <v>509</v>
      </c>
      <c r="D41" s="6" t="s">
        <v>510</v>
      </c>
      <c r="E41" s="14" t="str">
        <f aca="false">IFERROR(INDEX(Features_Motor!$F:$F,MATCH($A41,Features_Motor!$A:$A,0)),"n/a")</f>
        <v>n/a</v>
      </c>
      <c r="F41" s="14" t="str">
        <f aca="false">IFERROR(INDEX(Features_Buildings!$F:$F,MATCH($A41,Features_Buildings!$A:$A,0)),"n/a")</f>
        <v>Test</v>
      </c>
      <c r="G41" s="14" t="str">
        <f aca="false">IFERROR(INDEX(Features_Contents!$F:$F,MATCH($A41,Features_Contents!$A:$A,0)),"n/a")</f>
        <v>Test</v>
      </c>
      <c r="H41" s="6" t="s">
        <v>511</v>
      </c>
    </row>
    <row r="42" customFormat="false" ht="15" hidden="false" customHeight="true" outlineLevel="0" collapsed="false">
      <c r="A42" s="6" t="s">
        <v>512</v>
      </c>
      <c r="B42" s="6" t="s">
        <v>508</v>
      </c>
      <c r="C42" s="6" t="s">
        <v>513</v>
      </c>
      <c r="D42" s="6" t="s">
        <v>514</v>
      </c>
      <c r="E42" s="14" t="str">
        <f aca="false">IFERROR(INDEX(Features_Motor!$F:$F,MATCH($A42,Features_Motor!$A:$A,0)),"n/a")</f>
        <v>n/a</v>
      </c>
      <c r="F42" s="14" t="str">
        <f aca="false">IFERROR(INDEX(Features_Buildings!$F:$F,MATCH($A42,Features_Buildings!$A:$A,0)),"n/a")</f>
        <v>Include</v>
      </c>
      <c r="G42" s="14" t="str">
        <f aca="false">IFERROR(INDEX(Features_Contents!$F:$F,MATCH($A42,Features_Contents!$A:$A,0)),"n/a")</f>
        <v>Include</v>
      </c>
      <c r="H42" s="6"/>
    </row>
    <row r="43" customFormat="false" ht="15" hidden="false" customHeight="true" outlineLevel="0" collapsed="false">
      <c r="A43" s="6" t="s">
        <v>144</v>
      </c>
      <c r="B43" s="6" t="s">
        <v>516</v>
      </c>
      <c r="C43" s="6" t="s">
        <v>517</v>
      </c>
      <c r="D43" s="6" t="s">
        <v>518</v>
      </c>
      <c r="E43" s="14" t="str">
        <f aca="false">IFERROR(INDEX(Features_Motor!$F:$F,MATCH($A43,Features_Motor!$A:$A,0)),"n/a")</f>
        <v>n/a</v>
      </c>
      <c r="F43" s="14" t="str">
        <f aca="false">IFERROR(INDEX(Features_Buildings!$F:$F,MATCH($A43,Features_Buildings!$A:$A,0)),"n/a")</f>
        <v>Include</v>
      </c>
      <c r="G43" s="14" t="str">
        <f aca="false">IFERROR(INDEX(Features_Contents!$F:$F,MATCH($A43,Features_Contents!$A:$A,0)),"n/a")</f>
        <v>n/a</v>
      </c>
      <c r="H43" s="6" t="s">
        <v>520</v>
      </c>
    </row>
    <row r="44" customFormat="false" ht="15" hidden="false" customHeight="true" outlineLevel="0" collapsed="false">
      <c r="A44" s="6" t="s">
        <v>521</v>
      </c>
      <c r="B44" s="6" t="s">
        <v>516</v>
      </c>
      <c r="C44" s="6" t="s">
        <v>522</v>
      </c>
      <c r="D44" s="6" t="s">
        <v>523</v>
      </c>
      <c r="E44" s="14" t="str">
        <f aca="false">IFERROR(INDEX(Features_Motor!$F:$F,MATCH($A44,Features_Motor!$A:$A,0)),"n/a")</f>
        <v>n/a</v>
      </c>
      <c r="F44" s="14" t="str">
        <f aca="false">IFERROR(INDEX(Features_Buildings!$F:$F,MATCH($A44,Features_Buildings!$A:$A,0)),"n/a")</f>
        <v>Include</v>
      </c>
      <c r="G44" s="14" t="str">
        <f aca="false">IFERROR(INDEX(Features_Contents!$F:$F,MATCH($A44,Features_Contents!$A:$A,0)),"n/a")</f>
        <v>n/a</v>
      </c>
      <c r="H44" s="6"/>
    </row>
    <row r="45" customFormat="false" ht="15" hidden="false" customHeight="true" outlineLevel="0" collapsed="false">
      <c r="A45" s="6" t="s">
        <v>525</v>
      </c>
      <c r="B45" s="6" t="s">
        <v>516</v>
      </c>
      <c r="C45" s="6" t="s">
        <v>526</v>
      </c>
      <c r="D45" s="6" t="s">
        <v>527</v>
      </c>
      <c r="E45" s="14" t="str">
        <f aca="false">IFERROR(INDEX(Features_Motor!$F:$F,MATCH($A45,Features_Motor!$A:$A,0)),"n/a")</f>
        <v>n/a</v>
      </c>
      <c r="F45" s="14" t="str">
        <f aca="false">IFERROR(INDEX(Features_Buildings!$F:$F,MATCH($A45,Features_Buildings!$A:$A,0)),"n/a")</f>
        <v>Include</v>
      </c>
      <c r="G45" s="14" t="str">
        <f aca="false">IFERROR(INDEX(Features_Contents!$F:$F,MATCH($A45,Features_Contents!$A:$A,0)),"n/a")</f>
        <v>n/a</v>
      </c>
      <c r="H45" s="6"/>
    </row>
    <row r="46" customFormat="false" ht="15" hidden="false" customHeight="true" outlineLevel="0" collapsed="false">
      <c r="A46" s="6" t="s">
        <v>529</v>
      </c>
      <c r="B46" s="6" t="s">
        <v>516</v>
      </c>
      <c r="C46" s="6" t="s">
        <v>530</v>
      </c>
      <c r="D46" s="6" t="s">
        <v>531</v>
      </c>
      <c r="E46" s="14" t="str">
        <f aca="false">IFERROR(INDEX(Features_Motor!$F:$F,MATCH($A46,Features_Motor!$A:$A,0)),"n/a")</f>
        <v>n/a</v>
      </c>
      <c r="F46" s="14" t="str">
        <f aca="false">IFERROR(INDEX(Features_Buildings!$F:$F,MATCH($A46,Features_Buildings!$A:$A,0)),"n/a")</f>
        <v>Include</v>
      </c>
      <c r="G46" s="14" t="str">
        <f aca="false">IFERROR(INDEX(Features_Contents!$F:$F,MATCH($A46,Features_Contents!$A:$A,0)),"n/a")</f>
        <v>n/a</v>
      </c>
      <c r="H46" s="6"/>
    </row>
    <row r="47" customFormat="false" ht="23.25" hidden="false" customHeight="true" outlineLevel="0" collapsed="false">
      <c r="A47" s="6" t="s">
        <v>533</v>
      </c>
      <c r="B47" s="6" t="s">
        <v>508</v>
      </c>
      <c r="C47" s="6" t="s">
        <v>534</v>
      </c>
      <c r="D47" s="6" t="s">
        <v>535</v>
      </c>
      <c r="E47" s="14" t="str">
        <f aca="false">IFERROR(INDEX(Features_Motor!$F:$F,MATCH($A47,Features_Motor!$A:$A,0)),"n/a")</f>
        <v>n/a</v>
      </c>
      <c r="F47" s="14" t="str">
        <f aca="false">IFERROR(INDEX(Features_Buildings!$F:$F,MATCH($A47,Features_Buildings!$A:$A,0)),"n/a")</f>
        <v>Include</v>
      </c>
      <c r="G47" s="14" t="str">
        <f aca="false">IFERROR(INDEX(Features_Contents!$F:$F,MATCH($A47,Features_Contents!$A:$A,0)),"n/a")</f>
        <v>Include</v>
      </c>
      <c r="H47" s="6" t="s">
        <v>537</v>
      </c>
    </row>
    <row r="48" customFormat="false" ht="15" hidden="false" customHeight="true" outlineLevel="0" collapsed="false">
      <c r="A48" s="6" t="s">
        <v>538</v>
      </c>
      <c r="B48" s="6" t="s">
        <v>516</v>
      </c>
      <c r="C48" s="6" t="s">
        <v>539</v>
      </c>
      <c r="D48" s="6" t="s">
        <v>540</v>
      </c>
      <c r="E48" s="14" t="str">
        <f aca="false">IFERROR(INDEX(Features_Motor!$F:$F,MATCH($A48,Features_Motor!$A:$A,0)),"n/a")</f>
        <v>n/a</v>
      </c>
      <c r="F48" s="14" t="str">
        <f aca="false">IFERROR(INDEX(Features_Buildings!$F:$F,MATCH($A48,Features_Buildings!$A:$A,0)),"n/a")</f>
        <v>Exclude</v>
      </c>
      <c r="G48" s="14" t="str">
        <f aca="false">IFERROR(INDEX(Features_Contents!$F:$F,MATCH($A48,Features_Contents!$A:$A,0)),"n/a")</f>
        <v>n/a</v>
      </c>
      <c r="H48" s="6" t="s">
        <v>541</v>
      </c>
    </row>
    <row r="49" customFormat="false" ht="15" hidden="false" customHeight="true" outlineLevel="0" collapsed="false">
      <c r="A49" s="6" t="s">
        <v>579</v>
      </c>
      <c r="B49" s="6" t="s">
        <v>580</v>
      </c>
      <c r="C49" s="6" t="s">
        <v>581</v>
      </c>
      <c r="D49" s="6" t="s">
        <v>582</v>
      </c>
      <c r="E49" s="14" t="str">
        <f aca="false">IFERROR(INDEX(Features_Motor!$F:$F,MATCH($A49,Features_Motor!$A:$A,0)),"n/a")</f>
        <v>n/a</v>
      </c>
      <c r="F49" s="14" t="str">
        <f aca="false">IFERROR(INDEX(Features_Buildings!$F:$F,MATCH($A49,Features_Buildings!$A:$A,0)),"n/a")</f>
        <v>n/a</v>
      </c>
      <c r="G49" s="14" t="str">
        <f aca="false">IFERROR(INDEX(Features_Contents!$F:$F,MATCH($A49,Features_Contents!$A:$A,0)),"n/a")</f>
        <v>Include</v>
      </c>
      <c r="H49" s="6"/>
    </row>
    <row r="50" customFormat="false" ht="15" hidden="false" customHeight="true" outlineLevel="0" collapsed="false">
      <c r="A50" s="6" t="s">
        <v>584</v>
      </c>
      <c r="B50" s="6" t="s">
        <v>580</v>
      </c>
      <c r="C50" s="6" t="s">
        <v>585</v>
      </c>
      <c r="D50" s="6" t="s">
        <v>586</v>
      </c>
      <c r="E50" s="14" t="str">
        <f aca="false">IFERROR(INDEX(Features_Motor!$F:$F,MATCH($A50,Features_Motor!$A:$A,0)),"n/a")</f>
        <v>n/a</v>
      </c>
      <c r="F50" s="14" t="str">
        <f aca="false">IFERROR(INDEX(Features_Buildings!$F:$F,MATCH($A50,Features_Buildings!$A:$A,0)),"n/a")</f>
        <v>n/a</v>
      </c>
      <c r="G50" s="14" t="str">
        <f aca="false">IFERROR(INDEX(Features_Contents!$F:$F,MATCH($A50,Features_Contents!$A:$A,0)),"n/a")</f>
        <v>Include</v>
      </c>
      <c r="H50" s="6"/>
    </row>
    <row r="51" customFormat="false" ht="15" hidden="false" customHeight="true" outlineLevel="0" collapsed="false">
      <c r="A51" s="6" t="s">
        <v>587</v>
      </c>
      <c r="B51" s="6" t="s">
        <v>580</v>
      </c>
      <c r="C51" s="6" t="s">
        <v>588</v>
      </c>
      <c r="D51" s="6" t="s">
        <v>589</v>
      </c>
      <c r="E51" s="14" t="str">
        <f aca="false">IFERROR(INDEX(Features_Motor!$F:$F,MATCH($A51,Features_Motor!$A:$A,0)),"n/a")</f>
        <v>n/a</v>
      </c>
      <c r="F51" s="14" t="str">
        <f aca="false">IFERROR(INDEX(Features_Buildings!$F:$F,MATCH($A51,Features_Buildings!$A:$A,0)),"n/a")</f>
        <v>n/a</v>
      </c>
      <c r="G51" s="14" t="str">
        <f aca="false">IFERROR(INDEX(Features_Contents!$F:$F,MATCH($A51,Features_Contents!$A:$A,0)),"n/a")</f>
        <v>Include</v>
      </c>
      <c r="H51" s="6"/>
    </row>
    <row r="52" customFormat="false" ht="15" hidden="false" customHeight="true" outlineLevel="0" collapsed="false">
      <c r="A52" s="6" t="s">
        <v>591</v>
      </c>
      <c r="B52" s="6" t="s">
        <v>580</v>
      </c>
      <c r="C52" s="6" t="s">
        <v>592</v>
      </c>
      <c r="D52" s="6" t="s">
        <v>593</v>
      </c>
      <c r="E52" s="14" t="str">
        <f aca="false">IFERROR(INDEX(Features_Motor!$F:$F,MATCH($A52,Features_Motor!$A:$A,0)),"n/a")</f>
        <v>n/a</v>
      </c>
      <c r="F52" s="14" t="str">
        <f aca="false">IFERROR(INDEX(Features_Buildings!$F:$F,MATCH($A52,Features_Buildings!$A:$A,0)),"n/a")</f>
        <v>n/a</v>
      </c>
      <c r="G52" s="14" t="str">
        <f aca="false">IFERROR(INDEX(Features_Contents!$F:$F,MATCH($A52,Features_Contents!$A:$A,0)),"n/a")</f>
        <v>Test</v>
      </c>
      <c r="H52" s="6"/>
    </row>
    <row r="53" customFormat="false" ht="15" hidden="false" customHeight="true" outlineLevel="0" collapsed="false">
      <c r="A53" s="6" t="s">
        <v>595</v>
      </c>
      <c r="B53" s="6" t="s">
        <v>580</v>
      </c>
      <c r="C53" s="6" t="s">
        <v>596</v>
      </c>
      <c r="D53" s="6" t="s">
        <v>597</v>
      </c>
      <c r="E53" s="14" t="str">
        <f aca="false">IFERROR(INDEX(Features_Motor!$F:$F,MATCH($A53,Features_Motor!$A:$A,0)),"n/a")</f>
        <v>n/a</v>
      </c>
      <c r="F53" s="14" t="str">
        <f aca="false">IFERROR(INDEX(Features_Buildings!$F:$F,MATCH($A53,Features_Buildings!$A:$A,0)),"n/a")</f>
        <v>n/a</v>
      </c>
      <c r="G53" s="14" t="str">
        <f aca="false">IFERROR(INDEX(Features_Contents!$F:$F,MATCH($A53,Features_Contents!$A:$A,0)),"n/a")</f>
        <v>Test</v>
      </c>
      <c r="H53" s="6"/>
    </row>
    <row r="54" customFormat="false" ht="15" hidden="false" customHeight="true" outlineLevel="0" collapsed="false">
      <c r="A54" s="6" t="s">
        <v>599</v>
      </c>
      <c r="B54" s="6" t="s">
        <v>580</v>
      </c>
      <c r="C54" s="6" t="s">
        <v>600</v>
      </c>
      <c r="D54" s="6" t="s">
        <v>601</v>
      </c>
      <c r="E54" s="14" t="str">
        <f aca="false">IFERROR(INDEX(Features_Motor!$F:$F,MATCH($A54,Features_Motor!$A:$A,0)),"n/a")</f>
        <v>n/a</v>
      </c>
      <c r="F54" s="14" t="str">
        <f aca="false">IFERROR(INDEX(Features_Buildings!$F:$F,MATCH($A54,Features_Buildings!$A:$A,0)),"n/a")</f>
        <v>n/a</v>
      </c>
      <c r="G54" s="14" t="str">
        <f aca="false">IFERROR(INDEX(Features_Contents!$F:$F,MATCH($A54,Features_Contents!$A:$A,0)),"n/a")</f>
        <v>Include</v>
      </c>
      <c r="H54" s="6"/>
    </row>
    <row r="55" customFormat="false" ht="15" hidden="false" customHeight="true" outlineLevel="0" collapsed="false">
      <c r="A55" s="6" t="s">
        <v>300</v>
      </c>
      <c r="B55" s="6" t="s">
        <v>301</v>
      </c>
      <c r="C55" s="6" t="s">
        <v>302</v>
      </c>
      <c r="D55" s="6" t="s">
        <v>303</v>
      </c>
      <c r="E55" s="14" t="str">
        <f aca="false">IFERROR(INDEX(Features_Motor!$F:$F,MATCH($A55,Features_Motor!$A:$A,0)),"n/a")</f>
        <v>Include</v>
      </c>
      <c r="F55" s="14" t="str">
        <f aca="false">IFERROR(INDEX(Features_Buildings!$F:$F,MATCH($A55,Features_Buildings!$A:$A,0)),"n/a")</f>
        <v>Include</v>
      </c>
      <c r="G55" s="14" t="str">
        <f aca="false">IFERROR(INDEX(Features_Contents!$F:$F,MATCH($A55,Features_Contents!$A:$A,0)),"n/a")</f>
        <v>Include</v>
      </c>
      <c r="H55" s="6" t="s">
        <v>305</v>
      </c>
    </row>
    <row r="56" customFormat="false" ht="15" hidden="false" customHeight="true" outlineLevel="0" collapsed="false">
      <c r="A56" s="6" t="s">
        <v>306</v>
      </c>
      <c r="B56" s="6" t="s">
        <v>301</v>
      </c>
      <c r="C56" s="6" t="s">
        <v>307</v>
      </c>
      <c r="D56" s="6" t="s">
        <v>308</v>
      </c>
      <c r="E56" s="14" t="str">
        <f aca="false">IFERROR(INDEX(Features_Motor!$F:$F,MATCH($A56,Features_Motor!$A:$A,0)),"n/a")</f>
        <v>Include</v>
      </c>
      <c r="F56" s="14" t="str">
        <f aca="false">IFERROR(INDEX(Features_Buildings!$F:$F,MATCH($A56,Features_Buildings!$A:$A,0)),"n/a")</f>
        <v>Include</v>
      </c>
      <c r="G56" s="14" t="str">
        <f aca="false">IFERROR(INDEX(Features_Contents!$F:$F,MATCH($A56,Features_Contents!$A:$A,0)),"n/a")</f>
        <v>Include</v>
      </c>
      <c r="H56" s="6"/>
    </row>
    <row r="57" customFormat="false" ht="15" hidden="false" customHeight="true" outlineLevel="0" collapsed="false">
      <c r="A57" s="6" t="s">
        <v>310</v>
      </c>
      <c r="B57" s="6" t="s">
        <v>301</v>
      </c>
      <c r="C57" s="6" t="s">
        <v>311</v>
      </c>
      <c r="D57" s="6" t="s">
        <v>312</v>
      </c>
      <c r="E57" s="14" t="str">
        <f aca="false">IFERROR(INDEX(Features_Motor!$F:$F,MATCH($A57,Features_Motor!$A:$A,0)),"n/a")</f>
        <v>Test</v>
      </c>
      <c r="F57" s="14" t="str">
        <f aca="false">IFERROR(INDEX(Features_Buildings!$F:$F,MATCH($A57,Features_Buildings!$A:$A,0)),"n/a")</f>
        <v>Test</v>
      </c>
      <c r="G57" s="14" t="str">
        <f aca="false">IFERROR(INDEX(Features_Contents!$F:$F,MATCH($A57,Features_Contents!$A:$A,0)),"n/a")</f>
        <v>Test</v>
      </c>
      <c r="H57" s="6"/>
    </row>
    <row r="58" customFormat="false" ht="15" hidden="false" customHeight="true" outlineLevel="0" collapsed="false">
      <c r="A58" s="6" t="s">
        <v>314</v>
      </c>
      <c r="B58" s="6" t="s">
        <v>301</v>
      </c>
      <c r="C58" s="6" t="s">
        <v>315</v>
      </c>
      <c r="D58" s="6" t="s">
        <v>316</v>
      </c>
      <c r="E58" s="14" t="str">
        <f aca="false">IFERROR(INDEX(Features_Motor!$F:$F,MATCH($A58,Features_Motor!$A:$A,0)),"n/a")</f>
        <v>Test</v>
      </c>
      <c r="F58" s="14" t="str">
        <f aca="false">IFERROR(INDEX(Features_Buildings!$F:$F,MATCH($A58,Features_Buildings!$A:$A,0)),"n/a")</f>
        <v>Test</v>
      </c>
      <c r="G58" s="14" t="str">
        <f aca="false">IFERROR(INDEX(Features_Contents!$F:$F,MATCH($A58,Features_Contents!$A:$A,0)),"n/a")</f>
        <v>Test</v>
      </c>
      <c r="H58" s="6" t="s">
        <v>317</v>
      </c>
    </row>
    <row r="59" customFormat="false" ht="15" hidden="false" customHeight="true" outlineLevel="0" collapsed="false">
      <c r="A59" s="6" t="s">
        <v>318</v>
      </c>
      <c r="B59" s="6" t="s">
        <v>301</v>
      </c>
      <c r="C59" s="6" t="s">
        <v>319</v>
      </c>
      <c r="D59" s="6" t="s">
        <v>316</v>
      </c>
      <c r="E59" s="14" t="str">
        <f aca="false">IFERROR(INDEX(Features_Motor!$F:$F,MATCH($A59,Features_Motor!$A:$A,0)),"n/a")</f>
        <v>Test</v>
      </c>
      <c r="F59" s="14" t="str">
        <f aca="false">IFERROR(INDEX(Features_Buildings!$F:$F,MATCH($A59,Features_Buildings!$A:$A,0)),"n/a")</f>
        <v>Test</v>
      </c>
      <c r="G59" s="14" t="str">
        <f aca="false">IFERROR(INDEX(Features_Contents!$F:$F,MATCH($A59,Features_Contents!$A:$A,0)),"n/a")</f>
        <v>Test</v>
      </c>
      <c r="H59" s="6" t="s">
        <v>317</v>
      </c>
    </row>
    <row r="60" customFormat="false" ht="15" hidden="false" customHeight="true" outlineLevel="0" collapsed="false">
      <c r="A60" s="6" t="s">
        <v>320</v>
      </c>
      <c r="B60" s="6" t="s">
        <v>301</v>
      </c>
      <c r="C60" s="6" t="s">
        <v>321</v>
      </c>
      <c r="D60" s="6" t="s">
        <v>322</v>
      </c>
      <c r="E60" s="14" t="str">
        <f aca="false">IFERROR(INDEX(Features_Motor!$F:$F,MATCH($A60,Features_Motor!$A:$A,0)),"n/a")</f>
        <v>Test</v>
      </c>
      <c r="F60" s="14" t="str">
        <f aca="false">IFERROR(INDEX(Features_Buildings!$F:$F,MATCH($A60,Features_Buildings!$A:$A,0)),"n/a")</f>
        <v>Test</v>
      </c>
      <c r="G60" s="14" t="str">
        <f aca="false">IFERROR(INDEX(Features_Contents!$F:$F,MATCH($A60,Features_Contents!$A:$A,0)),"n/a")</f>
        <v>Test</v>
      </c>
      <c r="H60" s="6"/>
    </row>
    <row r="61" customFormat="false" ht="15" hidden="false" customHeight="true" outlineLevel="0" collapsed="false">
      <c r="A61" s="6" t="s">
        <v>324</v>
      </c>
      <c r="B61" s="6" t="s">
        <v>301</v>
      </c>
      <c r="C61" s="6" t="s">
        <v>325</v>
      </c>
      <c r="D61" s="6" t="s">
        <v>326</v>
      </c>
      <c r="E61" s="14" t="str">
        <f aca="false">IFERROR(INDEX(Features_Motor!$F:$F,MATCH($A61,Features_Motor!$A:$A,0)),"n/a")</f>
        <v>Test</v>
      </c>
      <c r="F61" s="14" t="str">
        <f aca="false">IFERROR(INDEX(Features_Buildings!$F:$F,MATCH($A61,Features_Buildings!$A:$A,0)),"n/a")</f>
        <v>Test</v>
      </c>
      <c r="G61" s="14" t="str">
        <f aca="false">IFERROR(INDEX(Features_Contents!$F:$F,MATCH($A61,Features_Contents!$A:$A,0)),"n/a")</f>
        <v>Test</v>
      </c>
      <c r="H61" s="6" t="s">
        <v>328</v>
      </c>
    </row>
    <row r="62" customFormat="false" ht="15" hidden="false" customHeight="true" outlineLevel="0" collapsed="false">
      <c r="A62" s="6" t="s">
        <v>329</v>
      </c>
      <c r="B62" s="6" t="s">
        <v>301</v>
      </c>
      <c r="C62" s="6" t="s">
        <v>330</v>
      </c>
      <c r="D62" s="6" t="s">
        <v>331</v>
      </c>
      <c r="E62" s="14" t="str">
        <f aca="false">IFERROR(INDEX(Features_Motor!$F:$F,MATCH($A62,Features_Motor!$A:$A,0)),"n/a")</f>
        <v>Test</v>
      </c>
      <c r="F62" s="14" t="str">
        <f aca="false">IFERROR(INDEX(Features_Buildings!$F:$F,MATCH($A62,Features_Buildings!$A:$A,0)),"n/a")</f>
        <v>Test</v>
      </c>
      <c r="G62" s="14" t="str">
        <f aca="false">IFERROR(INDEX(Features_Contents!$F:$F,MATCH($A62,Features_Contents!$A:$A,0)),"n/a")</f>
        <v>Test</v>
      </c>
      <c r="H62" s="6"/>
    </row>
    <row r="63" customFormat="false" ht="15" hidden="false" customHeight="true" outlineLevel="0" collapsed="false">
      <c r="A63" s="6" t="s">
        <v>333</v>
      </c>
      <c r="B63" s="6" t="s">
        <v>301</v>
      </c>
      <c r="C63" s="6" t="s">
        <v>334</v>
      </c>
      <c r="D63" s="6" t="s">
        <v>335</v>
      </c>
      <c r="E63" s="14" t="str">
        <f aca="false">IFERROR(INDEX(Features_Motor!$F:$F,MATCH($A63,Features_Motor!$A:$A,0)),"n/a")</f>
        <v>Exclude</v>
      </c>
      <c r="F63" s="14" t="str">
        <f aca="false">IFERROR(INDEX(Features_Buildings!$F:$F,MATCH($A63,Features_Buildings!$A:$A,0)),"n/a")</f>
        <v>Exclude</v>
      </c>
      <c r="G63" s="14" t="str">
        <f aca="false">IFERROR(INDEX(Features_Contents!$F:$F,MATCH($A63,Features_Contents!$A:$A,0)),"n/a")</f>
        <v>Exclude</v>
      </c>
      <c r="H63" s="6" t="s">
        <v>337</v>
      </c>
    </row>
    <row r="64" customFormat="false" ht="23.25" hidden="false" customHeight="true" outlineLevel="0" collapsed="false">
      <c r="A64" s="6" t="s">
        <v>178</v>
      </c>
      <c r="B64" s="6" t="s">
        <v>301</v>
      </c>
      <c r="C64" s="6" t="s">
        <v>338</v>
      </c>
      <c r="D64" s="6" t="s">
        <v>339</v>
      </c>
      <c r="E64" s="14" t="str">
        <f aca="false">IFERROR(INDEX(Features_Motor!$F:$F,MATCH($A64,Features_Motor!$A:$A,0)),"n/a")</f>
        <v>Exclude</v>
      </c>
      <c r="F64" s="14" t="str">
        <f aca="false">IFERROR(INDEX(Features_Buildings!$F:$F,MATCH($A64,Features_Buildings!$A:$A,0)),"n/a")</f>
        <v>Exclude</v>
      </c>
      <c r="G64" s="14" t="str">
        <f aca="false">IFERROR(INDEX(Features_Contents!$F:$F,MATCH($A64,Features_Contents!$A:$A,0)),"n/a")</f>
        <v>Exclude</v>
      </c>
      <c r="H64" s="6" t="s">
        <v>341</v>
      </c>
    </row>
    <row r="65" customFormat="false" ht="15" hidden="false" customHeight="true" outlineLevel="0" collapsed="false">
      <c r="A65" s="6" t="s">
        <v>792</v>
      </c>
      <c r="B65" s="6" t="s">
        <v>301</v>
      </c>
      <c r="C65" s="6" t="s">
        <v>793</v>
      </c>
      <c r="D65" s="6" t="s">
        <v>828</v>
      </c>
      <c r="E65" s="14" t="str">
        <f aca="false">IFERROR(INDEX(Features_Motor!$F:$F,MATCH($A65,Features_Motor!$A:$A,0)),"n/a")</f>
        <v>n/a</v>
      </c>
      <c r="F65" s="14" t="str">
        <f aca="false">IFERROR(INDEX(Features_Buildings!$F:$F,MATCH($A65,Features_Buildings!$A:$A,0)),"n/a")</f>
        <v>n/a</v>
      </c>
      <c r="G65" s="14" t="str">
        <f aca="false">IFERROR(INDEX(Features_Contents!$F:$F,MATCH($A65,Features_Contents!$A:$A,0)),"n/a")</f>
        <v>n/a</v>
      </c>
      <c r="H65" s="6" t="s">
        <v>829</v>
      </c>
    </row>
    <row r="66" customFormat="false" ht="15" hidden="false" customHeight="true" outlineLevel="0" collapsed="false">
      <c r="A66" s="6" t="s">
        <v>342</v>
      </c>
      <c r="B66" s="6" t="s">
        <v>343</v>
      </c>
      <c r="C66" s="6" t="s">
        <v>344</v>
      </c>
      <c r="D66" s="6" t="s">
        <v>345</v>
      </c>
      <c r="E66" s="14" t="str">
        <f aca="false">IFERROR(INDEX(Features_Motor!$F:$F,MATCH($A66,Features_Motor!$A:$A,0)),"n/a")</f>
        <v>Test</v>
      </c>
      <c r="F66" s="14" t="str">
        <f aca="false">IFERROR(INDEX(Features_Buildings!$F:$F,MATCH($A66,Features_Buildings!$A:$A,0)),"n/a")</f>
        <v>Exclude</v>
      </c>
      <c r="G66" s="14" t="str">
        <f aca="false">IFERROR(INDEX(Features_Contents!$F:$F,MATCH($A66,Features_Contents!$A:$A,0)),"n/a")</f>
        <v>Exclude</v>
      </c>
      <c r="H66" s="6" t="s">
        <v>347</v>
      </c>
    </row>
    <row r="67" customFormat="false" ht="15" hidden="false" customHeight="true" outlineLevel="0" collapsed="false">
      <c r="A67" s="6" t="s">
        <v>348</v>
      </c>
      <c r="B67" s="6" t="s">
        <v>343</v>
      </c>
      <c r="C67" s="6" t="s">
        <v>349</v>
      </c>
      <c r="D67" s="6" t="s">
        <v>350</v>
      </c>
      <c r="E67" s="14" t="str">
        <f aca="false">IFERROR(INDEX(Features_Motor!$F:$F,MATCH($A67,Features_Motor!$A:$A,0)),"n/a")</f>
        <v>Test</v>
      </c>
      <c r="F67" s="14" t="str">
        <f aca="false">IFERROR(INDEX(Features_Buildings!$F:$F,MATCH($A67,Features_Buildings!$A:$A,0)),"n/a")</f>
        <v>Exclude</v>
      </c>
      <c r="G67" s="14" t="str">
        <f aca="false">IFERROR(INDEX(Features_Contents!$F:$F,MATCH($A67,Features_Contents!$A:$A,0)),"n/a")</f>
        <v>Exclude</v>
      </c>
      <c r="H67" s="6" t="s">
        <v>352</v>
      </c>
    </row>
    <row r="68" customFormat="false" ht="15" hidden="false" customHeight="true" outlineLevel="0" collapsed="false">
      <c r="A68" s="6" t="s">
        <v>353</v>
      </c>
      <c r="B68" s="6" t="s">
        <v>343</v>
      </c>
      <c r="C68" s="6" t="s">
        <v>354</v>
      </c>
      <c r="D68" s="6" t="s">
        <v>355</v>
      </c>
      <c r="E68" s="14" t="str">
        <f aca="false">IFERROR(INDEX(Features_Motor!$F:$F,MATCH($A68,Features_Motor!$A:$A,0)),"n/a")</f>
        <v>Exclude</v>
      </c>
      <c r="F68" s="14" t="str">
        <f aca="false">IFERROR(INDEX(Features_Buildings!$F:$F,MATCH($A68,Features_Buildings!$A:$A,0)),"n/a")</f>
        <v>Test</v>
      </c>
      <c r="G68" s="14" t="str">
        <f aca="false">IFERROR(INDEX(Features_Contents!$F:$F,MATCH($A68,Features_Contents!$A:$A,0)),"n/a")</f>
        <v>Test</v>
      </c>
      <c r="H68" s="6"/>
    </row>
    <row r="69" customFormat="false" ht="23.25" hidden="false" customHeight="true" outlineLevel="0" collapsed="false">
      <c r="A69" s="6" t="s">
        <v>357</v>
      </c>
      <c r="B69" s="6" t="s">
        <v>343</v>
      </c>
      <c r="C69" s="6" t="s">
        <v>358</v>
      </c>
      <c r="D69" s="6" t="s">
        <v>359</v>
      </c>
      <c r="E69" s="14" t="str">
        <f aca="false">IFERROR(INDEX(Features_Motor!$F:$F,MATCH($A69,Features_Motor!$A:$A,0)),"n/a")</f>
        <v>Test</v>
      </c>
      <c r="F69" s="14" t="str">
        <f aca="false">IFERROR(INDEX(Features_Buildings!$F:$F,MATCH($A69,Features_Buildings!$A:$A,0)),"n/a")</f>
        <v>Test</v>
      </c>
      <c r="G69" s="14" t="str">
        <f aca="false">IFERROR(INDEX(Features_Contents!$F:$F,MATCH($A69,Features_Contents!$A:$A,0)),"n/a")</f>
        <v>Test</v>
      </c>
      <c r="H69" s="6" t="s">
        <v>361</v>
      </c>
    </row>
    <row r="70" customFormat="false" ht="15" hidden="false" customHeight="true" outlineLevel="0" collapsed="false">
      <c r="A70" s="6" t="s">
        <v>362</v>
      </c>
      <c r="B70" s="6" t="s">
        <v>343</v>
      </c>
      <c r="C70" s="6" t="s">
        <v>363</v>
      </c>
      <c r="D70" s="6" t="s">
        <v>161</v>
      </c>
      <c r="E70" s="14" t="str">
        <f aca="false">IFERROR(INDEX(Features_Motor!$F:$F,MATCH($A70,Features_Motor!$A:$A,0)),"n/a")</f>
        <v>Include</v>
      </c>
      <c r="F70" s="14" t="str">
        <f aca="false">IFERROR(INDEX(Features_Buildings!$F:$F,MATCH($A70,Features_Buildings!$A:$A,0)),"n/a")</f>
        <v>Include</v>
      </c>
      <c r="G70" s="14" t="str">
        <f aca="false">IFERROR(INDEX(Features_Contents!$F:$F,MATCH($A70,Features_Contents!$A:$A,0)),"n/a")</f>
        <v>Include</v>
      </c>
      <c r="H70" s="6"/>
    </row>
    <row r="71" customFormat="false" ht="15" hidden="false" customHeight="true" outlineLevel="0" collapsed="false">
      <c r="A71" s="6" t="s">
        <v>365</v>
      </c>
      <c r="B71" s="6" t="s">
        <v>343</v>
      </c>
      <c r="C71" s="6" t="s">
        <v>366</v>
      </c>
      <c r="D71" s="6" t="s">
        <v>367</v>
      </c>
      <c r="E71" s="14" t="str">
        <f aca="false">IFERROR(INDEX(Features_Motor!$F:$F,MATCH($A71,Features_Motor!$A:$A,0)),"n/a")</f>
        <v>Include</v>
      </c>
      <c r="F71" s="14" t="str">
        <f aca="false">IFERROR(INDEX(Features_Buildings!$F:$F,MATCH($A71,Features_Buildings!$A:$A,0)),"n/a")</f>
        <v>Exclude</v>
      </c>
      <c r="G71" s="14" t="str">
        <f aca="false">IFERROR(INDEX(Features_Contents!$F:$F,MATCH($A71,Features_Contents!$A:$A,0)),"n/a")</f>
        <v>Exclude</v>
      </c>
      <c r="H71" s="6"/>
    </row>
    <row r="72" customFormat="false" ht="15" hidden="false" customHeight="true" outlineLevel="0" collapsed="false">
      <c r="A72" s="6" t="s">
        <v>368</v>
      </c>
      <c r="B72" s="6" t="s">
        <v>343</v>
      </c>
      <c r="C72" s="6" t="s">
        <v>369</v>
      </c>
      <c r="D72" s="6" t="s">
        <v>370</v>
      </c>
      <c r="E72" s="14" t="str">
        <f aca="false">IFERROR(INDEX(Features_Motor!$F:$F,MATCH($A72,Features_Motor!$A:$A,0)),"n/a")</f>
        <v>Test</v>
      </c>
      <c r="F72" s="14" t="str">
        <f aca="false">IFERROR(INDEX(Features_Buildings!$F:$F,MATCH($A72,Features_Buildings!$A:$A,0)),"n/a")</f>
        <v>Test</v>
      </c>
      <c r="G72" s="14" t="str">
        <f aca="false">IFERROR(INDEX(Features_Contents!$F:$F,MATCH($A72,Features_Contents!$A:$A,0)),"n/a")</f>
        <v>Test</v>
      </c>
      <c r="H72" s="6"/>
    </row>
    <row r="73" customFormat="false" ht="23.25" hidden="false" customHeight="true" outlineLevel="0" collapsed="false">
      <c r="A73" s="6" t="s">
        <v>371</v>
      </c>
      <c r="B73" s="6" t="s">
        <v>343</v>
      </c>
      <c r="C73" s="6" t="s">
        <v>372</v>
      </c>
      <c r="D73" s="6" t="s">
        <v>373</v>
      </c>
      <c r="E73" s="14" t="str">
        <f aca="false">IFERROR(INDEX(Features_Motor!$F:$F,MATCH($A73,Features_Motor!$A:$A,0)),"n/a")</f>
        <v>Exclude</v>
      </c>
      <c r="F73" s="14" t="str">
        <f aca="false">IFERROR(INDEX(Features_Buildings!$F:$F,MATCH($A73,Features_Buildings!$A:$A,0)),"n/a")</f>
        <v>Exclude</v>
      </c>
      <c r="G73" s="14" t="str">
        <f aca="false">IFERROR(INDEX(Features_Contents!$F:$F,MATCH($A73,Features_Contents!$A:$A,0)),"n/a")</f>
        <v>Exclude</v>
      </c>
      <c r="H73" s="6" t="s">
        <v>375</v>
      </c>
    </row>
    <row r="74" customFormat="false" ht="15" hidden="false" customHeight="true" outlineLevel="0" collapsed="false">
      <c r="A74" s="6" t="s">
        <v>376</v>
      </c>
      <c r="B74" s="6" t="s">
        <v>343</v>
      </c>
      <c r="C74" s="6" t="s">
        <v>377</v>
      </c>
      <c r="D74" s="6" t="s">
        <v>257</v>
      </c>
      <c r="E74" s="14" t="str">
        <f aca="false">IFERROR(INDEX(Features_Motor!$F:$F,MATCH($A74,Features_Motor!$A:$A,0)),"n/a")</f>
        <v>Exclude</v>
      </c>
      <c r="F74" s="14" t="str">
        <f aca="false">IFERROR(INDEX(Features_Buildings!$F:$F,MATCH($A74,Features_Buildings!$A:$A,0)),"n/a")</f>
        <v>Exclude</v>
      </c>
      <c r="G74" s="14" t="str">
        <f aca="false">IFERROR(INDEX(Features_Contents!$F:$F,MATCH($A74,Features_Contents!$A:$A,0)),"n/a")</f>
        <v>Exclude</v>
      </c>
      <c r="H74" s="6" t="s">
        <v>379</v>
      </c>
    </row>
    <row r="75" customFormat="false" ht="15" hidden="false" customHeight="true" outlineLevel="0" collapsed="false">
      <c r="A75" s="6" t="s">
        <v>380</v>
      </c>
      <c r="B75" s="6" t="s">
        <v>343</v>
      </c>
      <c r="C75" s="6" t="s">
        <v>381</v>
      </c>
      <c r="D75" s="6" t="s">
        <v>382</v>
      </c>
      <c r="E75" s="14" t="str">
        <f aca="false">IFERROR(INDEX(Features_Motor!$F:$F,MATCH($A75,Features_Motor!$A:$A,0)),"n/a")</f>
        <v>Exclude</v>
      </c>
      <c r="F75" s="14" t="str">
        <f aca="false">IFERROR(INDEX(Features_Buildings!$F:$F,MATCH($A75,Features_Buildings!$A:$A,0)),"n/a")</f>
        <v>Exclude</v>
      </c>
      <c r="G75" s="14" t="str">
        <f aca="false">IFERROR(INDEX(Features_Contents!$F:$F,MATCH($A75,Features_Contents!$A:$A,0)),"n/a")</f>
        <v>Exclude</v>
      </c>
      <c r="H75" s="6" t="s">
        <v>383</v>
      </c>
    </row>
    <row r="76" customFormat="false" ht="15" hidden="false" customHeight="true" outlineLevel="0" collapsed="false">
      <c r="A76" s="6" t="s">
        <v>384</v>
      </c>
      <c r="B76" s="6" t="s">
        <v>343</v>
      </c>
      <c r="C76" s="6" t="s">
        <v>385</v>
      </c>
      <c r="D76" s="6" t="s">
        <v>386</v>
      </c>
      <c r="E76" s="14" t="str">
        <f aca="false">IFERROR(INDEX(Features_Motor!$F:$F,MATCH($A76,Features_Motor!$A:$A,0)),"n/a")</f>
        <v>Exclude</v>
      </c>
      <c r="F76" s="14" t="str">
        <f aca="false">IFERROR(INDEX(Features_Buildings!$F:$F,MATCH($A76,Features_Buildings!$A:$A,0)),"n/a")</f>
        <v>Exclude</v>
      </c>
      <c r="G76" s="14" t="str">
        <f aca="false">IFERROR(INDEX(Features_Contents!$F:$F,MATCH($A76,Features_Contents!$A:$A,0)),"n/a")</f>
        <v>Exclude</v>
      </c>
      <c r="H76" s="6" t="s">
        <v>387</v>
      </c>
    </row>
    <row r="77" customFormat="false" ht="23.25" hidden="false" customHeight="true" outlineLevel="0" collapsed="false">
      <c r="A77" s="6" t="s">
        <v>388</v>
      </c>
      <c r="B77" s="6" t="s">
        <v>343</v>
      </c>
      <c r="C77" s="6" t="s">
        <v>389</v>
      </c>
      <c r="D77" s="6" t="s">
        <v>390</v>
      </c>
      <c r="E77" s="14" t="str">
        <f aca="false">IFERROR(INDEX(Features_Motor!$F:$F,MATCH($A77,Features_Motor!$A:$A,0)),"n/a")</f>
        <v>Exclude</v>
      </c>
      <c r="F77" s="14" t="str">
        <f aca="false">IFERROR(INDEX(Features_Buildings!$F:$F,MATCH($A77,Features_Buildings!$A:$A,0)),"n/a")</f>
        <v>Exclude</v>
      </c>
      <c r="G77" s="14" t="str">
        <f aca="false">IFERROR(INDEX(Features_Contents!$F:$F,MATCH($A77,Features_Contents!$A:$A,0)),"n/a")</f>
        <v>Exclude</v>
      </c>
      <c r="H77" s="6" t="s">
        <v>392</v>
      </c>
    </row>
    <row r="78" customFormat="false" ht="15" hidden="false" customHeight="true" outlineLevel="0" collapsed="false">
      <c r="A78" s="6" t="s">
        <v>393</v>
      </c>
      <c r="B78" s="6" t="s">
        <v>343</v>
      </c>
      <c r="C78" s="6" t="s">
        <v>394</v>
      </c>
      <c r="D78" s="6" t="s">
        <v>395</v>
      </c>
      <c r="E78" s="14" t="str">
        <f aca="false">IFERROR(INDEX(Features_Motor!$F:$F,MATCH($A78,Features_Motor!$A:$A,0)),"n/a")</f>
        <v>Exclude</v>
      </c>
      <c r="F78" s="14" t="str">
        <f aca="false">IFERROR(INDEX(Features_Buildings!$F:$F,MATCH($A78,Features_Buildings!$A:$A,0)),"n/a")</f>
        <v>Exclude</v>
      </c>
      <c r="G78" s="14" t="str">
        <f aca="false">IFERROR(INDEX(Features_Contents!$F:$F,MATCH($A78,Features_Contents!$A:$A,0)),"n/a")</f>
        <v>Exclude</v>
      </c>
      <c r="H78" s="6" t="s">
        <v>396</v>
      </c>
    </row>
    <row r="79" customFormat="false" ht="15" hidden="false" customHeight="true" outlineLevel="0" collapsed="false">
      <c r="A79" s="6" t="s">
        <v>397</v>
      </c>
      <c r="B79" s="6" t="s">
        <v>343</v>
      </c>
      <c r="C79" s="6" t="s">
        <v>398</v>
      </c>
      <c r="D79" s="6" t="s">
        <v>399</v>
      </c>
      <c r="E79" s="14" t="str">
        <f aca="false">IFERROR(INDEX(Features_Motor!$F:$F,MATCH($A79,Features_Motor!$A:$A,0)),"n/a")</f>
        <v>Exclude</v>
      </c>
      <c r="F79" s="14" t="str">
        <f aca="false">IFERROR(INDEX(Features_Buildings!$F:$F,MATCH($A79,Features_Buildings!$A:$A,0)),"n/a")</f>
        <v>Exclude</v>
      </c>
      <c r="G79" s="14" t="str">
        <f aca="false">IFERROR(INDEX(Features_Contents!$F:$F,MATCH($A79,Features_Contents!$A:$A,0)),"n/a")</f>
        <v>Exclude</v>
      </c>
      <c r="H79" s="6" t="s">
        <v>400</v>
      </c>
    </row>
    <row r="80" customFormat="false" ht="23.25" hidden="false" customHeight="true" outlineLevel="0" collapsed="false">
      <c r="A80" s="6" t="s">
        <v>401</v>
      </c>
      <c r="B80" s="6" t="s">
        <v>343</v>
      </c>
      <c r="C80" s="6" t="s">
        <v>402</v>
      </c>
      <c r="D80" s="6" t="s">
        <v>403</v>
      </c>
      <c r="E80" s="14" t="str">
        <f aca="false">IFERROR(INDEX(Features_Motor!$F:$F,MATCH($A80,Features_Motor!$A:$A,0)),"n/a")</f>
        <v>Exclude</v>
      </c>
      <c r="F80" s="14" t="str">
        <f aca="false">IFERROR(INDEX(Features_Buildings!$F:$F,MATCH($A80,Features_Buildings!$A:$A,0)),"n/a")</f>
        <v>Exclude</v>
      </c>
      <c r="G80" s="14" t="str">
        <f aca="false">IFERROR(INDEX(Features_Contents!$F:$F,MATCH($A80,Features_Contents!$A:$A,0)),"n/a")</f>
        <v>Exclude</v>
      </c>
      <c r="H80" s="6" t="s">
        <v>404</v>
      </c>
    </row>
    <row r="81" customFormat="false" ht="15" hidden="false" customHeight="true" outlineLevel="0" collapsed="false">
      <c r="A81" s="6" t="s">
        <v>405</v>
      </c>
      <c r="B81" s="6" t="s">
        <v>406</v>
      </c>
      <c r="C81" s="6" t="s">
        <v>407</v>
      </c>
      <c r="D81" s="6" t="s">
        <v>408</v>
      </c>
      <c r="E81" s="14" t="str">
        <f aca="false">IFERROR(INDEX(Features_Motor!$F:$F,MATCH($A81,Features_Motor!$A:$A,0)),"n/a")</f>
        <v>Include</v>
      </c>
      <c r="F81" s="14" t="str">
        <f aca="false">IFERROR(INDEX(Features_Buildings!$F:$F,MATCH($A81,Features_Buildings!$A:$A,0)),"n/a")</f>
        <v>Include</v>
      </c>
      <c r="G81" s="14" t="str">
        <f aca="false">IFERROR(INDEX(Features_Contents!$F:$F,MATCH($A81,Features_Contents!$A:$A,0)),"n/a")</f>
        <v>Include</v>
      </c>
      <c r="H81" s="6"/>
    </row>
    <row r="82" customFormat="false" ht="15" hidden="false" customHeight="true" outlineLevel="0" collapsed="false">
      <c r="A82" s="6" t="s">
        <v>410</v>
      </c>
      <c r="B82" s="6" t="s">
        <v>406</v>
      </c>
      <c r="C82" s="6" t="s">
        <v>411</v>
      </c>
      <c r="D82" s="6" t="s">
        <v>412</v>
      </c>
      <c r="E82" s="14" t="str">
        <f aca="false">IFERROR(INDEX(Features_Motor!$F:$F,MATCH($A82,Features_Motor!$A:$A,0)),"n/a")</f>
        <v>Include</v>
      </c>
      <c r="F82" s="14" t="str">
        <f aca="false">IFERROR(INDEX(Features_Buildings!$F:$F,MATCH($A82,Features_Buildings!$A:$A,0)),"n/a")</f>
        <v>Test</v>
      </c>
      <c r="G82" s="14" t="str">
        <f aca="false">IFERROR(INDEX(Features_Contents!$F:$F,MATCH($A82,Features_Contents!$A:$A,0)),"n/a")</f>
        <v>Include</v>
      </c>
      <c r="H82" s="6"/>
    </row>
    <row r="83" customFormat="false" ht="15" hidden="false" customHeight="true" outlineLevel="0" collapsed="false">
      <c r="A83" s="6" t="s">
        <v>414</v>
      </c>
      <c r="B83" s="6" t="s">
        <v>406</v>
      </c>
      <c r="C83" s="6" t="s">
        <v>415</v>
      </c>
      <c r="D83" s="6" t="s">
        <v>416</v>
      </c>
      <c r="E83" s="14" t="str">
        <f aca="false">IFERROR(INDEX(Features_Motor!$F:$F,MATCH($A83,Features_Motor!$A:$A,0)),"n/a")</f>
        <v>Exclude</v>
      </c>
      <c r="F83" s="14" t="str">
        <f aca="false">IFERROR(INDEX(Features_Buildings!$F:$F,MATCH($A83,Features_Buildings!$A:$A,0)),"n/a")</f>
        <v>Include</v>
      </c>
      <c r="G83" s="14" t="str">
        <f aca="false">IFERROR(INDEX(Features_Contents!$F:$F,MATCH($A83,Features_Contents!$A:$A,0)),"n/a")</f>
        <v>Include</v>
      </c>
      <c r="H83" s="6"/>
    </row>
    <row r="84" customFormat="false" ht="15" hidden="false" customHeight="true" outlineLevel="0" collapsed="false">
      <c r="A84" s="6" t="s">
        <v>418</v>
      </c>
      <c r="B84" s="6" t="s">
        <v>406</v>
      </c>
      <c r="C84" s="6" t="s">
        <v>419</v>
      </c>
      <c r="D84" s="6" t="s">
        <v>416</v>
      </c>
      <c r="E84" s="14" t="str">
        <f aca="false">IFERROR(INDEX(Features_Motor!$F:$F,MATCH($A84,Features_Motor!$A:$A,0)),"n/a")</f>
        <v>Exclude</v>
      </c>
      <c r="F84" s="14" t="str">
        <f aca="false">IFERROR(INDEX(Features_Buildings!$F:$F,MATCH($A84,Features_Buildings!$A:$A,0)),"n/a")</f>
        <v>Include</v>
      </c>
      <c r="G84" s="14" t="str">
        <f aca="false">IFERROR(INDEX(Features_Contents!$F:$F,MATCH($A84,Features_Contents!$A:$A,0)),"n/a")</f>
        <v>Include</v>
      </c>
      <c r="H84" s="6"/>
    </row>
    <row r="85" customFormat="false" ht="15" hidden="false" customHeight="true" outlineLevel="0" collapsed="false">
      <c r="A85" s="6" t="s">
        <v>421</v>
      </c>
      <c r="B85" s="6" t="s">
        <v>406</v>
      </c>
      <c r="C85" s="6" t="s">
        <v>422</v>
      </c>
      <c r="D85" s="6" t="s">
        <v>416</v>
      </c>
      <c r="E85" s="14" t="str">
        <f aca="false">IFERROR(INDEX(Features_Motor!$F:$F,MATCH($A85,Features_Motor!$A:$A,0)),"n/a")</f>
        <v>Exclude</v>
      </c>
      <c r="F85" s="14" t="str">
        <f aca="false">IFERROR(INDEX(Features_Buildings!$F:$F,MATCH($A85,Features_Buildings!$A:$A,0)),"n/a")</f>
        <v>Include</v>
      </c>
      <c r="G85" s="14" t="str">
        <f aca="false">IFERROR(INDEX(Features_Contents!$F:$F,MATCH($A85,Features_Contents!$A:$A,0)),"n/a")</f>
        <v>Include</v>
      </c>
      <c r="H85" s="6"/>
    </row>
    <row r="86" customFormat="false" ht="15" hidden="false" customHeight="true" outlineLevel="0" collapsed="false">
      <c r="A86" s="6" t="s">
        <v>423</v>
      </c>
      <c r="B86" s="6" t="s">
        <v>406</v>
      </c>
      <c r="C86" s="6" t="s">
        <v>424</v>
      </c>
      <c r="D86" s="6" t="s">
        <v>425</v>
      </c>
      <c r="E86" s="14" t="str">
        <f aca="false">IFERROR(INDEX(Features_Motor!$F:$F,MATCH($A86,Features_Motor!$A:$A,0)),"n/a")</f>
        <v>Exclude</v>
      </c>
      <c r="F86" s="14" t="str">
        <f aca="false">IFERROR(INDEX(Features_Buildings!$F:$F,MATCH($A86,Features_Buildings!$A:$A,0)),"n/a")</f>
        <v>Include</v>
      </c>
      <c r="G86" s="14" t="str">
        <f aca="false">IFERROR(INDEX(Features_Contents!$F:$F,MATCH($A86,Features_Contents!$A:$A,0)),"n/a")</f>
        <v>Exclude</v>
      </c>
      <c r="H86" s="6"/>
    </row>
    <row r="87" customFormat="false" ht="15" hidden="false" customHeight="true" outlineLevel="0" collapsed="false">
      <c r="A87" s="6" t="s">
        <v>426</v>
      </c>
      <c r="B87" s="6" t="s">
        <v>406</v>
      </c>
      <c r="C87" s="6" t="s">
        <v>427</v>
      </c>
      <c r="D87" s="6" t="s">
        <v>428</v>
      </c>
      <c r="E87" s="14" t="str">
        <f aca="false">IFERROR(INDEX(Features_Motor!$F:$F,MATCH($A87,Features_Motor!$A:$A,0)),"n/a")</f>
        <v>Exclude</v>
      </c>
      <c r="F87" s="14" t="str">
        <f aca="false">IFERROR(INDEX(Features_Buildings!$F:$F,MATCH($A87,Features_Buildings!$A:$A,0)),"n/a")</f>
        <v>Include</v>
      </c>
      <c r="G87" s="14" t="str">
        <f aca="false">IFERROR(INDEX(Features_Contents!$F:$F,MATCH($A87,Features_Contents!$A:$A,0)),"n/a")</f>
        <v>Include</v>
      </c>
      <c r="H87" s="6"/>
    </row>
    <row r="88" customFormat="false" ht="15" hidden="false" customHeight="true" outlineLevel="0" collapsed="false">
      <c r="A88" s="6" t="s">
        <v>430</v>
      </c>
      <c r="B88" s="6" t="s">
        <v>406</v>
      </c>
      <c r="C88" s="6" t="s">
        <v>431</v>
      </c>
      <c r="D88" s="6" t="s">
        <v>432</v>
      </c>
      <c r="E88" s="14" t="str">
        <f aca="false">IFERROR(INDEX(Features_Motor!$F:$F,MATCH($A88,Features_Motor!$A:$A,0)),"n/a")</f>
        <v>Exclude</v>
      </c>
      <c r="F88" s="14" t="str">
        <f aca="false">IFERROR(INDEX(Features_Buildings!$F:$F,MATCH($A88,Features_Buildings!$A:$A,0)),"n/a")</f>
        <v>Include</v>
      </c>
      <c r="G88" s="14" t="str">
        <f aca="false">IFERROR(INDEX(Features_Contents!$F:$F,MATCH($A88,Features_Contents!$A:$A,0)),"n/a")</f>
        <v>Include</v>
      </c>
      <c r="H88" s="6"/>
    </row>
    <row r="89" customFormat="false" ht="15" hidden="false" customHeight="true" outlineLevel="0" collapsed="false">
      <c r="A89" s="6" t="s">
        <v>433</v>
      </c>
      <c r="B89" s="6" t="s">
        <v>406</v>
      </c>
      <c r="C89" s="6" t="s">
        <v>434</v>
      </c>
      <c r="D89" s="6" t="s">
        <v>435</v>
      </c>
      <c r="E89" s="14" t="str">
        <f aca="false">IFERROR(INDEX(Features_Motor!$F:$F,MATCH($A89,Features_Motor!$A:$A,0)),"n/a")</f>
        <v>Exclude</v>
      </c>
      <c r="F89" s="14" t="str">
        <f aca="false">IFERROR(INDEX(Features_Buildings!$F:$F,MATCH($A89,Features_Buildings!$A:$A,0)),"n/a")</f>
        <v>Include</v>
      </c>
      <c r="G89" s="14" t="str">
        <f aca="false">IFERROR(INDEX(Features_Contents!$F:$F,MATCH($A89,Features_Contents!$A:$A,0)),"n/a")</f>
        <v>Test</v>
      </c>
      <c r="H89" s="6"/>
    </row>
    <row r="90" customFormat="false" ht="15" hidden="false" customHeight="true" outlineLevel="0" collapsed="false">
      <c r="A90" s="6" t="s">
        <v>436</v>
      </c>
      <c r="B90" s="6" t="s">
        <v>406</v>
      </c>
      <c r="C90" s="6" t="s">
        <v>437</v>
      </c>
      <c r="D90" s="6" t="s">
        <v>438</v>
      </c>
      <c r="E90" s="14" t="str">
        <f aca="false">IFERROR(INDEX(Features_Motor!$F:$F,MATCH($A90,Features_Motor!$A:$A,0)),"n/a")</f>
        <v>Exclude</v>
      </c>
      <c r="F90" s="14" t="str">
        <f aca="false">IFERROR(INDEX(Features_Buildings!$F:$F,MATCH($A90,Features_Buildings!$A:$A,0)),"n/a")</f>
        <v>Include</v>
      </c>
      <c r="G90" s="14" t="str">
        <f aca="false">IFERROR(INDEX(Features_Contents!$F:$F,MATCH($A90,Features_Contents!$A:$A,0)),"n/a")</f>
        <v>Include</v>
      </c>
      <c r="H90" s="6"/>
    </row>
    <row r="91" customFormat="false" ht="23.25" hidden="false" customHeight="true" outlineLevel="0" collapsed="false">
      <c r="A91" s="6" t="s">
        <v>439</v>
      </c>
      <c r="B91" s="6" t="s">
        <v>406</v>
      </c>
      <c r="C91" s="6" t="s">
        <v>440</v>
      </c>
      <c r="D91" s="6" t="s">
        <v>441</v>
      </c>
      <c r="E91" s="14" t="str">
        <f aca="false">IFERROR(INDEX(Features_Motor!$F:$F,MATCH($A91,Features_Motor!$A:$A,0)),"n/a")</f>
        <v>Exclude</v>
      </c>
      <c r="F91" s="14" t="str">
        <f aca="false">IFERROR(INDEX(Features_Buildings!$F:$F,MATCH($A91,Features_Buildings!$A:$A,0)),"n/a")</f>
        <v>Include</v>
      </c>
      <c r="G91" s="14" t="str">
        <f aca="false">IFERROR(INDEX(Features_Contents!$F:$F,MATCH($A91,Features_Contents!$A:$A,0)),"n/a")</f>
        <v>Exclude</v>
      </c>
      <c r="H91" s="6"/>
    </row>
    <row r="92" customFormat="false" ht="15" hidden="false" customHeight="true" outlineLevel="0" collapsed="false">
      <c r="A92" s="6" t="s">
        <v>442</v>
      </c>
      <c r="B92" s="6" t="s">
        <v>406</v>
      </c>
      <c r="C92" s="6" t="s">
        <v>443</v>
      </c>
      <c r="D92" s="6" t="s">
        <v>444</v>
      </c>
      <c r="E92" s="14" t="str">
        <f aca="false">IFERROR(INDEX(Features_Motor!$F:$F,MATCH($A92,Features_Motor!$A:$A,0)),"n/a")</f>
        <v>Exclude</v>
      </c>
      <c r="F92" s="14" t="str">
        <f aca="false">IFERROR(INDEX(Features_Buildings!$F:$F,MATCH($A92,Features_Buildings!$A:$A,0)),"n/a")</f>
        <v>Include</v>
      </c>
      <c r="G92" s="14" t="str">
        <f aca="false">IFERROR(INDEX(Features_Contents!$F:$F,MATCH($A92,Features_Contents!$A:$A,0)),"n/a")</f>
        <v>Exclude</v>
      </c>
      <c r="H92" s="6"/>
    </row>
    <row r="93" customFormat="false" ht="15" hidden="false" customHeight="true" outlineLevel="0" collapsed="false">
      <c r="A93" s="6" t="s">
        <v>445</v>
      </c>
      <c r="B93" s="6" t="s">
        <v>406</v>
      </c>
      <c r="C93" s="6" t="s">
        <v>446</v>
      </c>
      <c r="D93" s="6" t="s">
        <v>447</v>
      </c>
      <c r="E93" s="14" t="str">
        <f aca="false">IFERROR(INDEX(Features_Motor!$F:$F,MATCH($A93,Features_Motor!$A:$A,0)),"n/a")</f>
        <v>Exclude</v>
      </c>
      <c r="F93" s="14" t="str">
        <f aca="false">IFERROR(INDEX(Features_Buildings!$F:$F,MATCH($A93,Features_Buildings!$A:$A,0)),"n/a")</f>
        <v>Include</v>
      </c>
      <c r="G93" s="14" t="str">
        <f aca="false">IFERROR(INDEX(Features_Contents!$F:$F,MATCH($A93,Features_Contents!$A:$A,0)),"n/a")</f>
        <v>Test</v>
      </c>
      <c r="H93" s="6"/>
    </row>
    <row r="94" customFormat="false" ht="15" hidden="false" customHeight="true" outlineLevel="0" collapsed="false">
      <c r="A94" s="6" t="s">
        <v>448</v>
      </c>
      <c r="B94" s="6" t="s">
        <v>406</v>
      </c>
      <c r="C94" s="6" t="s">
        <v>449</v>
      </c>
      <c r="D94" s="6" t="s">
        <v>450</v>
      </c>
      <c r="E94" s="14" t="str">
        <f aca="false">IFERROR(INDEX(Features_Motor!$F:$F,MATCH($A94,Features_Motor!$A:$A,0)),"n/a")</f>
        <v>Exclude</v>
      </c>
      <c r="F94" s="14" t="str">
        <f aca="false">IFERROR(INDEX(Features_Buildings!$F:$F,MATCH($A94,Features_Buildings!$A:$A,0)),"n/a")</f>
        <v>Test</v>
      </c>
      <c r="G94" s="14" t="str">
        <f aca="false">IFERROR(INDEX(Features_Contents!$F:$F,MATCH($A94,Features_Contents!$A:$A,0)),"n/a")</f>
        <v>Exclude</v>
      </c>
      <c r="H94" s="6" t="s">
        <v>451</v>
      </c>
    </row>
    <row r="95" customFormat="false" ht="15" hidden="false" customHeight="true" outlineLevel="0" collapsed="false">
      <c r="A95" s="6" t="s">
        <v>452</v>
      </c>
      <c r="B95" s="6" t="s">
        <v>406</v>
      </c>
      <c r="C95" s="6" t="s">
        <v>453</v>
      </c>
      <c r="D95" s="6" t="s">
        <v>454</v>
      </c>
      <c r="E95" s="14" t="str">
        <f aca="false">IFERROR(INDEX(Features_Motor!$F:$F,MATCH($A95,Features_Motor!$A:$A,0)),"n/a")</f>
        <v>Exclude</v>
      </c>
      <c r="F95" s="14" t="str">
        <f aca="false">IFERROR(INDEX(Features_Buildings!$F:$F,MATCH($A95,Features_Buildings!$A:$A,0)),"n/a")</f>
        <v>Test</v>
      </c>
      <c r="G95" s="14" t="str">
        <f aca="false">IFERROR(INDEX(Features_Contents!$F:$F,MATCH($A95,Features_Contents!$A:$A,0)),"n/a")</f>
        <v>Exclude</v>
      </c>
      <c r="H95" s="6"/>
    </row>
    <row r="96" customFormat="false" ht="23.25" hidden="false" customHeight="true" outlineLevel="0" collapsed="false">
      <c r="A96" s="6" t="s">
        <v>455</v>
      </c>
      <c r="B96" s="6" t="s">
        <v>456</v>
      </c>
      <c r="C96" s="6" t="s">
        <v>457</v>
      </c>
      <c r="D96" s="6" t="s">
        <v>458</v>
      </c>
      <c r="E96" s="14" t="str">
        <f aca="false">IFERROR(INDEX(Features_Motor!$F:$F,MATCH($A96,Features_Motor!$A:$A,0)),"n/a")</f>
        <v>Include</v>
      </c>
      <c r="F96" s="14" t="str">
        <f aca="false">IFERROR(INDEX(Features_Buildings!$F:$F,MATCH($A96,Features_Buildings!$A:$A,0)),"n/a")</f>
        <v>Test</v>
      </c>
      <c r="G96" s="14" t="str">
        <f aca="false">IFERROR(INDEX(Features_Contents!$F:$F,MATCH($A96,Features_Contents!$A:$A,0)),"n/a")</f>
        <v>Exclude</v>
      </c>
      <c r="H96" s="6" t="s">
        <v>460</v>
      </c>
    </row>
    <row r="97" customFormat="false" ht="15" hidden="false" customHeight="true" outlineLevel="0" collapsed="false">
      <c r="A97" s="6" t="s">
        <v>461</v>
      </c>
      <c r="B97" s="6" t="s">
        <v>456</v>
      </c>
      <c r="C97" s="6" t="s">
        <v>462</v>
      </c>
      <c r="D97" s="6" t="s">
        <v>463</v>
      </c>
      <c r="E97" s="14" t="str">
        <f aca="false">IFERROR(INDEX(Features_Motor!$F:$F,MATCH($A97,Features_Motor!$A:$A,0)),"n/a")</f>
        <v>Test</v>
      </c>
      <c r="F97" s="14" t="str">
        <f aca="false">IFERROR(INDEX(Features_Buildings!$F:$F,MATCH($A97,Features_Buildings!$A:$A,0)),"n/a")</f>
        <v>Include</v>
      </c>
      <c r="G97" s="14" t="str">
        <f aca="false">IFERROR(INDEX(Features_Contents!$F:$F,MATCH($A97,Features_Contents!$A:$A,0)),"n/a")</f>
        <v>Exclude</v>
      </c>
      <c r="H97" s="6" t="s">
        <v>465</v>
      </c>
    </row>
    <row r="98" customFormat="false" ht="15" hidden="false" customHeight="true" outlineLevel="0" collapsed="false">
      <c r="A98" s="6" t="s">
        <v>466</v>
      </c>
      <c r="B98" s="6" t="s">
        <v>456</v>
      </c>
      <c r="C98" s="6" t="s">
        <v>467</v>
      </c>
      <c r="D98" s="6" t="s">
        <v>468</v>
      </c>
      <c r="E98" s="14" t="str">
        <f aca="false">IFERROR(INDEX(Features_Motor!$F:$F,MATCH($A98,Features_Motor!$A:$A,0)),"n/a")</f>
        <v>Test</v>
      </c>
      <c r="F98" s="14" t="str">
        <f aca="false">IFERROR(INDEX(Features_Buildings!$F:$F,MATCH($A98,Features_Buildings!$A:$A,0)),"n/a")</f>
        <v>Include</v>
      </c>
      <c r="G98" s="14" t="str">
        <f aca="false">IFERROR(INDEX(Features_Contents!$F:$F,MATCH($A98,Features_Contents!$A:$A,0)),"n/a")</f>
        <v>Include</v>
      </c>
      <c r="H98" s="6" t="s">
        <v>465</v>
      </c>
    </row>
    <row r="99" customFormat="false" ht="15" hidden="false" customHeight="true" outlineLevel="0" collapsed="false">
      <c r="A99" s="6" t="s">
        <v>470</v>
      </c>
      <c r="B99" s="6" t="s">
        <v>456</v>
      </c>
      <c r="C99" s="6" t="s">
        <v>471</v>
      </c>
      <c r="D99" s="6" t="s">
        <v>472</v>
      </c>
      <c r="E99" s="14" t="str">
        <f aca="false">IFERROR(INDEX(Features_Motor!$F:$F,MATCH($A99,Features_Motor!$A:$A,0)),"n/a")</f>
        <v>Exclude</v>
      </c>
      <c r="F99" s="14" t="str">
        <f aca="false">IFERROR(INDEX(Features_Buildings!$F:$F,MATCH($A99,Features_Buildings!$A:$A,0)),"n/a")</f>
        <v>Include</v>
      </c>
      <c r="G99" s="14" t="str">
        <f aca="false">IFERROR(INDEX(Features_Contents!$F:$F,MATCH($A99,Features_Contents!$A:$A,0)),"n/a")</f>
        <v>Exclude</v>
      </c>
      <c r="H99" s="6" t="s">
        <v>465</v>
      </c>
    </row>
    <row r="100" customFormat="false" ht="15" hidden="false" customHeight="true" outlineLevel="0" collapsed="false">
      <c r="A100" s="6" t="s">
        <v>474</v>
      </c>
      <c r="B100" s="6" t="s">
        <v>456</v>
      </c>
      <c r="C100" s="6" t="s">
        <v>475</v>
      </c>
      <c r="D100" s="6" t="s">
        <v>476</v>
      </c>
      <c r="E100" s="14" t="str">
        <f aca="false">IFERROR(INDEX(Features_Motor!$F:$F,MATCH($A100,Features_Motor!$A:$A,0)),"n/a")</f>
        <v>Exclude</v>
      </c>
      <c r="F100" s="14" t="str">
        <f aca="false">IFERROR(INDEX(Features_Buildings!$F:$F,MATCH($A100,Features_Buildings!$A:$A,0)),"n/a")</f>
        <v>Include</v>
      </c>
      <c r="G100" s="14" t="str">
        <f aca="false">IFERROR(INDEX(Features_Contents!$F:$F,MATCH($A100,Features_Contents!$A:$A,0)),"n/a")</f>
        <v>Exclude</v>
      </c>
      <c r="H100" s="6" t="s">
        <v>465</v>
      </c>
    </row>
    <row r="101" customFormat="false" ht="15" hidden="false" customHeight="true" outlineLevel="0" collapsed="false">
      <c r="A101" s="6" t="s">
        <v>478</v>
      </c>
      <c r="B101" s="6" t="s">
        <v>456</v>
      </c>
      <c r="C101" s="6" t="s">
        <v>479</v>
      </c>
      <c r="D101" s="6" t="s">
        <v>480</v>
      </c>
      <c r="E101" s="14" t="str">
        <f aca="false">IFERROR(INDEX(Features_Motor!$F:$F,MATCH($A101,Features_Motor!$A:$A,0)),"n/a")</f>
        <v>Test</v>
      </c>
      <c r="F101" s="14" t="str">
        <f aca="false">IFERROR(INDEX(Features_Buildings!$F:$F,MATCH($A101,Features_Buildings!$A:$A,0)),"n/a")</f>
        <v>Include</v>
      </c>
      <c r="G101" s="14" t="str">
        <f aca="false">IFERROR(INDEX(Features_Contents!$F:$F,MATCH($A101,Features_Contents!$A:$A,0)),"n/a")</f>
        <v>Include</v>
      </c>
      <c r="H101" s="6" t="s">
        <v>465</v>
      </c>
    </row>
    <row r="102" customFormat="false" ht="15" hidden="false" customHeight="true" outlineLevel="0" collapsed="false">
      <c r="A102" s="6" t="s">
        <v>482</v>
      </c>
      <c r="B102" s="6" t="s">
        <v>456</v>
      </c>
      <c r="C102" s="6" t="s">
        <v>483</v>
      </c>
      <c r="D102" s="6" t="s">
        <v>484</v>
      </c>
      <c r="E102" s="14" t="str">
        <f aca="false">IFERROR(INDEX(Features_Motor!$F:$F,MATCH($A102,Features_Motor!$A:$A,0)),"n/a")</f>
        <v>Exclude</v>
      </c>
      <c r="F102" s="14" t="str">
        <f aca="false">IFERROR(INDEX(Features_Buildings!$F:$F,MATCH($A102,Features_Buildings!$A:$A,0)),"n/a")</f>
        <v>Test</v>
      </c>
      <c r="G102" s="14" t="str">
        <f aca="false">IFERROR(INDEX(Features_Contents!$F:$F,MATCH($A102,Features_Contents!$A:$A,0)),"n/a")</f>
        <v>Test</v>
      </c>
      <c r="H102" s="6" t="s">
        <v>465</v>
      </c>
    </row>
    <row r="103" customFormat="false" ht="15" hidden="false" customHeight="true" outlineLevel="0" collapsed="false">
      <c r="A103" s="6" t="s">
        <v>485</v>
      </c>
      <c r="B103" s="6" t="s">
        <v>486</v>
      </c>
      <c r="C103" s="6" t="s">
        <v>487</v>
      </c>
      <c r="D103" s="6" t="s">
        <v>488</v>
      </c>
      <c r="E103" s="14" t="str">
        <f aca="false">IFERROR(INDEX(Features_Motor!$F:$F,MATCH($A103,Features_Motor!$A:$A,0)),"n/a")</f>
        <v>Exclude</v>
      </c>
      <c r="F103" s="14" t="str">
        <f aca="false">IFERROR(INDEX(Features_Buildings!$F:$F,MATCH($A103,Features_Buildings!$A:$A,0)),"n/a")</f>
        <v>Exclude</v>
      </c>
      <c r="G103" s="14" t="str">
        <f aca="false">IFERROR(INDEX(Features_Contents!$F:$F,MATCH($A103,Features_Contents!$A:$A,0)),"n/a")</f>
        <v>Exclude</v>
      </c>
      <c r="H103" s="6"/>
    </row>
    <row r="104" customFormat="false" ht="15" hidden="false" customHeight="true" outlineLevel="0" collapsed="false">
      <c r="A104" s="6" t="s">
        <v>490</v>
      </c>
      <c r="B104" s="6" t="s">
        <v>486</v>
      </c>
      <c r="C104" s="6" t="s">
        <v>491</v>
      </c>
      <c r="D104" s="6" t="s">
        <v>492</v>
      </c>
      <c r="E104" s="14" t="str">
        <f aca="false">IFERROR(INDEX(Features_Motor!$F:$F,MATCH($A104,Features_Motor!$A:$A,0)),"n/a")</f>
        <v>Test</v>
      </c>
      <c r="F104" s="14" t="str">
        <f aca="false">IFERROR(INDEX(Features_Buildings!$F:$F,MATCH($A104,Features_Buildings!$A:$A,0)),"n/a")</f>
        <v>Test</v>
      </c>
      <c r="G104" s="14" t="str">
        <f aca="false">IFERROR(INDEX(Features_Contents!$F:$F,MATCH($A104,Features_Contents!$A:$A,0)),"n/a")</f>
        <v>Test</v>
      </c>
      <c r="H104" s="6"/>
    </row>
    <row r="105" customFormat="false" ht="15" hidden="false" customHeight="true" outlineLevel="0" collapsed="false">
      <c r="A105" s="6" t="s">
        <v>493</v>
      </c>
      <c r="B105" s="6" t="s">
        <v>486</v>
      </c>
      <c r="C105" s="6" t="s">
        <v>494</v>
      </c>
      <c r="D105" s="6" t="s">
        <v>495</v>
      </c>
      <c r="E105" s="14" t="str">
        <f aca="false">IFERROR(INDEX(Features_Motor!$F:$F,MATCH($A105,Features_Motor!$A:$A,0)),"n/a")</f>
        <v>Exclude</v>
      </c>
      <c r="F105" s="14" t="str">
        <f aca="false">IFERROR(INDEX(Features_Buildings!$F:$F,MATCH($A105,Features_Buildings!$A:$A,0)),"n/a")</f>
        <v>Exclude</v>
      </c>
      <c r="G105" s="14" t="str">
        <f aca="false">IFERROR(INDEX(Features_Contents!$F:$F,MATCH($A105,Features_Contents!$A:$A,0)),"n/a")</f>
        <v>Exclude</v>
      </c>
      <c r="H105" s="6"/>
    </row>
    <row r="106" customFormat="false" ht="34.5" hidden="false" customHeight="true" outlineLevel="0" collapsed="false">
      <c r="A106" s="6" t="s">
        <v>496</v>
      </c>
      <c r="B106" s="6" t="s">
        <v>497</v>
      </c>
      <c r="C106" s="6" t="s">
        <v>498</v>
      </c>
      <c r="D106" s="6" t="s">
        <v>499</v>
      </c>
      <c r="E106" s="14" t="str">
        <f aca="false">IFERROR(INDEX(Features_Motor!$F:$F,MATCH($A106,Features_Motor!$A:$A,0)),"n/a")</f>
        <v>Include</v>
      </c>
      <c r="F106" s="14" t="str">
        <f aca="false">IFERROR(INDEX(Features_Buildings!$F:$F,MATCH($A106,Features_Buildings!$A:$A,0)),"n/a")</f>
        <v>Include</v>
      </c>
      <c r="G106" s="14" t="str">
        <f aca="false">IFERROR(INDEX(Features_Contents!$F:$F,MATCH($A106,Features_Contents!$A:$A,0)),"n/a")</f>
        <v>Include</v>
      </c>
      <c r="H106" s="6" t="s">
        <v>501</v>
      </c>
    </row>
    <row r="107" customFormat="false" ht="23.25" hidden="false" customHeight="true" outlineLevel="0" collapsed="false">
      <c r="A107" s="6" t="s">
        <v>502</v>
      </c>
      <c r="B107" s="6" t="s">
        <v>497</v>
      </c>
      <c r="C107" s="6" t="s">
        <v>503</v>
      </c>
      <c r="D107" s="6" t="s">
        <v>504</v>
      </c>
      <c r="E107" s="14" t="str">
        <f aca="false">IFERROR(INDEX(Features_Motor!$F:$F,MATCH($A107,Features_Motor!$A:$A,0)),"n/a")</f>
        <v>Test</v>
      </c>
      <c r="F107" s="14" t="str">
        <f aca="false">IFERROR(INDEX(Features_Buildings!$F:$F,MATCH($A107,Features_Buildings!$A:$A,0)),"n/a")</f>
        <v>Test</v>
      </c>
      <c r="G107" s="14" t="str">
        <f aca="false">IFERROR(INDEX(Features_Contents!$F:$F,MATCH($A107,Features_Contents!$A:$A,0)),"n/a")</f>
        <v>Test</v>
      </c>
      <c r="H107" s="6" t="s">
        <v>506</v>
      </c>
    </row>
  </sheetData>
  <autoFilter ref="A1:H1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2026-10-21T23:53:28Z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