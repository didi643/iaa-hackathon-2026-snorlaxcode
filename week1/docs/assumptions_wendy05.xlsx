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Target_Assumptions" sheetId="3" state="visible" r:id="rId5"/>
    <sheet name="Features_Motor" sheetId="4" state="visible" r:id="rId6"/>
    <sheet name="Features_Buildings" sheetId="5" state="visible" r:id="rId7"/>
    <sheet name="Features_Contents" sheetId="6" state="visible" r:id="rId8"/>
    <sheet name="Model_Spec" sheetId="7" state="visible" r:id="rId9"/>
    <sheet name="Tuning_Grid" sheetId="8" state="visible" r:id="rId10"/>
    <sheet name="Structural_Zeros" sheetId="9" state="visible" r:id="rId11"/>
    <sheet name="Settings" sheetId="10" state="visible" r:id="rId12"/>
    <sheet name="Column_Register" sheetId="11" state="visible" r:id="rId13"/>
  </sheets>
  <definedNames>
    <definedName function="false" hidden="true" localSheetId="10" name="_xlnm._FilterDatabase" vbProcedure="false">Column_Register!$A$1:$H$107</definedName>
    <definedName function="false" hidden="true" localSheetId="4" name="_xlnm._FilterDatabase" vbProcedure="false">Features_Buildings!$A$1:$Q$61</definedName>
    <definedName function="false" hidden="true" localSheetId="5" name="_xlnm._FilterDatabase" vbProcedure="false">Features_Contents!$A$1:$O$62</definedName>
    <definedName function="false" hidden="true" localSheetId="3" name="_xlnm._FilterDatabase" vbProcedure="false">Features_Motor!$A$1:$P$73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<sst xmlns="http://schemas.openxmlformats.org/spreadsheetml/2006/main" count="3753" uniqueCount="835">
  <si>
    <t xml:space="preserve">WENDY 5 - assumptions (features and targets as WENDY 4) + tuning</t>
  </si>
  <si>
    <t xml:space="preserve">Purpose</t>
  </si>
  <si>
    <t xml:space="preserve">One place for every target, data and feature decision behind iteration WENDY 4. The R script R/4_models_iterwendy04.R READS this workbook: sheets Features_*, Model_Spec, Structural_Zeros and Settings drive the model. Edit them here, re-run the script, compare scores.</t>
  </si>
  <si>
    <t xml:space="preserve">Where to save</t>
  </si>
  <si>
    <t xml:space="preserve">docs/assumptions_wendy04.xlsx in the repo (or set env var ASSUMPTIONS_XLSX to another path).</t>
  </si>
  <si>
    <t xml:space="preserve">Editable cells</t>
  </si>
  <si>
    <t xml:space="preserve">Blue text on yellow fill = inputs the script reads. Everything else is documentation.</t>
  </si>
  <si>
    <t xml:space="preserve">Feature codes</t>
  </si>
  <si>
    <t xml:space="preserve">In Features_&lt;line&gt;, each peril column holds: F = frequency model only, S = severity model only, B = both, - = not used. A feature is used only if its 'use' cell is Y.</t>
  </si>
  <si>
    <t xml:space="preserve">decision column</t>
  </si>
  <si>
    <t xml:space="preserve">Include = actuarial rationale, kept. Test = plausible but unproven, kept only if validation supports it (set use = N to drop). Exclude = no mechanism, noise, leakage, circular or duplicate.</t>
  </si>
  <si>
    <t xml:space="preserve">mono_freq / mono_sev</t>
  </si>
  <si>
    <t xml:space="preserve">Monotone constraint for numeric/boolean features: 1 = can only increase, -1 = can only decrease, 0 = free. Ignored for text categories.</t>
  </si>
  <si>
    <t xml:space="preserve">Model per peril</t>
  </si>
  <si>
    <t xml:space="preserve">Model_Spec: frequency = Poisson GBM (exposure x reported share as volume); severity = Gamma GBM (data-rich perils) or Gamma GLM on few factors (sparse/heavy perils); Tweedie GBM challenger; 'auto' selection keeps the better one per peril on the two validation folds.</t>
  </si>
  <si>
    <t xml:space="preserve">Validation</t>
  </si>
  <si>
    <t xml:space="preserve">Two out-of-time folds: fit 2021-22 -&gt; score 2023, fit 2021-23 -&gt; score 2024. Actuals are DEVELOPED (divided by the row's reported share) so models that predict ultimate cost are not penalised - this fixes the WENDY 3 scoring bias.</t>
  </si>
  <si>
    <t xml:space="preserve">Example row</t>
  </si>
  <si>
    <t xml:space="preserve">Features_Motor row 'ncb_years': decision Include, use Y, mono_freq -1, codes F F F - - (frequency of own damage, third-party property, bodily injury).</t>
  </si>
  <si>
    <t xml:space="preserve">Changes vs WENDY 3</t>
  </si>
  <si>
    <t xml:space="preserve">1) Frequency x severity per peril instead of one Tweedie per peril; 2) IBNR as a frequency offset, not a target uplift; 3) severity trend to the prediction year; 4) outlier claim limit before capping; 5) per-peril feature lists (noise, marketing and circular columns removed); 6) structural zeros (cover not bought -&gt; 0); 7) prior-year claims history features known at renewal; 8) expected recoveries on open motor own-damage/theft; 9) developed-actual validation on 2 folds.</t>
  </si>
  <si>
    <t xml:space="preserve">Verification status</t>
  </si>
  <si>
    <t xml:space="preserve">Numbers quoted in Target_Assumptions come from the Oct 2026 profiling and the WENDY 3 model card. Treat them as approximate and re-check against the cleaning report after the next run.</t>
  </si>
  <si>
    <t xml:space="preserve">WENDY 5 changes</t>
  </si>
  <si>
    <t xml:space="preserve">Same Target_Assumptions and Features_* as WENDY 4. New: Settings validation_mode / cv_folds / tune_fold / tune_configs / time_check_year; Model_Spec sev_model = auto (tuned GBM vs GLM per peril); Tuning_Grid sheet (random search space per component).</t>
  </si>
  <si>
    <t xml:space="preserve">Method chosen on 5-fold POLICY-GROUPED CV over 2021-24 (all years in training -&gt; 4-year trends). The 2024 time check is reported for level/trend and is the fold shared with WENDY 4 and 6 for comparison.</t>
  </si>
  <si>
    <t xml:space="preserve">line</t>
  </si>
  <si>
    <t xml:space="preserve">peril</t>
  </si>
  <si>
    <t xml:space="preserve">freq features used</t>
  </si>
  <si>
    <t xml:space="preserve">sev features used</t>
  </si>
  <si>
    <t xml:space="preserve">sev_model</t>
  </si>
  <si>
    <t xml:space="preserve">cap_quantile</t>
  </si>
  <si>
    <t xml:space="preserve">rationale</t>
  </si>
  <si>
    <t xml:space="preserve">motor</t>
  </si>
  <si>
    <t xml:space="preserve">own_damage</t>
  </si>
  <si>
    <t xml:space="preserve">third_party_prop</t>
  </si>
  <si>
    <t xml:space="preserve">bodily_injury</t>
  </si>
  <si>
    <t xml:space="preserve">theft</t>
  </si>
  <si>
    <t xml:space="preserve">glass_hail</t>
  </si>
  <si>
    <t xml:space="preserve">buildings</t>
  </si>
  <si>
    <t xml:space="preserve">storm</t>
  </si>
  <si>
    <t xml:space="preserve">flood</t>
  </si>
  <si>
    <t xml:space="preserve">escape_of_water</t>
  </si>
  <si>
    <t xml:space="preserve">subsidence</t>
  </si>
  <si>
    <t xml:space="preserve">fire</t>
  </si>
  <si>
    <t xml:space="preserve">accidental_damage</t>
  </si>
  <si>
    <t xml:space="preserve">contents</t>
  </si>
  <si>
    <t xml:space="preserve">Counts update when you change 'use' or peril codes in the Features sheets.</t>
  </si>
  <si>
    <t xml:space="preserve">id</t>
  </si>
  <si>
    <t xml:space="preserve">topic</t>
  </si>
  <si>
    <t xml:space="preserve">question</t>
  </si>
  <si>
    <t xml:space="preserve">decision</t>
  </si>
  <si>
    <t xml:space="preserve">treatment in script</t>
  </si>
  <si>
    <t xml:space="preserve">evidence</t>
  </si>
  <si>
    <t xml:space="preserve">if done differently</t>
  </si>
  <si>
    <t xml:space="preserve">status</t>
  </si>
  <si>
    <t xml:space="preserve">Recoveries</t>
  </si>
  <si>
    <t xml:space="preserve">Should recoveries be taken out?</t>
  </si>
  <si>
    <t xml:space="preserve">YES - keep deducting. The target is defined net of recoveries.</t>
  </si>
  <si>
    <t xml:space="preserve">claim cost = incurred_to_date - recoveries (as 2_clean). Open motor own_damage/theft claims have no recoveries booked yet, so expected recoveries are deducted: incurred x (closed recoveries / closed incurred) for that peril (setting open_claim_recovery_adjust).</t>
  </si>
  <si>
    <t xml:space="preserve">Recoveries appear only on CLOSED motor own_damage (~28.6% of claims) and theft (~12.0%); closed recoveries ~27.7M vs closed paid ~656.9M.</t>
  </si>
  <si>
    <t xml:space="preserve">Ignoring recoveries overstates motor cost; ignoring the open-claim gap overstates the immature 2024 year.</t>
  </si>
  <si>
    <t xml:space="preserve">Decided</t>
  </si>
  <si>
    <t xml:space="preserve">Open claims</t>
  </si>
  <si>
    <t xml:space="preserve">Should claims that are not closed be taken out?</t>
  </si>
  <si>
    <t xml:space="preserve">NO - keep them at incurred (paid + case reserve).</t>
  </si>
  <si>
    <t xml:space="preserve">Open claims count in frequency and severity at incurred_to_date.</t>
  </si>
  <si>
    <t xml:space="preserve">Share open by loss year: 2021 0.9%, 2022 1.5%, 2023 3.2%, 2024 20.2%. Large/complex claims (bodily injury, subsidence) stay open longest.</t>
  </si>
  <si>
    <t xml:space="preserve">Dropping open claims removes ~20% of 2024 claims and is biased towards the largest ones -&gt; severe under-prediction.</t>
  </si>
  <si>
    <t xml:space="preserve">Case development (IBNER)</t>
  </si>
  <si>
    <t xml:space="preserve">Will open case reserves move?</t>
  </si>
  <si>
    <t xml:space="preserve">Assume case reserves are adequate on average.</t>
  </si>
  <si>
    <t xml:space="preserve">No IBNER factor. Long-tail perils (bodily injury, subsidence) exclude the latest training year from the SEVERITY fit (Model_Spec sev_exclude_recent_years) so immature small claims do not bias severity down.</t>
  </si>
  <si>
    <t xml:space="preserve">Only one valuation date (31 Dec 2024) - development cannot be measured.</t>
  </si>
  <si>
    <t xml:space="preserve">Applying an untested factor adds error.</t>
  </si>
  <si>
    <t xml:space="preserve">Assumption - verify</t>
  </si>
  <si>
    <t xml:space="preserve">Late reporting (IBNR)</t>
  </si>
  <si>
    <t xml:space="preserve">How to treat claims not yet reported?</t>
  </si>
  <si>
    <t xml:space="preserve">Model ULTIMATE frequency.</t>
  </si>
  <si>
    <t xml:space="preserve">Per peril, reported share = ECDF of report lags (2021-22 losses) at (31 Dec 2024 - row mid-date). Frequency volume = exposure x reported share. Validation actuals divided by the same share.</t>
  </si>
  <si>
    <t xml:space="preserve">2024 IBNR count factor ~1.76 bodily injury, ~1.50 subsidence, ~1.02-1.06 others (WENDY 3).</t>
  </si>
  <si>
    <t xml:space="preserve">WENDY 3 multiplied targets by the factor -&gt; scored against reported actuals -&gt; unfair penalty.</t>
  </si>
  <si>
    <t xml:space="preserve">Repudiated claims</t>
  </si>
  <si>
    <t xml:space="preserve">Include declined claims?</t>
  </si>
  <si>
    <t xml:space="preserve">NO - excluded (cost 0, not counted).</t>
  </si>
  <si>
    <t xml:space="preserve">counts == TRUE only.</t>
  </si>
  <si>
    <t xml:space="preserve">~1.0-1.1% of claims each year.</t>
  </si>
  <si>
    <t xml:space="preserve">-</t>
  </si>
  <si>
    <t xml:space="preserve">Excess</t>
  </si>
  <si>
    <t xml:space="preserve">Deduct the excess?</t>
  </si>
  <si>
    <t xml:space="preserve">NO - paid/incurred are already net of excess.</t>
  </si>
  <si>
    <t xml:space="preserve">Excess kept as a feature only.</t>
  </si>
  <si>
    <t xml:space="preserve">Data dictionary: paid_to_date is net of excess.</t>
  </si>
  <si>
    <t xml:space="preserve">Deducting again double-counts.</t>
  </si>
  <si>
    <t xml:space="preserve">Nil claims</t>
  </si>
  <si>
    <t xml:space="preserve">Non-repudiated claims with zero net cost?</t>
  </si>
  <si>
    <t xml:space="preserve">Excluded from frequency and severity.</t>
  </si>
  <si>
    <t xml:space="preserve">Frequency counts claims with net cost &gt; 0, severity fitted on the same claims, so freq x sev = expected cost.</t>
  </si>
  <si>
    <t xml:space="preserve">Claims closed below the excess.</t>
  </si>
  <si>
    <t xml:space="preserve">Counting them in frequency but not severity overstates cost.</t>
  </si>
  <si>
    <t xml:space="preserve">Outlier claim</t>
  </si>
  <si>
    <t xml:space="preserve">The 11.9M open bodily-injury claim?</t>
  </si>
  <si>
    <t xml:space="preserve">Limit any single claim to 2,000,000 before capping (setting outlier_claim_limit).</t>
  </si>
  <si>
    <t xml:space="preserve">pmin(cost, limit).</t>
  </si>
  <si>
    <t xml:space="preserve">Paid ~0.74M; next largest claim ~1.12M closed. One claim = ~3.4% of all motor cost.</t>
  </si>
  <si>
    <t xml:space="preserve">Kept in full it adds ~7% to every bodily-injury prediction via the cap loading.</t>
  </si>
  <si>
    <t xml:space="preserve">Large-loss cap</t>
  </si>
  <si>
    <t xml:space="preserve">How to treat the tail?</t>
  </si>
  <si>
    <t xml:space="preserve">Cap each claim at a per-peril quantile; spread the excess as a loading.</t>
  </si>
  <si>
    <t xml:space="preserve">Model_Spec cap_quantile (0.99-0.999). Loading = trended total / trended capped total.</t>
  </si>
  <si>
    <t xml:space="preserve">Heavy tails: fire, flood, subsidence, bodily injury.</t>
  </si>
  <si>
    <t xml:space="preserve">Uncapped Gamma/Tweedie fits chase a few claims.</t>
  </si>
  <si>
    <t xml:space="preserve">Severity inflation</t>
  </si>
  <si>
    <t xml:space="preserve">Project severity to 2025?</t>
  </si>
  <si>
    <t xml:space="preserve">YES - log-linear trend per peril, clamped.</t>
  </si>
  <si>
    <t xml:space="preserve">Trend fitted on capped claim severity by loss year (excluding long-tail immature years); each claim trended to the prediction year (validation year or 2025). Clamp in Settings.</t>
  </si>
  <si>
    <t xml:space="preserve">Buildings severity ~8.7k (2021) -&gt; ~10.3k (2024); contents ~2.7k -&gt; ~2.9k.</t>
  </si>
  <si>
    <t xml:space="preserve">Without trend, 2025 is priced at the 2022-23 average.</t>
  </si>
  <si>
    <t xml:space="preserve">Frequency trend</t>
  </si>
  <si>
    <t xml:space="preserve">Project frequency?</t>
  </si>
  <si>
    <t xml:space="preserve">Only motor non-weather perils, residual-based, clamped.</t>
  </si>
  <si>
    <t xml:space="preserve">Model_Spec freq_trend = estimate: log(actual/expected) by year regressed on year after the GBM, so mix change is not counted as trend.</t>
  </si>
  <si>
    <t xml:space="preserve">Motor raw frequency 0.146 -&gt; 0.140 (2021-23); weather perils vary with the year's weather, which is already a feature.</t>
  </si>
  <si>
    <t xml:space="preserve">Extrapolating weather years is noise.</t>
  </si>
  <si>
    <t xml:space="preserve">Unmatched claims</t>
  </si>
  <si>
    <t xml:space="preserve">Claims outside any policy row?</t>
  </si>
  <si>
    <t xml:space="preserve">Excluded.</t>
  </si>
  <si>
    <t xml:space="preserve">Rows with NA row_id dropped (2_clean).</t>
  </si>
  <si>
    <t xml:space="preserve">414 claims; 252 dated exactly 2020-12-01 (placeholder).</t>
  </si>
  <si>
    <t xml:space="preserve">Duplicate claims</t>
  </si>
  <si>
    <t xml:space="preserve">9-digit duplicate claim ids?</t>
  </si>
  <si>
    <t xml:space="preserve">Dropped (2_clean trap 10).</t>
  </si>
  <si>
    <t xml:space="preserve">See 2_clean data_checks.csv.</t>
  </si>
  <si>
    <t xml:space="preserve">Exposure</t>
  </si>
  <si>
    <t xml:space="preserve">Use supplied exposure?</t>
  </si>
  <si>
    <t xml:space="preserve">NO - recomputed from dates (2_clean).</t>
  </si>
  <si>
    <t xml:space="preserve">(end - start + 1) / 365.</t>
  </si>
  <si>
    <t xml:space="preserve">~5.6k motor, ~4.1k buildings, ~4.3k contents train rows were wrong.</t>
  </si>
  <si>
    <t xml:space="preserve">Sum insured</t>
  </si>
  <si>
    <t xml:space="preserve">1000x values?</t>
  </si>
  <si>
    <t xml:space="preserve">Divided by 1000 (2_clean).</t>
  </si>
  <si>
    <t xml:space="preserve">~0.2% of rows, train and test.</t>
  </si>
  <si>
    <t xml:space="preserve">If not a unit error, severity models mis-scale those rows.</t>
  </si>
  <si>
    <t xml:space="preserve">construction_type</t>
  </si>
  <si>
    <t xml:space="preserve">T and W codes?</t>
  </si>
  <si>
    <t xml:space="preserve">Both mapped to timber (2_clean).</t>
  </si>
  <si>
    <t xml:space="preserve">T only 2021-22, W only 2023-25; timber frequency stable ~0.045.</t>
  </si>
  <si>
    <t xml:space="preserve">Structural zeros</t>
  </si>
  <si>
    <t xml:space="preserve">Perils not covered?</t>
  </si>
  <si>
    <t xml:space="preserve">Predict 0 where cover is not bought - only if training shows zero claims there.</t>
  </si>
  <si>
    <t xml:space="preserve">Structural_Zeros sheet; the script checks claim counts and reports which rules it applied.</t>
  </si>
  <si>
    <t xml:space="preserve">Third-party-only cannot have own damage/theft/glass; AD needs AD cover.</t>
  </si>
  <si>
    <t xml:space="preserve">Models leak small positive predictions onto uninsured perils.</t>
  </si>
  <si>
    <t xml:space="preserve">Decided (data-checked at run time)</t>
  </si>
  <si>
    <t xml:space="preserve">Weather</t>
  </si>
  <si>
    <t xml:space="preserve">Use the row year's weather?</t>
  </si>
  <si>
    <t xml:space="preserve">YES - test supplies 2025 weather.</t>
  </si>
  <si>
    <t xml:space="preserve">Joined by address x policy year (2_clean).</t>
  </si>
  <si>
    <t xml:space="preserve">Weather table covers 2021-2025.</t>
  </si>
  <si>
    <t xml:space="preserve">In live pricing weather is unknown in advance - document as a competition-specific choice.</t>
  </si>
  <si>
    <t xml:space="preserve">Claims history</t>
  </si>
  <si>
    <t xml:space="preserve">Use own past claims?</t>
  </si>
  <si>
    <t xml:space="preserve">YES - prior-year claims known at renewal only.</t>
  </si>
  <si>
    <t xml:space="preserve">Count of positive claims with loss in year Y-1 AND reported by 31 Dec Y-1 (policy, and customer's other lines). NA when no prior row or Y = 2021.</t>
  </si>
  <si>
    <t xml:space="preserve">~85% of test rows are renewals.</t>
  </si>
  <si>
    <t xml:space="preserve">Using claims reported later leaks information the insurer did not have.</t>
  </si>
  <si>
    <t xml:space="preserve">Survivorship</t>
  </si>
  <si>
    <t xml:space="preserve">Lapsed/cancelled rows in training?</t>
  </si>
  <si>
    <t xml:space="preserve">Keep - their exposure and claims are genuine.</t>
  </si>
  <si>
    <t xml:space="preserve">No reweighting.</t>
  </si>
  <si>
    <t xml:space="preserve">Test excludes lapsed/cancelled policies.</t>
  </si>
  <si>
    <t xml:space="preserve">Leakage</t>
  </si>
  <si>
    <t xml:space="preserve">Columns known only after the period?</t>
  </si>
  <si>
    <t xml:space="preserve">Excluded: renewal_decision, customer_service_contacts.</t>
  </si>
  <si>
    <t xml:space="preserve">NON_FEATURES in 0_setup.R.</t>
  </si>
  <si>
    <t xml:space="preserve">Service contacts ~3 per claim row vs ~0.4 otherwise.</t>
  </si>
  <si>
    <t xml:space="preserve">Leaky features score well in training, fail on test.</t>
  </si>
  <si>
    <t xml:space="preserve">written_premium</t>
  </si>
  <si>
    <t xml:space="preserve">Use the current premium?</t>
  </si>
  <si>
    <t xml:space="preserve">Excluded from the main model.</t>
  </si>
  <si>
    <t xml:space="preserve">Features_* use = N; flip to Y for a documented challenger.</t>
  </si>
  <si>
    <t xml:space="preserve">Top gain feature in several WENDY 3 perils.</t>
  </si>
  <si>
    <t xml:space="preserve">Circular for a technical price review and embeds loadings.</t>
  </si>
  <si>
    <t xml:space="preserve">Decided - challenger optional</t>
  </si>
  <si>
    <t xml:space="preserve">Fairness</t>
  </si>
  <si>
    <t xml:space="preserve">Sensitive proxies?</t>
  </si>
  <si>
    <t xml:space="preserve">Tested only where a mechanism exists; flagged in guardrail column.</t>
  </si>
  <si>
    <t xml:space="preserve">occupation, marital_status, credit_band, payment features = Test.</t>
  </si>
  <si>
    <t xml:space="preserve">Regulators may restrict credit and marital factors.</t>
  </si>
  <si>
    <t xml:space="preserve">Review</t>
  </si>
  <si>
    <t xml:space="preserve">How to compare models?</t>
  </si>
  <si>
    <t xml:space="preserve">2 out-of-time folds against developed actuals; Tweedie D2 p = 1.5 (Kaggle metric).</t>
  </si>
  <si>
    <t xml:space="preserve">Selection per peril by mean D2 across folds (Settings model_selection = auto).</t>
  </si>
  <si>
    <t xml:space="preserve">WENDY 3 used one fold vs reported actuals.</t>
  </si>
  <si>
    <t xml:space="preserve">column</t>
  </si>
  <si>
    <t xml:space="preserve">source</t>
  </si>
  <si>
    <t xml:space="preserve">type</t>
  </si>
  <si>
    <t xml:space="preserve">description</t>
  </si>
  <si>
    <t xml:space="preserve">actuarial_role</t>
  </si>
  <si>
    <t xml:space="preserve">use</t>
  </si>
  <si>
    <t xml:space="preserve">mono_freq</t>
  </si>
  <si>
    <t xml:space="preserve">mono_sev</t>
  </si>
  <si>
    <t xml:space="preserve">reason</t>
  </si>
  <si>
    <t xml:space="preserve">guardrail</t>
  </si>
  <si>
    <t xml:space="preserve">driver_age</t>
  </si>
  <si>
    <t xml:space="preserve">policies_motor</t>
  </si>
  <si>
    <t xml:space="preserve">num</t>
  </si>
  <si>
    <t xml:space="preserve">Main driver age at row start</t>
  </si>
  <si>
    <t xml:space="preserve">Driver risk</t>
  </si>
  <si>
    <t xml:space="preserve">Include</t>
  </si>
  <si>
    <t xml:space="preserve">Y</t>
  </si>
  <si>
    <t xml:space="preserve">B</t>
  </si>
  <si>
    <t xml:space="preserve">F</t>
  </si>
  <si>
    <t xml:space="preserve">Core driver risk; also drives BI severity (vulnerability of occupants)</t>
  </si>
  <si>
    <t xml:space="preserve">years_licensed</t>
  </si>
  <si>
    <t xml:space="preserve">Years main driver licensed (capped at age-16)</t>
  </si>
  <si>
    <t xml:space="preserve">Driver experience</t>
  </si>
  <si>
    <t xml:space="preserve">Driving experience separate from age</t>
  </si>
  <si>
    <t xml:space="preserve">ncb_years</t>
  </si>
  <si>
    <t xml:space="preserve">No-claims bonus years</t>
  </si>
  <si>
    <t xml:space="preserve">Claims history / experience</t>
  </si>
  <si>
    <t xml:space="preserve">Strong frequency signal for at-fault perils; theft/glass are not at-fault</t>
  </si>
  <si>
    <t xml:space="preserve">vehicle_value_group</t>
  </si>
  <si>
    <t xml:space="preserve">Vehicle value band 1-20</t>
  </si>
  <si>
    <t xml:space="preserve">Exposure to damage / theft severity</t>
  </si>
  <si>
    <t xml:space="preserve">Damage, theft and glass cost scale with value; irrelevant to third-party liability</t>
  </si>
  <si>
    <t xml:space="preserve">vehicle_age</t>
  </si>
  <si>
    <t xml:space="preserve">Vehicle age</t>
  </si>
  <si>
    <t xml:space="preserve">Repair cost, theft attractiveness</t>
  </si>
  <si>
    <t xml:space="preserve">S</t>
  </si>
  <si>
    <t xml:space="preserve">Repair cost and theft target; glass cost</t>
  </si>
  <si>
    <t xml:space="preserve">make_model</t>
  </si>
  <si>
    <t xml:space="preserve">cat</t>
  </si>
  <si>
    <t xml:space="preserve">Anonymised make/model code (high cardinality)</t>
  </si>
  <si>
    <t xml:space="preserve">Vehicle repair cost / theft target</t>
  </si>
  <si>
    <t xml:space="preserve">Test</t>
  </si>
  <si>
    <t xml:space="preserve">Strong but high-cardinality; dropped for BI (spurious in WENDY 3)</t>
  </si>
  <si>
    <t xml:space="preserve">High cardinality - encoded by training rate order; overfit risk on sparse perils</t>
  </si>
  <si>
    <t xml:space="preserve">engine_size_cc</t>
  </si>
  <si>
    <t xml:space="preserve">Engine size</t>
  </si>
  <si>
    <t xml:space="preserve">Performance / driving style</t>
  </si>
  <si>
    <t xml:space="preserve">Performance proxy</t>
  </si>
  <si>
    <t xml:space="preserve">body_type</t>
  </si>
  <si>
    <t xml:space="preserve">Body type</t>
  </si>
  <si>
    <t xml:space="preserve">Repair cost, use pattern</t>
  </si>
  <si>
    <t xml:space="preserve">Repair cost and use pattern</t>
  </si>
  <si>
    <t xml:space="preserve">transmission</t>
  </si>
  <si>
    <t xml:space="preserve">Manual / automatic</t>
  </si>
  <si>
    <t xml:space="preserve">Weak driving-style proxy</t>
  </si>
  <si>
    <t xml:space="preserve">Weak; own damage only</t>
  </si>
  <si>
    <t xml:space="preserve">seats</t>
  </si>
  <si>
    <t xml:space="preserve">Seats</t>
  </si>
  <si>
    <t xml:space="preserve">Occupants exposed to injury</t>
  </si>
  <si>
    <t xml:space="preserve">More occupants -&gt; larger BI claims</t>
  </si>
  <si>
    <t xml:space="preserve">vehicle_colour</t>
  </si>
  <si>
    <t xml:space="preserve">Colour (~12.5% each, uniform)</t>
  </si>
  <si>
    <t xml:space="preserve">None - noise</t>
  </si>
  <si>
    <t xml:space="preserve">Exclude</t>
  </si>
  <si>
    <t xml:space="preserve">N</t>
  </si>
  <si>
    <t xml:space="preserve">Uniform ~12.5% each; no causal path</t>
  </si>
  <si>
    <t xml:space="preserve">No causal path; uniform distribution suggests synthetic noise</t>
  </si>
  <si>
    <t xml:space="preserve">fuel_type</t>
  </si>
  <si>
    <t xml:space="preserve">Petrol/diesel/hybrid/electric</t>
  </si>
  <si>
    <t xml:space="preserve">EV repair cost, theft target</t>
  </si>
  <si>
    <t xml:space="preserve">EV/hybrid repair cost; theft targeting</t>
  </si>
  <si>
    <t xml:space="preserve">driver_assist</t>
  </si>
  <si>
    <t xml:space="preserve">cat/bool</t>
  </si>
  <si>
    <t xml:space="preserve">Driver-assistance tech</t>
  </si>
  <si>
    <t xml:space="preserve">Collision avoidance</t>
  </si>
  <si>
    <t xml:space="preserve">Collision avoidance reduces at-fault frequency</t>
  </si>
  <si>
    <t xml:space="preserve">cover_type</t>
  </si>
  <si>
    <t xml:space="preserve">comprehensive / TPFT / TPO</t>
  </si>
  <si>
    <t xml:space="preserve">Defines which perils are covered (structural)</t>
  </si>
  <si>
    <t xml:space="preserve">Defines cover; structural zeros applied for perils not covered</t>
  </si>
  <si>
    <t xml:space="preserve">Structural zeros enforced - see Structural_Zeros</t>
  </si>
  <si>
    <t xml:space="preserve">annual_mileage</t>
  </si>
  <si>
    <t xml:space="preserve">Declared mileage</t>
  </si>
  <si>
    <t xml:space="preserve">Exposure to road risk</t>
  </si>
  <si>
    <t xml:space="preserve">Road exposure; more mileage -&gt; more chips</t>
  </si>
  <si>
    <t xml:space="preserve">overnight_parking</t>
  </si>
  <si>
    <t xml:space="preserve">Garage / driveway / street</t>
  </si>
  <si>
    <t xml:space="preserve">Theft, hail, vandalism</t>
  </si>
  <si>
    <t xml:space="preserve">Theft and hail protection</t>
  </si>
  <si>
    <t xml:space="preserve">vehicle_use</t>
  </si>
  <si>
    <t xml:space="preserve">Social / commuting / business</t>
  </si>
  <si>
    <t xml:space="preserve">Road exposure</t>
  </si>
  <si>
    <t xml:space="preserve">named_young_driver</t>
  </si>
  <si>
    <t xml:space="preserve">bool</t>
  </si>
  <si>
    <t xml:space="preserve">Under-25 named driver</t>
  </si>
  <si>
    <t xml:space="preserve">Young driver risk</t>
  </si>
  <si>
    <t xml:space="preserve">telematics_opt_in</t>
  </si>
  <si>
    <t xml:space="preserve">Telematics opt-in</t>
  </si>
  <si>
    <t xml:space="preserve">Self-selection signal</t>
  </si>
  <si>
    <t xml:space="preserve">Self-selection of careful drivers</t>
  </si>
  <si>
    <t xml:space="preserve">telematics_score</t>
  </si>
  <si>
    <t xml:space="preserve">Score 1-100, NA if not opted in</t>
  </si>
  <si>
    <t xml:space="preserve">Observed driving behaviour</t>
  </si>
  <si>
    <t xml:space="preserve">Observed behaviour; NA if not opted in (direction of scale not documented, so no constraint)</t>
  </si>
  <si>
    <t xml:space="preserve">NA by design; GBM handles NA natively</t>
  </si>
  <si>
    <t xml:space="preserve">voluntary_excess</t>
  </si>
  <si>
    <t xml:space="preserve">all policy files</t>
  </si>
  <si>
    <t xml:space="preserve">Customer-chosen excess 0/250/500/1000</t>
  </si>
  <si>
    <t xml:space="preserve">Removes small claims; self-selection</t>
  </si>
  <si>
    <t xml:space="preserve">Removes small own-damage/theft/glass claims; BI not subject to excess (assumed)</t>
  </si>
  <si>
    <t xml:space="preserve">Claims already net of excess - do not subtract again</t>
  </si>
  <si>
    <t xml:space="preserve">compulsory_excess</t>
  </si>
  <si>
    <t xml:space="preserve">Insurer-set excess</t>
  </si>
  <si>
    <t xml:space="preserve">Removes small claims</t>
  </si>
  <si>
    <t xml:space="preserve">Same mechanism as voluntary excess</t>
  </si>
  <si>
    <t xml:space="preserve">channel</t>
  </si>
  <si>
    <t xml:space="preserve">direct / comparison / broker</t>
  </si>
  <si>
    <t xml:space="preserve">Selection effect</t>
  </si>
  <si>
    <t xml:space="preserve">Selection effect by channel</t>
  </si>
  <si>
    <t xml:space="preserve">payment_method</t>
  </si>
  <si>
    <t xml:space="preserve">annual / monthly</t>
  </si>
  <si>
    <t xml:space="preserve">Financial-stress proxy</t>
  </si>
  <si>
    <t xml:space="preserve">Proxy factor - document in guardrails</t>
  </si>
  <si>
    <t xml:space="preserve">missed_payments_12m</t>
  </si>
  <si>
    <t xml:space="preserve">Missed payments last 12m</t>
  </si>
  <si>
    <t xml:space="preserve">new_business</t>
  </si>
  <si>
    <t xml:space="preserve">First year with insurer</t>
  </si>
  <si>
    <t xml:space="preserve">Selection / unknown risk</t>
  </si>
  <si>
    <t xml:space="preserve">New customers have unknown/higher risk</t>
  </si>
  <si>
    <t xml:space="preserve">renewal_count</t>
  </si>
  <si>
    <t xml:space="preserve">Previous renewals</t>
  </si>
  <si>
    <t xml:space="preserve">Tenure / survivorship</t>
  </si>
  <si>
    <t xml:space="preserve">Tenure; survivorship</t>
  </si>
  <si>
    <t xml:space="preserve">Survivorship bias: lapsed customers absent from test</t>
  </si>
  <si>
    <t xml:space="preserve">days_quote_to_inception</t>
  </si>
  <si>
    <t xml:space="preserve">Days quote to start</t>
  </si>
  <si>
    <t xml:space="preserve">Anti-selection (last-minute buyers)</t>
  </si>
  <si>
    <t xml:space="preserve">Last-minute buyers anti-selection</t>
  </si>
  <si>
    <t xml:space="preserve">discount_applied</t>
  </si>
  <si>
    <t xml:space="preserve">Discount on price</t>
  </si>
  <si>
    <t xml:space="preserve">Commercial decision, not risk</t>
  </si>
  <si>
    <t xml:space="preserve">Commercial pricing decision, not risk</t>
  </si>
  <si>
    <t xml:space="preserve">Pricing decision - circular</t>
  </si>
  <si>
    <t xml:space="preserve">Premium under current pricing</t>
  </si>
  <si>
    <t xml:space="preserve">Current price = old risk model + loadings</t>
  </si>
  <si>
    <t xml:space="preserve">Circular (current price); top gain in WENDY 3. Flip use to Y only as a documented challenger</t>
  </si>
  <si>
    <t xml:space="preserve">Circular for a technical price review; also embeds expense/profit loadings</t>
  </si>
  <si>
    <t xml:space="preserve">occupation</t>
  </si>
  <si>
    <t xml:space="preserve">customers</t>
  </si>
  <si>
    <t xml:space="preserve">Occupation</t>
  </si>
  <si>
    <t xml:space="preserve">Lifestyle / use</t>
  </si>
  <si>
    <t xml:space="preserve">Lifestyle/use; guardrail review</t>
  </si>
  <si>
    <t xml:space="preserve">Potential proxy for protected traits - guardrail</t>
  </si>
  <si>
    <t xml:space="preserve">marital_status</t>
  </si>
  <si>
    <t xml:space="preserve">Marital status</t>
  </si>
  <si>
    <t xml:space="preserve">Driving behaviour proxy</t>
  </si>
  <si>
    <t xml:space="preserve">Behaviour proxy; guardrail review</t>
  </si>
  <si>
    <t xml:space="preserve">Sensitive in some markets - guardrail</t>
  </si>
  <si>
    <t xml:space="preserve">household_size</t>
  </si>
  <si>
    <t xml:space="preserve">People in household</t>
  </si>
  <si>
    <t xml:space="preserve">Occupancy, AD, EoW usage</t>
  </si>
  <si>
    <t xml:space="preserve">No clear motor mechanism</t>
  </si>
  <si>
    <t xml:space="preserve">credit_band</t>
  </si>
  <si>
    <t xml:space="preserve">Credit band A-E</t>
  </si>
  <si>
    <t xml:space="preserve">Financial-stress / claims propensity</t>
  </si>
  <si>
    <t xml:space="preserve">Claims propensity; regulatory guardrail</t>
  </si>
  <si>
    <t xml:space="preserve">Credit-based insurance scoring restricted in some markets - guardrail</t>
  </si>
  <si>
    <t xml:space="preserve">prior_claims_5y</t>
  </si>
  <si>
    <t xml:space="preserve">Declared claims 5y before joining</t>
  </si>
  <si>
    <t xml:space="preserve">Declared history</t>
  </si>
  <si>
    <t xml:space="preserve">licence_points</t>
  </si>
  <si>
    <t xml:space="preserve">Driving penalty points</t>
  </si>
  <si>
    <t xml:space="preserve">Driver conduct</t>
  </si>
  <si>
    <t xml:space="preserve">years_at_address</t>
  </si>
  <si>
    <t xml:space="preserve">Years at address</t>
  </si>
  <si>
    <t xml:space="preserve">Stability</t>
  </si>
  <si>
    <t xml:space="preserve">customer_since_year</t>
  </si>
  <si>
    <t xml:space="preserve">First policy year</t>
  </si>
  <si>
    <t xml:space="preserve">Calendar cohort</t>
  </si>
  <si>
    <t xml:space="preserve">Cohort year; duplicates renewal_count</t>
  </si>
  <si>
    <t xml:space="preserve">Duplicates renewal_count; cohort year drifts out of range for 2025</t>
  </si>
  <si>
    <t xml:space="preserve">email_domain</t>
  </si>
  <si>
    <t xml:space="preserve">Anonymised email domain (~20% each)</t>
  </si>
  <si>
    <t xml:space="preserve">Noise</t>
  </si>
  <si>
    <t xml:space="preserve">Uniform; no causal path</t>
  </si>
  <si>
    <t xml:space="preserve">marketing_consent</t>
  </si>
  <si>
    <t xml:space="preserve">Marketing consent</t>
  </si>
  <si>
    <t xml:space="preserve">None</t>
  </si>
  <si>
    <t xml:space="preserve">No causal path</t>
  </si>
  <si>
    <t xml:space="preserve">document_preference</t>
  </si>
  <si>
    <t xml:space="preserve">email / post / app</t>
  </si>
  <si>
    <t xml:space="preserve">None (age proxy at best)</t>
  </si>
  <si>
    <t xml:space="preserve">Proxy only</t>
  </si>
  <si>
    <t xml:space="preserve">previous_insurer</t>
  </si>
  <si>
    <t xml:space="preserve">Previous insurer</t>
  </si>
  <si>
    <t xml:space="preserve">Weak selection signal</t>
  </si>
  <si>
    <t xml:space="preserve">Spurious signal in sparse perils; no clear mechanism</t>
  </si>
  <si>
    <t xml:space="preserve">Showed spurious top-10 importance for fire / subsidence in WENDY 3</t>
  </si>
  <si>
    <t xml:space="preserve">campaign_code</t>
  </si>
  <si>
    <t xml:space="preserve">Acquisition campaign</t>
  </si>
  <si>
    <t xml:space="preserve">Marketing</t>
  </si>
  <si>
    <t xml:space="preserve">No causal path; null = no campaign</t>
  </si>
  <si>
    <t xml:space="preserve">branch_id</t>
  </si>
  <si>
    <t xml:space="preserve">Servicing branch</t>
  </si>
  <si>
    <t xml:space="preserve">Geography proxy (region already used)</t>
  </si>
  <si>
    <t xml:space="preserve">Duplicates geography</t>
  </si>
  <si>
    <t xml:space="preserve">marketing_segment</t>
  </si>
  <si>
    <t xml:space="preserve">Marketing segment</t>
  </si>
  <si>
    <t xml:space="preserve">Opaque derived score</t>
  </si>
  <si>
    <t xml:space="preserve">Unknown construction - could encode price or protected traits</t>
  </si>
  <si>
    <t xml:space="preserve">region</t>
  </si>
  <si>
    <t xml:space="preserve">addresses</t>
  </si>
  <si>
    <t xml:space="preserve">Region R01-R12</t>
  </si>
  <si>
    <t xml:space="preserve">Geography</t>
  </si>
  <si>
    <t xml:space="preserve">Geography: repair costs, claims culture, crime</t>
  </si>
  <si>
    <t xml:space="preserve">urban_density</t>
  </si>
  <si>
    <t xml:space="preserve">rural ... dense_urban</t>
  </si>
  <si>
    <t xml:space="preserve">Traffic, crime density</t>
  </si>
  <si>
    <t xml:space="preserve">Traffic density and theft; rural crashes are faster (BI severity)</t>
  </si>
  <si>
    <t xml:space="preserve">flood_zone</t>
  </si>
  <si>
    <t xml:space="preserve">Flood zone 1-5</t>
  </si>
  <si>
    <t xml:space="preserve">Flood hazard</t>
  </si>
  <si>
    <t xml:space="preserve">Home hazard; no motor flood peril</t>
  </si>
  <si>
    <t xml:space="preserve">distance_to_river_km</t>
  </si>
  <si>
    <t xml:space="preserve">Distance to river</t>
  </si>
  <si>
    <t xml:space="preserve">Home hazard</t>
  </si>
  <si>
    <t xml:space="preserve">elevation_m</t>
  </si>
  <si>
    <t xml:space="preserve">Height above river level</t>
  </si>
  <si>
    <t xml:space="preserve">soil_type</t>
  </si>
  <si>
    <t xml:space="preserve">clay/sand/loam/chalk/rock</t>
  </si>
  <si>
    <t xml:space="preserve">Subsidence hazard (clay shrink-swell)</t>
  </si>
  <si>
    <t xml:space="preserve">year_built</t>
  </si>
  <si>
    <t xml:space="preserve">Year built</t>
  </si>
  <si>
    <t xml:space="preserve">Plumbing age, construction standard</t>
  </si>
  <si>
    <t xml:space="preserve">Home attribute</t>
  </si>
  <si>
    <t xml:space="preserve">property_type</t>
  </si>
  <si>
    <t xml:space="preserve">detached/semi/terraced/flat</t>
  </si>
  <si>
    <t xml:space="preserve">Exposure, flood floor level</t>
  </si>
  <si>
    <t xml:space="preserve">roof_type</t>
  </si>
  <si>
    <t xml:space="preserve">pitched / flat</t>
  </si>
  <si>
    <t xml:space="preserve">Storm and water ingress</t>
  </si>
  <si>
    <t xml:space="preserve">basement</t>
  </si>
  <si>
    <t xml:space="preserve">Basement</t>
  </si>
  <si>
    <t xml:space="preserve">Flood / EoW / subsidence</t>
  </si>
  <si>
    <t xml:space="preserve">trees_within_5m</t>
  </si>
  <si>
    <t xml:space="preserve">Trees within 5m</t>
  </si>
  <si>
    <t xml:space="preserve">Subsidence (root shrinkage), storm debris</t>
  </si>
  <si>
    <t xml:space="preserve">listed_building</t>
  </si>
  <si>
    <t xml:space="preserve">Listed building</t>
  </si>
  <si>
    <t xml:space="preserve">Rebuild cost (severity)</t>
  </si>
  <si>
    <t xml:space="preserve">bedrooms</t>
  </si>
  <si>
    <t xml:space="preserve">Bedrooms</t>
  </si>
  <si>
    <t xml:space="preserve">Size / severity</t>
  </si>
  <si>
    <t xml:space="preserve">energy_rating</t>
  </si>
  <si>
    <t xml:space="preserve">Energy rating A-G</t>
  </si>
  <si>
    <t xml:space="preserve">Building age / heating proxy</t>
  </si>
  <si>
    <t xml:space="preserve">Proxy - keep only where it validates</t>
  </si>
  <si>
    <t xml:space="preserve">solar_panels</t>
  </si>
  <si>
    <t xml:space="preserve">Solar panels</t>
  </si>
  <si>
    <t xml:space="preserve">Electrical fire, roof damage</t>
  </si>
  <si>
    <t xml:space="preserve">hail_days</t>
  </si>
  <si>
    <t xml:space="preserve">weather (policy year)</t>
  </si>
  <si>
    <t xml:space="preserve">Hail days in year</t>
  </si>
  <si>
    <t xml:space="preserve">Hail hazard</t>
  </si>
  <si>
    <t xml:space="preserve">Hail damage to glass/bodywork</t>
  </si>
  <si>
    <t xml:space="preserve">Realised weather of the row's year (2025 supplied for test)</t>
  </si>
  <si>
    <t xml:space="preserve">wind_exposure_index</t>
  </si>
  <si>
    <t xml:space="preserve">Wind exposure 0-10</t>
  </si>
  <si>
    <t xml:space="preserve">Storm hazard</t>
  </si>
  <si>
    <t xml:space="preserve">Debris chips</t>
  </si>
  <si>
    <t xml:space="preserve">Realised weather</t>
  </si>
  <si>
    <t xml:space="preserve">freezing_days</t>
  </si>
  <si>
    <t xml:space="preserve">Days below freezing</t>
  </si>
  <si>
    <t xml:space="preserve">Burst pipes, icy roads</t>
  </si>
  <si>
    <t xml:space="preserve">Icy roads, cold-crack glass</t>
  </si>
  <si>
    <t xml:space="preserve">dry_summer_index</t>
  </si>
  <si>
    <t xml:space="preserve">Dry summer 0-1</t>
  </si>
  <si>
    <t xml:space="preserve">Clay shrinkage (subsidence), fire</t>
  </si>
  <si>
    <t xml:space="preserve">No motor mechanism</t>
  </si>
  <si>
    <t xml:space="preserve">wildfire_index</t>
  </si>
  <si>
    <t xml:space="preserve">Wildfire 0-1</t>
  </si>
  <si>
    <t xml:space="preserve">Fire hazard</t>
  </si>
  <si>
    <t xml:space="preserve">No motor fire peril</t>
  </si>
  <si>
    <t xml:space="preserve">rainfall_mm</t>
  </si>
  <si>
    <t xml:space="preserve">Annual rainfall</t>
  </si>
  <si>
    <t xml:space="preserve">Flood, storm ingress, wet roads</t>
  </si>
  <si>
    <t xml:space="preserve">Wet-road collisions</t>
  </si>
  <si>
    <t xml:space="preserve">mean_temperature_c</t>
  </si>
  <si>
    <t xml:space="preserve">Mean temperature</t>
  </si>
  <si>
    <t xml:space="preserve">Freeze / drought conditions</t>
  </si>
  <si>
    <t xml:space="preserve">customer_age</t>
  </si>
  <si>
    <t xml:space="preserve">derived (2_clean)</t>
  </si>
  <si>
    <t xml:space="preserve">Customer age at row start</t>
  </si>
  <si>
    <t xml:space="preserve">Duplicates driver_age / policyholder_age</t>
  </si>
  <si>
    <t xml:space="preserve">driver_age already covers the driving risk</t>
  </si>
  <si>
    <t xml:space="preserve">start_month</t>
  </si>
  <si>
    <t xml:space="preserve">Row start month</t>
  </si>
  <si>
    <t xml:space="preserve">Seasonality of partial-year rows</t>
  </si>
  <si>
    <t xml:space="preserve">years_with_insurer</t>
  </si>
  <si>
    <t xml:space="preserve">policy_year - customer_since_year</t>
  </si>
  <si>
    <t xml:space="preserve">Duplicates renewal_count</t>
  </si>
  <si>
    <t xml:space="preserve">hist_policy_claims_prev</t>
  </si>
  <si>
    <t xml:space="preserve">derived (this script)</t>
  </si>
  <si>
    <t xml:space="preserve">Positive claims on this policy with loss in prior year AND reported by end of prior year; NA if no prior-year row or year 2021</t>
  </si>
  <si>
    <t xml:space="preserve">Own experience rating (renewal knowledge)</t>
  </si>
  <si>
    <t xml:space="preserve">Own prior-year claims known at renewal (experience rating)</t>
  </si>
  <si>
    <t xml:space="preserve">Built only from info known at renewal - no leakage</t>
  </si>
  <si>
    <t xml:space="preserve">hist_customer_claims_other_lines_prev</t>
  </si>
  <si>
    <t xml:space="preserve">Same customer's positive claims on the OTHER two lines, prior year, reported by its end; NA for 2021</t>
  </si>
  <si>
    <t xml:space="preserve">Cross-line behaviour</t>
  </si>
  <si>
    <t xml:space="preserve">Cross-line claims behaviour</t>
  </si>
  <si>
    <t xml:space="preserve">Built only from info known at renewal</t>
  </si>
  <si>
    <t xml:space="preserve">policyholder_age</t>
  </si>
  <si>
    <t xml:space="preserve">policies_buildings/contents</t>
  </si>
  <si>
    <t xml:space="preserve">Policyholder age</t>
  </si>
  <si>
    <t xml:space="preserve">Household behaviour</t>
  </si>
  <si>
    <t xml:space="preserve">Age is a permitted factor in most markets; check local rules</t>
  </si>
  <si>
    <t xml:space="preserve">sum_insured</t>
  </si>
  <si>
    <t xml:space="preserve">Sum insured (1000x unit errors fixed in 2_clean)</t>
  </si>
  <si>
    <t xml:space="preserve">Severity scale / rebuild cost</t>
  </si>
  <si>
    <t xml:space="preserve">Severity scale; size also drives EoW frequency</t>
  </si>
  <si>
    <t xml:space="preserve">policies_buildings</t>
  </si>
  <si>
    <t xml:space="preserve">brick/stone/timber/non_standard (T,W -&gt; timber)</t>
  </si>
  <si>
    <t xml:space="preserve">Fire, storm, subsidence vulnerability</t>
  </si>
  <si>
    <t xml:space="preserve">Timber/non-standard: fire, storm, subsidence vulnerability</t>
  </si>
  <si>
    <t xml:space="preserve">T/W -&gt; timber is an inference</t>
  </si>
  <si>
    <t xml:space="preserve">occupancy</t>
  </si>
  <si>
    <t xml:space="preserve">Owner occupied / let</t>
  </si>
  <si>
    <t xml:space="preserve">Moral hazard, maintenance</t>
  </si>
  <si>
    <t xml:space="preserve">Let properties: maintenance and moral hazard</t>
  </si>
  <si>
    <t xml:space="preserve">days_unoccupied</t>
  </si>
  <si>
    <t xml:space="preserve">Longest period unoccupied</t>
  </si>
  <si>
    <t xml:space="preserve">Undetected leaks, fire</t>
  </si>
  <si>
    <t xml:space="preserve">Undetected leaks; arson/fire</t>
  </si>
  <si>
    <t xml:space="preserve">smoke_alarms</t>
  </si>
  <si>
    <t xml:space="preserve">Smoke alarms present</t>
  </si>
  <si>
    <t xml:space="preserve">Fire mitigation</t>
  </si>
  <si>
    <t xml:space="preserve">Fire detection reduces frequency and size</t>
  </si>
  <si>
    <t xml:space="preserve">accidental_damage_cover</t>
  </si>
  <si>
    <t xml:space="preserve">Optional AD cover</t>
  </si>
  <si>
    <t xml:space="preserve">Defines whether AD is covered (structural)</t>
  </si>
  <si>
    <t xml:space="preserve">Structural for AD peril</t>
  </si>
  <si>
    <t xml:space="preserve">Structural zero when not bought - see Structural_Zeros</t>
  </si>
  <si>
    <t xml:space="preserve">mortgage</t>
  </si>
  <si>
    <t xml:space="preserve">Mortgaged</t>
  </si>
  <si>
    <t xml:space="preserve">Financial proxy only</t>
  </si>
  <si>
    <t xml:space="preserve">No direct causal path</t>
  </si>
  <si>
    <t xml:space="preserve">Removes small claims; behaviour</t>
  </si>
  <si>
    <t xml:space="preserve">Applied per claim</t>
  </si>
  <si>
    <t xml:space="preserve">Selection</t>
  </si>
  <si>
    <t xml:space="preserve">Financial-stress proxy (maintenance)</t>
  </si>
  <si>
    <t xml:space="preserve">Tenure</t>
  </si>
  <si>
    <t xml:space="preserve">Anti-selection (e.g. buying ahead of forecast storms)</t>
  </si>
  <si>
    <t xml:space="preserve">Commercial</t>
  </si>
  <si>
    <t xml:space="preserve">Circular; was top gain for flood in WENDY 3 - flood hazard now from flood_zone/elevation directly</t>
  </si>
  <si>
    <t xml:space="preserve">Spurious in sparse perils</t>
  </si>
  <si>
    <t xml:space="preserve">No home mechanism</t>
  </si>
  <si>
    <t xml:space="preserve">Water usage, cooking fires, AD</t>
  </si>
  <si>
    <t xml:space="preserve">Maintenance proxy; guardrail</t>
  </si>
  <si>
    <t xml:space="preserve">Motor conduct, not home</t>
  </si>
  <si>
    <t xml:space="preserve">Cohort year</t>
  </si>
  <si>
    <t xml:space="preserve">Spurious for fire/subsidence in WENDY 3</t>
  </si>
  <si>
    <t xml:space="preserve">Spurious for subsidence in WENDY 3</t>
  </si>
  <si>
    <t xml:space="preserve">Opaque</t>
  </si>
  <si>
    <t xml:space="preserve">Geography, rebuild cost</t>
  </si>
  <si>
    <t xml:space="preserve">Arson, density</t>
  </si>
  <si>
    <t xml:space="preserve">Clay shrink-swell</t>
  </si>
  <si>
    <t xml:space="preserve">Plumbing age, foundations, standards</t>
  </si>
  <si>
    <t xml:space="preserve">Exposure; flats rarely flood above ground floor</t>
  </si>
  <si>
    <t xml:space="preserve">Flat roofs: storm and water ingress</t>
  </si>
  <si>
    <t xml:space="preserve">Flood / leak / subsidence</t>
  </si>
  <si>
    <t xml:space="preserve">Root shrinkage; storm debris</t>
  </si>
  <si>
    <t xml:space="preserve">Specialist rebuild cost</t>
  </si>
  <si>
    <t xml:space="preserve">Heating/age proxy; strong for fire in WENDY 3</t>
  </si>
  <si>
    <t xml:space="preserve">Electrical fire; roof damage cost</t>
  </si>
  <si>
    <t xml:space="preserve">Roof hail damage</t>
  </si>
  <si>
    <t xml:space="preserve">Burst pipes</t>
  </si>
  <si>
    <t xml:space="preserve">Clay shrinkage; dry fires</t>
  </si>
  <si>
    <t xml:space="preserve">Flood; storm ingress; soil moisture</t>
  </si>
  <si>
    <t xml:space="preserve">Freeze / drought</t>
  </si>
  <si>
    <t xml:space="preserve">Duplicates policyholder_age</t>
  </si>
  <si>
    <t xml:space="preserve">Own prior-year claims</t>
  </si>
  <si>
    <t xml:space="preserve">Cross-line behaviour (non-weather perils)</t>
  </si>
  <si>
    <t xml:space="preserve">Severity scale; more contents more theft/AD</t>
  </si>
  <si>
    <t xml:space="preserve">tenure</t>
  </si>
  <si>
    <t xml:space="preserve">policies_contents</t>
  </si>
  <si>
    <t xml:space="preserve">Owner / renter</t>
  </si>
  <si>
    <t xml:space="preserve">Theft, EoW exposure</t>
  </si>
  <si>
    <t xml:space="preserve">Renters: different exposure</t>
  </si>
  <si>
    <t xml:space="preserve">security_level</t>
  </si>
  <si>
    <t xml:space="preserve">standard / locks / alarm_and_locks</t>
  </si>
  <si>
    <t xml:space="preserve">Theft mitigation</t>
  </si>
  <si>
    <t xml:space="preserve">high_value_items</t>
  </si>
  <si>
    <t xml:space="preserve">Declared high-value items</t>
  </si>
  <si>
    <t xml:space="preserve">Theft attractiveness, severity</t>
  </si>
  <si>
    <t xml:space="preserve">Theft attractiveness and size</t>
  </si>
  <si>
    <t xml:space="preserve">works_from_home</t>
  </si>
  <si>
    <t xml:space="preserve">Someone works from home</t>
  </si>
  <si>
    <t xml:space="preserve">Daytime occupancy (theft), AD</t>
  </si>
  <si>
    <t xml:space="preserve">Daytime occupancy</t>
  </si>
  <si>
    <t xml:space="preserve">lodgers</t>
  </si>
  <si>
    <t xml:space="preserve">Lodgers/students in household</t>
  </si>
  <si>
    <t xml:space="preserve">Theft, AD</t>
  </si>
  <si>
    <t xml:space="preserve">Theft/AD by occupants</t>
  </si>
  <si>
    <t xml:space="preserve">bicycle_cover</t>
  </si>
  <si>
    <t xml:space="preserve">Optional bicycle cover</t>
  </si>
  <si>
    <t xml:space="preserve">Adds bicycle theft exposure</t>
  </si>
  <si>
    <t xml:space="preserve">Anti-selection</t>
  </si>
  <si>
    <t xml:space="preserve">Circular; top gain for theft/EoW in WENDY 3</t>
  </si>
  <si>
    <t xml:space="preserve">Proxy; not needed</t>
  </si>
  <si>
    <t xml:space="preserve">No mechanism</t>
  </si>
  <si>
    <t xml:space="preserve">Occupants</t>
  </si>
  <si>
    <t xml:space="preserve">Claims propensity; guardrail</t>
  </si>
  <si>
    <t xml:space="preserve">Motor conduct</t>
  </si>
  <si>
    <t xml:space="preserve">Opaque; ranked high for theft/EoW in WENDY 3 without a mechanism</t>
  </si>
  <si>
    <t xml:space="preserve">Crime density</t>
  </si>
  <si>
    <t xml:space="preserve">No contents subsidence peril</t>
  </si>
  <si>
    <t xml:space="preserve">Plumbing age</t>
  </si>
  <si>
    <t xml:space="preserve">Flats: theft access, flood floor level</t>
  </si>
  <si>
    <t xml:space="preserve">Water ingress</t>
  </si>
  <si>
    <t xml:space="preserve">Flood / leaks</t>
  </si>
  <si>
    <t xml:space="preserve">Building, not contents</t>
  </si>
  <si>
    <t xml:space="preserve">Size of household contents</t>
  </si>
  <si>
    <t xml:space="preserve">No contents hail peril</t>
  </si>
  <si>
    <t xml:space="preserve">No contents storm peril</t>
  </si>
  <si>
    <t xml:space="preserve">No contents fire peril</t>
  </si>
  <si>
    <t xml:space="preserve">Flood</t>
  </si>
  <si>
    <t xml:space="preserve">Freeze conditions</t>
  </si>
  <si>
    <t xml:space="preserve">Seasonality</t>
  </si>
  <si>
    <t xml:space="preserve">freq_model</t>
  </si>
  <si>
    <t xml:space="preserve">challenger_tweedie</t>
  </si>
  <si>
    <t xml:space="preserve">sev_trend</t>
  </si>
  <si>
    <t xml:space="preserve">freq_trend</t>
  </si>
  <si>
    <t xml:space="preserve">sev_exclude_recent_years</t>
  </si>
  <si>
    <t xml:space="preserve">freq_max_depth</t>
  </si>
  <si>
    <t xml:space="preserve">freq_eta</t>
  </si>
  <si>
    <t xml:space="preserve">freq_min_child_weight</t>
  </si>
  <si>
    <t xml:space="preserve">sev_max_depth</t>
  </si>
  <si>
    <t xml:space="preserve">sev_eta</t>
  </si>
  <si>
    <t xml:space="preserve">sev_min_child_weight</t>
  </si>
  <si>
    <t xml:space="preserve">tweedie_p</t>
  </si>
  <si>
    <t xml:space="preserve">poisson_gbm</t>
  </si>
  <si>
    <t xml:space="preserve">auto</t>
  </si>
  <si>
    <t xml:space="preserve">estimate</t>
  </si>
  <si>
    <t xml:space="preserve">~49k claims: data-rich, GBM for both parts.</t>
  </si>
  <si>
    <t xml:space="preserve">~34k claims: data-rich.</t>
  </si>
  <si>
    <t xml:space="preserve">~7.6k claims, long tail (median report lag ~127 days), 2024 immature: Poisson GBM frequency + Gamma GLM severity on few factors; latest year left out of severity fit.</t>
  </si>
  <si>
    <t xml:space="preserve">none</t>
  </si>
  <si>
    <t xml:space="preserve">~6.5k claims; recoveries matter.</t>
  </si>
  <si>
    <t xml:space="preserve">Weather-driven: no frequency trend.</t>
  </si>
  <si>
    <t xml:space="preserve">~7.8k claims; weather-driven.</t>
  </si>
  <si>
    <t xml:space="preserve">~2.2k claims, strong hazard structure: GBM frequency, GLM severity.</t>
  </si>
  <si>
    <t xml:space="preserve">~10k claims: data-rich.</t>
  </si>
  <si>
    <t xml:space="preserve">~1.3k claims, long tail (median lag ~94 days): GLM severity, latest year excluded from severity.</t>
  </si>
  <si>
    <t xml:space="preserve">~1.1k claims, very heavy severity: GLM severity, lower cap.</t>
  </si>
  <si>
    <t xml:space="preserve">~3.8k claims; structural zero without AD cover.</t>
  </si>
  <si>
    <t xml:space="preserve">~7.9k claims.</t>
  </si>
  <si>
    <t xml:space="preserve">~5.4k claims.</t>
  </si>
  <si>
    <t xml:space="preserve">~9.2k claims; structural zero without AD cover.</t>
  </si>
  <si>
    <t xml:space="preserve">~1.6k claims: GLM severity.</t>
  </si>
  <si>
    <t xml:space="preserve">Notes</t>
  </si>
  <si>
    <t xml:space="preserve">freq_min_child_weight ~ minimum expected claim count per leaf (Poisson hessian ~ expected count; xgboost's max_delta_step inflates it roughly 2x - approximate).</t>
  </si>
  <si>
    <t xml:space="preserve">sev_min_child_weight ~ minimum claims per leaf for the Gamma GBM. sev_* depth/eta are ignored when sev_model = gamma_glm.</t>
  </si>
  <si>
    <t xml:space="preserve">sev_trend / freq_trend: estimate = fit inside each training window and clamp to the Settings bounds; none = no trend.</t>
  </si>
  <si>
    <t xml:space="preserve">cap_quantile is taken over that peril's positive claim costs in the training window (after the outlier limit and trend).</t>
  </si>
  <si>
    <t xml:space="preserve">part</t>
  </si>
  <si>
    <t xml:space="preserve">param</t>
  </si>
  <si>
    <t xml:space="preserve">values</t>
  </si>
  <si>
    <t xml:space="preserve">note</t>
  </si>
  <si>
    <t xml:space="preserve">freq</t>
  </si>
  <si>
    <t xml:space="preserve">max_depth</t>
  </si>
  <si>
    <t xml:space="preserve">2,3,4,5,6</t>
  </si>
  <si>
    <t xml:space="preserve">Tree depth (interaction order).</t>
  </si>
  <si>
    <t xml:space="preserve">eta</t>
  </si>
  <si>
    <t xml:space="preserve">0.02,0.03,0.05</t>
  </si>
  <si>
    <t xml:space="preserve">Learning rate; early stopping sets the rounds.</t>
  </si>
  <si>
    <t xml:space="preserve">min_child_weight</t>
  </si>
  <si>
    <t xml:space="preserve">10,30,100,300</t>
  </si>
  <si>
    <t xml:space="preserve">~ minimum expected claims per leaf (Poisson hessian).</t>
  </si>
  <si>
    <t xml:space="preserve">subsample</t>
  </si>
  <si>
    <t xml:space="preserve">0.6,0.8,1</t>
  </si>
  <si>
    <t xml:space="preserve">colsample_bytree</t>
  </si>
  <si>
    <t xml:space="preserve">0.5,0.7,0.9</t>
  </si>
  <si>
    <t xml:space="preserve">reg_lambda</t>
  </si>
  <si>
    <t xml:space="preserve">1,5,20</t>
  </si>
  <si>
    <t xml:space="preserve">L2 penalty.</t>
  </si>
  <si>
    <t xml:space="preserve">sev</t>
  </si>
  <si>
    <t xml:space="preserve">2,3,4</t>
  </si>
  <si>
    <t xml:space="preserve">Severity has fewer rows - shallower trees.</t>
  </si>
  <si>
    <t xml:space="preserve">0.02,0.05</t>
  </si>
  <si>
    <t xml:space="preserve">30,100,300</t>
  </si>
  <si>
    <t xml:space="preserve">~ minimum claims per leaf (Gamma hessian ~ 1 per claim).</t>
  </si>
  <si>
    <t xml:space="preserve">0.7,0.9</t>
  </si>
  <si>
    <t xml:space="preserve">1,10,50</t>
  </si>
  <si>
    <t xml:space="preserve">tweedie</t>
  </si>
  <si>
    <t xml:space="preserve">2,3,4,5</t>
  </si>
  <si>
    <t xml:space="preserve">10,50,200</t>
  </si>
  <si>
    <t xml:space="preserve">1.3,1.4,1.5,1.6,1.7,1.8</t>
  </si>
  <si>
    <t xml:space="preserve">Variance power of the fitted Tweedie (score stays p = 1.5).</t>
  </si>
  <si>
    <t xml:space="preserve">third_party_only,third_party_fire_theft</t>
  </si>
  <si>
    <t xml:space="preserve">Own damage is only covered by comprehensive.</t>
  </si>
  <si>
    <t xml:space="preserve">Glass is normally a comprehensive benefit (assumption - the data check decides).</t>
  </si>
  <si>
    <t xml:space="preserve">third_party_only</t>
  </si>
  <si>
    <t xml:space="preserve">Theft is covered by TPFT and comprehensive only.</t>
  </si>
  <si>
    <t xml:space="preserve">FALSE</t>
  </si>
  <si>
    <t xml:space="preserve">AD only covered if bought.</t>
  </si>
  <si>
    <t xml:space="preserve">A rule is applied only if the training data has ZERO positive claims of that peril in those rows; otherwise the script warns and ignores it. Values are matched case-insensitively against the column as text.</t>
  </si>
  <si>
    <t xml:space="preserve">key</t>
  </si>
  <si>
    <t xml:space="preserve">value</t>
  </si>
  <si>
    <t xml:space="preserve">valid_years</t>
  </si>
  <si>
    <t xml:space="preserve">2024</t>
  </si>
  <si>
    <t xml:space="preserve">WENDY 4 setting kept for reference; WENDY 5/6 use validation_mode / time_check_year.</t>
  </si>
  <si>
    <t xml:space="preserve">target_year</t>
  </si>
  <si>
    <t xml:space="preserve">2025</t>
  </si>
  <si>
    <t xml:space="preserve">Year the submission predicts (trend target).</t>
  </si>
  <si>
    <t xml:space="preserve">lag_loss_years</t>
  </si>
  <si>
    <t xml:space="preserve">2021,2022</t>
  </si>
  <si>
    <t xml:space="preserve">Loss years whose report lags define the reporting pattern.</t>
  </si>
  <si>
    <t xml:space="preserve">outlier_claim_limit</t>
  </si>
  <si>
    <t xml:space="preserve">2000000</t>
  </si>
  <si>
    <t xml:space="preserve">Single-claim limit applied before caps (CU).</t>
  </si>
  <si>
    <t xml:space="preserve">sev_trend_min</t>
  </si>
  <si>
    <t xml:space="preserve">-0.02</t>
  </si>
  <si>
    <t xml:space="preserve">Lower clamp on annual severity trend.</t>
  </si>
  <si>
    <t xml:space="preserve">sev_trend_max</t>
  </si>
  <si>
    <t xml:space="preserve">0.10</t>
  </si>
  <si>
    <t xml:space="preserve">Upper clamp on annual severity trend.</t>
  </si>
  <si>
    <t xml:space="preserve">freq_trend_min</t>
  </si>
  <si>
    <t xml:space="preserve">-0.05</t>
  </si>
  <si>
    <t xml:space="preserve">Lower clamp on annual frequency trend.</t>
  </si>
  <si>
    <t xml:space="preserve">freq_trend_max</t>
  </si>
  <si>
    <t xml:space="preserve">0.03</t>
  </si>
  <si>
    <t xml:space="preserve">Upper clamp on annual frequency trend.</t>
  </si>
  <si>
    <t xml:space="preserve">model_selection</t>
  </si>
  <si>
    <t xml:space="preserve">auto = better of freq_sev / tweedie per peril by mean validation D2; freq_sev or tweedie forces one.</t>
  </si>
  <si>
    <t xml:space="preserve">open_claim_recovery_adjust</t>
  </si>
  <si>
    <t xml:space="preserve">Deduct expected recoveries from OPEN claims of perils with recoveries (closed recovery ratio).</t>
  </si>
  <si>
    <t xml:space="preserve">history_features</t>
  </si>
  <si>
    <t xml:space="preserve">Build hist_* prior-year claims features (Y/N).</t>
  </si>
  <si>
    <t xml:space="preserve">max_rounds</t>
  </si>
  <si>
    <t xml:space="preserve">5000</t>
  </si>
  <si>
    <t xml:space="preserve">Max boosting rounds (early stopping decides).</t>
  </si>
  <si>
    <t xml:space="preserve">early_stopping_rounds</t>
  </si>
  <si>
    <t xml:space="preserve">50</t>
  </si>
  <si>
    <t xml:space="preserve">holdout_share</t>
  </si>
  <si>
    <t xml:space="preserve">Share of training POLICIES held out for early stopping.</t>
  </si>
  <si>
    <t xml:space="preserve">0.8</t>
  </si>
  <si>
    <t xml:space="preserve">Row subsample per tree.</t>
  </si>
  <si>
    <t xml:space="preserve">Feature subsample per tree.</t>
  </si>
  <si>
    <t xml:space="preserve">5</t>
  </si>
  <si>
    <t xml:space="preserve">L2 regularisation.</t>
  </si>
  <si>
    <t xml:space="preserve">glm_min_level_claims</t>
  </si>
  <si>
    <t xml:space="preserve">30</t>
  </si>
  <si>
    <t xml:space="preserve">GLM severity: category levels with fewer claims are pooled into 'other'.</t>
  </si>
  <si>
    <t xml:space="preserve">glm_log_features</t>
  </si>
  <si>
    <t xml:space="preserve">sum_insured,annual_mileage,distance_to_river_km</t>
  </si>
  <si>
    <t xml:space="preserve">Numeric features entered as log(1+x) in GLM severity.</t>
  </si>
  <si>
    <t xml:space="preserve">score_tweedie_p</t>
  </si>
  <si>
    <t xml:space="preserve">1.5</t>
  </si>
  <si>
    <t xml:space="preserve">Power of the Tweedie D2 metric (Kaggle).</t>
  </si>
  <si>
    <t xml:space="preserve">nthread</t>
  </si>
  <si>
    <t xml:space="preserve">0</t>
  </si>
  <si>
    <t xml:space="preserve">0 = all cores.</t>
  </si>
  <si>
    <t xml:space="preserve">validation_mode</t>
  </si>
  <si>
    <t xml:space="preserve">both</t>
  </si>
  <si>
    <t xml:space="preserve">group_cv = choose method on policy-grouped CV; time = choose on the time-check year; both = choose on CV and also report the time check.</t>
  </si>
  <si>
    <t xml:space="preserve">cv_folds</t>
  </si>
  <si>
    <t xml:space="preserve">Number of policy-grouped folds over ALL training years (2021-24). Same assignment in WENDY 5 and 6.</t>
  </si>
  <si>
    <t xml:space="preserve">time_check_year</t>
  </si>
  <si>
    <t xml:space="preserve">Fit on earlier years, score this year vs developed actuals (same fold as WENDY 4 -&gt; comparable).</t>
  </si>
  <si>
    <t xml:space="preserve">tune_fold</t>
  </si>
  <si>
    <t xml:space="preserve">1</t>
  </si>
  <si>
    <t xml:space="preserve">Which grouped fold is the tuning holdout.</t>
  </si>
  <si>
    <t xml:space="preserve">tune_configs</t>
  </si>
  <si>
    <t xml:space="preserve">20</t>
  </si>
  <si>
    <t xml:space="preserve">Random configs per component (config 1 = Model_Spec default). Run time scales ~linearly.</t>
  </si>
  <si>
    <t xml:space="preserve">row_id</t>
  </si>
  <si>
    <t xml:space="preserve">Row key</t>
  </si>
  <si>
    <t xml:space="preserve">Identifier</t>
  </si>
  <si>
    <t xml:space="preserve">n/a</t>
  </si>
  <si>
    <t xml:space="preserve">Identifier - excluded</t>
  </si>
  <si>
    <t xml:space="preserve">policy_id</t>
  </si>
  <si>
    <t xml:space="preserve">Policy key (constant across years)</t>
  </si>
  <si>
    <t xml:space="preserve">Identifier; used to build history and holdouts</t>
  </si>
  <si>
    <t xml:space="preserve">customer_id</t>
  </si>
  <si>
    <t xml:space="preserve">Customer key (leading zeros fixed)</t>
  </si>
  <si>
    <t xml:space="preserve">Identifier; used for cross-line history</t>
  </si>
  <si>
    <t xml:space="preserve">address_id</t>
  </si>
  <si>
    <t xml:space="preserve">Address key</t>
  </si>
  <si>
    <t xml:space="preserve">Join key to addresses/weather</t>
  </si>
  <si>
    <t xml:space="preserve">period_start / period_end</t>
  </si>
  <si>
    <t xml:space="preserve">Cover dates</t>
  </si>
  <si>
    <t xml:space="preserve">Exposure, IBNR share, start_month</t>
  </si>
  <si>
    <t xml:space="preserve">Raw dates excluded</t>
  </si>
  <si>
    <t xml:space="preserve">exposure</t>
  </si>
  <si>
    <t xml:space="preserve">Years on cover (recomputed)</t>
  </si>
  <si>
    <t xml:space="preserve">Frequency volume</t>
  </si>
  <si>
    <t xml:space="preserve">Volume, not a feature</t>
  </si>
  <si>
    <t xml:space="preserve">renewal_decision</t>
  </si>
  <si>
    <t xml:space="preserve">train only</t>
  </si>
  <si>
    <t xml:space="preserve">Row outcome</t>
  </si>
  <si>
    <t xml:space="preserve">LEAKAGE</t>
  </si>
  <si>
    <t xml:space="preserve">Dropped in 2_clean</t>
  </si>
  <si>
    <t xml:space="preserve">customer_service_contacts</t>
  </si>
  <si>
    <t xml:space="preserve">Service contacts</t>
  </si>
  <si>
    <t xml:space="preserve">Excluded in 0_setup</t>
  </si>
  <si>
    <t xml:space="preserve">surname</t>
  </si>
  <si>
    <t xml:space="preserve">Anonymised surname</t>
  </si>
  <si>
    <t xml:space="preserve">Dropped (possible ethnicity proxy)</t>
  </si>
  <si>
    <t xml:space="preserve">date_of_birth</t>
  </si>
  <si>
    <t xml:space="preserve">DOB</t>
  </si>
  <si>
    <t xml:space="preserve">Becomes customer_age</t>
  </si>
  <si>
    <t xml:space="preserve">Raw date dropped</t>
  </si>
  <si>
    <t xml:space="preserve">claim_id</t>
  </si>
  <si>
    <t xml:space="preserve">claims</t>
  </si>
  <si>
    <t xml:space="preserve">Claim key</t>
  </si>
  <si>
    <t xml:space="preserve">Peril</t>
  </si>
  <si>
    <t xml:space="preserve">Splits targets into per-peril models</t>
  </si>
  <si>
    <t xml:space="preserve">loss_date</t>
  </si>
  <si>
    <t xml:space="preserve">Date of loss</t>
  </si>
  <si>
    <t xml:space="preserve">Matches claim to row; trend year; history</t>
  </si>
  <si>
    <t xml:space="preserve">report_date</t>
  </si>
  <si>
    <t xml:space="preserve">Date reported</t>
  </si>
  <si>
    <t xml:space="preserve">Report lag -&gt; IBNR share; history 'known at renewal'</t>
  </si>
  <si>
    <t xml:space="preserve">closed/open/repudiated</t>
  </si>
  <si>
    <t xml:space="preserve">Repudiated excluded; open kept at incurred</t>
  </si>
  <si>
    <t xml:space="preserve">paid_to_date</t>
  </si>
  <si>
    <t xml:space="preserve">Paid, net of excess</t>
  </si>
  <si>
    <t xml:space="preserve">Not used directly (incurred includes it)</t>
  </si>
  <si>
    <t xml:space="preserve">incurred_to_date</t>
  </si>
  <si>
    <t xml:space="preserve">Paid + case reserve</t>
  </si>
  <si>
    <t xml:space="preserve">Claim cost basis</t>
  </si>
  <si>
    <t xml:space="preserve">recoveries</t>
  </si>
  <si>
    <t xml:space="preserve">Third-party / salvage recoveries</t>
  </si>
  <si>
    <t xml:space="preserve">Deducted (target is net of recoveries)</t>
  </si>
  <si>
    <t xml:space="preserve">repairer_id / third_party_id</t>
  </si>
  <si>
    <t xml:space="preserve">Motor claim parties</t>
  </si>
  <si>
    <t xml:space="preserve">Not known for test rows</t>
  </si>
  <si>
    <t xml:space="preserve">Excluded</t>
  </si>
  <si>
    <t xml:space="preserve">LEAKAGE - rises after a claim</t>
  </si>
  <si>
    <t xml:space="preserve">Excluded in 0_setup (leakage)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</si>
</sst>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10"/>
  </cols>
  <sheetData>
    <row r="1" customFormat="false" ht="48" hidden="false" customHeight="true" outlineLevel="0" collapsed="false">
      <c r="A1" s="2" t="s">
        <v>0</v>
      </c>
      <c r="B1" s="3"/>
    </row>
    <row r="2" customFormat="false" ht="34.5" hidden="false" customHeight="true" outlineLevel="0" collapsed="false">
      <c r="A2" s="4" t="s">
        <v>1</v>
      </c>
      <c r="B2" s="3" t="s">
        <v>2</v>
      </c>
    </row>
    <row r="3" customFormat="false" ht="15" hidden="false" customHeight="true" outlineLevel="0" collapsed="false">
      <c r="A3" s="4" t="s">
        <v>3</v>
      </c>
      <c r="B3" s="3" t="s">
        <v>4</v>
      </c>
    </row>
    <row r="4" customFormat="false" ht="15" hidden="false" customHeight="true" outlineLevel="0" collapsed="false">
      <c r="A4" s="4" t="s">
        <v>5</v>
      </c>
      <c r="B4" s="3" t="s">
        <v>6</v>
      </c>
    </row>
    <row r="5" customFormat="false" ht="23.25" hidden="false" customHeight="true" outlineLevel="0" collapsed="false">
      <c r="A5" s="4" t="s">
        <v>7</v>
      </c>
      <c r="B5" s="3" t="s">
        <v>8</v>
      </c>
    </row>
    <row r="6" customFormat="false" ht="23.25" hidden="false" customHeight="true" outlineLevel="0" collapsed="false">
      <c r="A6" s="4" t="s">
        <v>9</v>
      </c>
      <c r="B6" s="3" t="s">
        <v>10</v>
      </c>
    </row>
    <row r="7" customFormat="false" ht="15" hidden="false" customHeight="true" outlineLevel="0" collapsed="false">
      <c r="A7" s="4" t="s">
        <v>11</v>
      </c>
      <c r="B7" s="3" t="s">
        <v>12</v>
      </c>
    </row>
    <row r="8" customFormat="false" ht="34.5" hidden="false" customHeight="true" outlineLevel="0" collapsed="false">
      <c r="A8" s="4" t="s">
        <v>13</v>
      </c>
      <c r="B8" s="3" t="s">
        <v>14</v>
      </c>
    </row>
    <row r="9" customFormat="false" ht="23.25" hidden="false" customHeight="true" outlineLevel="0" collapsed="false">
      <c r="A9" s="4" t="s">
        <v>15</v>
      </c>
      <c r="B9" s="3" t="s">
        <v>16</v>
      </c>
    </row>
    <row r="10" customFormat="false" ht="23.25" hidden="false" customHeight="true" outlineLevel="0" collapsed="false">
      <c r="A10" s="4" t="s">
        <v>17</v>
      </c>
      <c r="B10" s="3" t="s">
        <v>18</v>
      </c>
    </row>
    <row r="11" customFormat="false" ht="45.75" hidden="false" customHeight="true" outlineLevel="0" collapsed="false">
      <c r="A11" s="4" t="s">
        <v>19</v>
      </c>
      <c r="B11" s="3" t="s">
        <v>20</v>
      </c>
    </row>
    <row r="12" customFormat="false" ht="23.25" hidden="false" customHeight="true" outlineLevel="0" collapsed="false">
      <c r="A12" s="4" t="s">
        <v>21</v>
      </c>
      <c r="B12" s="3" t="s">
        <v>22</v>
      </c>
    </row>
    <row r="14" customFormat="false" ht="35.05" hidden="false" customHeight="false" outlineLevel="0" collapsed="false">
      <c r="A14" s="4" t="s">
        <v>23</v>
      </c>
      <c r="B14" s="3" t="s">
        <v>24</v>
      </c>
    </row>
    <row r="15" customFormat="false" ht="23.85" hidden="false" customHeight="false" outlineLevel="0" collapsed="false">
      <c r="A15" s="4" t="s">
        <v>15</v>
      </c>
      <c r="B15" s="3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8"/>
    <col collapsed="false" customWidth="true" hidden="false" outlineLevel="0" max="4" min="3" style="1" width="14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7" min="7" style="1" width="60"/>
  </cols>
  <sheetData>
    <row r="1" customFormat="false" ht="30" hidden="false" customHeight="true" outlineLevel="0" collapsed="false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</row>
    <row r="2" customFormat="false" ht="15" hidden="false" customHeight="true" outlineLevel="0" collapsed="false">
      <c r="A2" s="6" t="s">
        <v>33</v>
      </c>
      <c r="B2" s="6" t="s">
        <v>34</v>
      </c>
      <c r="C2" s="7" t="n">
        <f aca="false">COUNTIFS(Features_Motor!$G:$G,"Y",Features_Motor!J:J,"F")+COUNTIFS(Features_Motor!$G:$G,"Y",Features_Motor!J:J,"B")</f>
        <v>38</v>
      </c>
      <c r="D2" s="7" t="n">
        <f aca="false">COUNTIFS(Features_Motor!$G:$G,"Y",Features_Motor!J:J,"S")+COUNTIFS(Features_Motor!$G:$G,"Y",Features_Motor!J:J,"B")</f>
        <v>11</v>
      </c>
      <c r="E2" s="8" t="str">
        <f aca="false">Model_Spec!D2</f>
        <v>auto</v>
      </c>
      <c r="F2" s="8" t="n">
        <f aca="false">Model_Spec!F2</f>
        <v>0.999</v>
      </c>
      <c r="G2" s="8" t="str">
        <f aca="false">Model_Spec!Q2</f>
        <v>~49k claims: data-rich, GBM for both parts.</v>
      </c>
    </row>
    <row r="3" customFormat="false" ht="15" hidden="false" customHeight="true" outlineLevel="0" collapsed="false">
      <c r="A3" s="6" t="s">
        <v>33</v>
      </c>
      <c r="B3" s="6" t="s">
        <v>35</v>
      </c>
      <c r="C3" s="7" t="n">
        <f aca="false">COUNTIFS(Features_Motor!$G:$G,"Y",Features_Motor!K:K,"F")+COUNTIFS(Features_Motor!$G:$G,"Y",Features_Motor!K:K,"B")</f>
        <v>33</v>
      </c>
      <c r="D3" s="7" t="n">
        <f aca="false">COUNTIFS(Features_Motor!$G:$G,"Y",Features_Motor!K:K,"S")+COUNTIFS(Features_Motor!$G:$G,"Y",Features_Motor!K:K,"B")</f>
        <v>5</v>
      </c>
      <c r="E3" s="8" t="str">
        <f aca="false">Model_Spec!D3</f>
        <v>auto</v>
      </c>
      <c r="F3" s="8" t="n">
        <f aca="false">Model_Spec!F3</f>
        <v>0.999</v>
      </c>
      <c r="G3" s="8" t="str">
        <f aca="false">Model_Spec!Q3</f>
        <v>~34k claims: data-rich.</v>
      </c>
    </row>
    <row r="4" customFormat="false" ht="34.5" hidden="false" customHeight="true" outlineLevel="0" collapsed="false">
      <c r="A4" s="6" t="s">
        <v>33</v>
      </c>
      <c r="B4" s="6" t="s">
        <v>36</v>
      </c>
      <c r="C4" s="7" t="n">
        <f aca="false">COUNTIFS(Features_Motor!$G:$G,"Y",Features_Motor!L:L,"F")+COUNTIFS(Features_Motor!$G:$G,"Y",Features_Motor!L:L,"B")</f>
        <v>17</v>
      </c>
      <c r="D4" s="7" t="n">
        <f aca="false">COUNTIFS(Features_Motor!$G:$G,"Y",Features_Motor!L:L,"S")+COUNTIFS(Features_Motor!$G:$G,"Y",Features_Motor!L:L,"B")</f>
        <v>4</v>
      </c>
      <c r="E4" s="8" t="str">
        <f aca="false">Model_Spec!D4</f>
        <v>auto</v>
      </c>
      <c r="F4" s="8" t="n">
        <f aca="false">Model_Spec!F4</f>
        <v>0.995</v>
      </c>
      <c r="G4" s="8" t="str">
        <f aca="false">Model_Spec!Q4</f>
        <v>~7.6k claims, long tail (median report lag ~127 days), 2024 immature: Poisson GBM frequency + Gamma GLM severity on few factors; latest year left out of severity fit.</v>
      </c>
    </row>
    <row r="5" customFormat="false" ht="15" hidden="false" customHeight="true" outlineLevel="0" collapsed="false">
      <c r="A5" s="6" t="s">
        <v>33</v>
      </c>
      <c r="B5" s="6" t="s">
        <v>37</v>
      </c>
      <c r="C5" s="7" t="n">
        <f aca="false">COUNTIFS(Features_Motor!$G:$G,"Y",Features_Motor!M:M,"F")+COUNTIFS(Features_Motor!$G:$G,"Y",Features_Motor!M:M,"B")</f>
        <v>21</v>
      </c>
      <c r="D5" s="7" t="n">
        <f aca="false">COUNTIFS(Features_Motor!$G:$G,"Y",Features_Motor!M:M,"S")+COUNTIFS(Features_Motor!$G:$G,"Y",Features_Motor!M:M,"B")</f>
        <v>9</v>
      </c>
      <c r="E5" s="8" t="str">
        <f aca="false">Model_Spec!D5</f>
        <v>auto</v>
      </c>
      <c r="F5" s="8" t="n">
        <f aca="false">Model_Spec!F5</f>
        <v>0.999</v>
      </c>
      <c r="G5" s="8" t="str">
        <f aca="false">Model_Spec!Q5</f>
        <v>~6.5k claims; recoveries matter.</v>
      </c>
    </row>
    <row r="6" customFormat="false" ht="15" hidden="false" customHeight="true" outlineLevel="0" collapsed="false">
      <c r="A6" s="6" t="s">
        <v>33</v>
      </c>
      <c r="B6" s="6" t="s">
        <v>38</v>
      </c>
      <c r="C6" s="7" t="n">
        <f aca="false">COUNTIFS(Features_Motor!$G:$G,"Y",Features_Motor!N:N,"F")+COUNTIFS(Features_Motor!$G:$G,"Y",Features_Motor!N:N,"B")</f>
        <v>16</v>
      </c>
      <c r="D6" s="7" t="n">
        <f aca="false">COUNTIFS(Features_Motor!$G:$G,"Y",Features_Motor!N:N,"S")+COUNTIFS(Features_Motor!$G:$G,"Y",Features_Motor!N:N,"B")</f>
        <v>9</v>
      </c>
      <c r="E6" s="8" t="str">
        <f aca="false">Model_Spec!D6</f>
        <v>auto</v>
      </c>
      <c r="F6" s="8" t="n">
        <f aca="false">Model_Spec!F6</f>
        <v>0.999</v>
      </c>
      <c r="G6" s="8" t="str">
        <f aca="false">Model_Spec!Q6</f>
        <v>Weather-driven: no frequency trend.</v>
      </c>
    </row>
    <row r="7" customFormat="false" ht="15" hidden="false" customHeight="true" outlineLevel="0" collapsed="false">
      <c r="A7" s="6" t="s">
        <v>39</v>
      </c>
      <c r="B7" s="6" t="s">
        <v>40</v>
      </c>
      <c r="C7" s="7" t="n">
        <f aca="false">COUNTIFS(Features_Buildings!$G:$G,"Y",Features_Buildings!J:J,"F")+COUNTIFS(Features_Buildings!$G:$G,"Y",Features_Buildings!J:J,"B")</f>
        <v>17</v>
      </c>
      <c r="D7" s="7" t="n">
        <f aca="false">COUNTIFS(Features_Buildings!$G:$G,"Y",Features_Buildings!J:J,"S")+COUNTIFS(Features_Buildings!$G:$G,"Y",Features_Buildings!J:J,"B")</f>
        <v>11</v>
      </c>
      <c r="E7" s="8" t="str">
        <f aca="false">Model_Spec!D7</f>
        <v>auto</v>
      </c>
      <c r="F7" s="8" t="n">
        <f aca="false">Model_Spec!F7</f>
        <v>0.999</v>
      </c>
      <c r="G7" s="8" t="str">
        <f aca="false">Model_Spec!Q7</f>
        <v>~7.8k claims; weather-driven.</v>
      </c>
    </row>
    <row r="8" customFormat="false" ht="15" hidden="false" customHeight="true" outlineLevel="0" collapsed="false">
      <c r="A8" s="6" t="s">
        <v>39</v>
      </c>
      <c r="B8" s="6" t="s">
        <v>41</v>
      </c>
      <c r="C8" s="7" t="n">
        <f aca="false">COUNTIFS(Features_Buildings!$G:$G,"Y",Features_Buildings!K:K,"F")+COUNTIFS(Features_Buildings!$G:$G,"Y",Features_Buildings!K:K,"B")</f>
        <v>12</v>
      </c>
      <c r="D8" s="7" t="n">
        <f aca="false">COUNTIFS(Features_Buildings!$G:$G,"Y",Features_Buildings!K:K,"S")+COUNTIFS(Features_Buildings!$G:$G,"Y",Features_Buildings!K:K,"B")</f>
        <v>10</v>
      </c>
      <c r="E8" s="8" t="str">
        <f aca="false">Model_Spec!D8</f>
        <v>auto</v>
      </c>
      <c r="F8" s="8" t="n">
        <f aca="false">Model_Spec!F8</f>
        <v>0.995</v>
      </c>
      <c r="G8" s="8" t="str">
        <f aca="false">Model_Spec!Q8</f>
        <v>~2.2k claims, strong hazard structure: GBM frequency, GLM severity.</v>
      </c>
    </row>
    <row r="9" customFormat="false" ht="15" hidden="false" customHeight="true" outlineLevel="0" collapsed="false">
      <c r="A9" s="6" t="s">
        <v>39</v>
      </c>
      <c r="B9" s="6" t="s">
        <v>42</v>
      </c>
      <c r="C9" s="7" t="n">
        <f aca="false">COUNTIFS(Features_Buildings!$G:$G,"Y",Features_Buildings!L:L,"F")+COUNTIFS(Features_Buildings!$G:$G,"Y",Features_Buildings!L:L,"B")</f>
        <v>28</v>
      </c>
      <c r="D9" s="7" t="n">
        <f aca="false">COUNTIFS(Features_Buildings!$G:$G,"Y",Features_Buildings!L:L,"S")+COUNTIFS(Features_Buildings!$G:$G,"Y",Features_Buildings!L:L,"B")</f>
        <v>10</v>
      </c>
      <c r="E9" s="8" t="str">
        <f aca="false">Model_Spec!D9</f>
        <v>auto</v>
      </c>
      <c r="F9" s="8" t="n">
        <f aca="false">Model_Spec!F9</f>
        <v>0.999</v>
      </c>
      <c r="G9" s="8" t="str">
        <f aca="false">Model_Spec!Q9</f>
        <v>~10k claims: data-rich.</v>
      </c>
    </row>
    <row r="10" customFormat="false" ht="23.25" hidden="false" customHeight="true" outlineLevel="0" collapsed="false">
      <c r="A10" s="6" t="s">
        <v>39</v>
      </c>
      <c r="B10" s="6" t="s">
        <v>43</v>
      </c>
      <c r="C10" s="7" t="n">
        <f aca="false">COUNTIFS(Features_Buildings!$G:$G,"Y",Features_Buildings!M:M,"F")+COUNTIFS(Features_Buildings!$G:$G,"Y",Features_Buildings!M:M,"B")</f>
        <v>14</v>
      </c>
      <c r="D10" s="7" t="n">
        <f aca="false">COUNTIFS(Features_Buildings!$G:$G,"Y",Features_Buildings!M:M,"S")+COUNTIFS(Features_Buildings!$G:$G,"Y",Features_Buildings!M:M,"B")</f>
        <v>11</v>
      </c>
      <c r="E10" s="8" t="str">
        <f aca="false">Model_Spec!D10</f>
        <v>auto</v>
      </c>
      <c r="F10" s="8" t="n">
        <f aca="false">Model_Spec!F10</f>
        <v>0.995</v>
      </c>
      <c r="G10" s="8" t="str">
        <f aca="false">Model_Spec!Q10</f>
        <v>~1.3k claims, long tail (median lag ~94 days): GLM severity, latest year excluded from severity.</v>
      </c>
    </row>
    <row r="11" customFormat="false" ht="15" hidden="false" customHeight="true" outlineLevel="0" collapsed="false">
      <c r="A11" s="6" t="s">
        <v>39</v>
      </c>
      <c r="B11" s="6" t="s">
        <v>44</v>
      </c>
      <c r="C11" s="7" t="n">
        <f aca="false">COUNTIFS(Features_Buildings!$G:$G,"Y",Features_Buildings!N:N,"F")+COUNTIFS(Features_Buildings!$G:$G,"Y",Features_Buildings!N:N,"B")</f>
        <v>19</v>
      </c>
      <c r="D11" s="7" t="n">
        <f aca="false">COUNTIFS(Features_Buildings!$G:$G,"Y",Features_Buildings!N:N,"S")+COUNTIFS(Features_Buildings!$G:$G,"Y",Features_Buildings!N:N,"B")</f>
        <v>9</v>
      </c>
      <c r="E11" s="8" t="str">
        <f aca="false">Model_Spec!D11</f>
        <v>auto</v>
      </c>
      <c r="F11" s="8" t="n">
        <f aca="false">Model_Spec!F11</f>
        <v>0.99</v>
      </c>
      <c r="G11" s="8" t="str">
        <f aca="false">Model_Spec!Q11</f>
        <v>~1.1k claims, very heavy severity: GLM severity, lower cap.</v>
      </c>
    </row>
    <row r="12" customFormat="false" ht="15" hidden="false" customHeight="true" outlineLevel="0" collapsed="false">
      <c r="A12" s="6" t="s">
        <v>39</v>
      </c>
      <c r="B12" s="6" t="s">
        <v>45</v>
      </c>
      <c r="C12" s="7" t="n">
        <f aca="false">COUNTIFS(Features_Buildings!$G:$G,"Y",Features_Buildings!O:O,"F")+COUNTIFS(Features_Buildings!$G:$G,"Y",Features_Buildings!O:O,"B")</f>
        <v>21</v>
      </c>
      <c r="D12" s="7" t="n">
        <f aca="false">COUNTIFS(Features_Buildings!$G:$G,"Y",Features_Buildings!O:O,"S")+COUNTIFS(Features_Buildings!$G:$G,"Y",Features_Buildings!O:O,"B")</f>
        <v>5</v>
      </c>
      <c r="E12" s="8" t="str">
        <f aca="false">Model_Spec!D12</f>
        <v>auto</v>
      </c>
      <c r="F12" s="8" t="n">
        <f aca="false">Model_Spec!F12</f>
        <v>0.999</v>
      </c>
      <c r="G12" s="8" t="str">
        <f aca="false">Model_Spec!Q12</f>
        <v>~3.8k claims; structural zero without AD cover.</v>
      </c>
    </row>
    <row r="13" customFormat="false" ht="15" hidden="false" customHeight="true" outlineLevel="0" collapsed="false">
      <c r="A13" s="6" t="s">
        <v>46</v>
      </c>
      <c r="B13" s="6" t="s">
        <v>37</v>
      </c>
      <c r="C13" s="7" t="n">
        <f aca="false">COUNTIFS(Features_Contents!$G:$G,"Y",Features_Contents!J:J,"F")+COUNTIFS(Features_Contents!$G:$G,"Y",Features_Contents!J:J,"B")</f>
        <v>25</v>
      </c>
      <c r="D13" s="7" t="n">
        <f aca="false">COUNTIFS(Features_Contents!$G:$G,"Y",Features_Contents!J:J,"S")+COUNTIFS(Features_Contents!$G:$G,"Y",Features_Contents!J:J,"B")</f>
        <v>9</v>
      </c>
      <c r="E13" s="8" t="str">
        <f aca="false">Model_Spec!D13</f>
        <v>auto</v>
      </c>
      <c r="F13" s="8" t="n">
        <f aca="false">Model_Spec!F13</f>
        <v>0.999</v>
      </c>
      <c r="G13" s="8" t="str">
        <f aca="false">Model_Spec!Q13</f>
        <v>~7.9k claims.</v>
      </c>
    </row>
    <row r="14" customFormat="false" ht="15" hidden="false" customHeight="true" outlineLevel="0" collapsed="false">
      <c r="A14" s="6" t="s">
        <v>46</v>
      </c>
      <c r="B14" s="6" t="s">
        <v>42</v>
      </c>
      <c r="C14" s="7" t="n">
        <f aca="false">COUNTIFS(Features_Contents!$G:$G,"Y",Features_Contents!K:K,"F")+COUNTIFS(Features_Contents!$G:$G,"Y",Features_Contents!K:K,"B")</f>
        <v>19</v>
      </c>
      <c r="D14" s="7" t="n">
        <f aca="false">COUNTIFS(Features_Contents!$G:$G,"Y",Features_Contents!K:K,"S")+COUNTIFS(Features_Contents!$G:$G,"Y",Features_Contents!K:K,"B")</f>
        <v>8</v>
      </c>
      <c r="E14" s="8" t="str">
        <f aca="false">Model_Spec!D14</f>
        <v>auto</v>
      </c>
      <c r="F14" s="8" t="n">
        <f aca="false">Model_Spec!F14</f>
        <v>0.999</v>
      </c>
      <c r="G14" s="8" t="str">
        <f aca="false">Model_Spec!Q14</f>
        <v>~5.4k claims.</v>
      </c>
    </row>
    <row r="15" customFormat="false" ht="15" hidden="false" customHeight="true" outlineLevel="0" collapsed="false">
      <c r="A15" s="6" t="s">
        <v>46</v>
      </c>
      <c r="B15" s="6" t="s">
        <v>45</v>
      </c>
      <c r="C15" s="7" t="n">
        <f aca="false">COUNTIFS(Features_Contents!$G:$G,"Y",Features_Contents!L:L,"F")+COUNTIFS(Features_Contents!$G:$G,"Y",Features_Contents!L:L,"B")</f>
        <v>21</v>
      </c>
      <c r="D15" s="7" t="n">
        <f aca="false">COUNTIFS(Features_Contents!$G:$G,"Y",Features_Contents!L:L,"S")+COUNTIFS(Features_Contents!$G:$G,"Y",Features_Contents!L:L,"B")</f>
        <v>7</v>
      </c>
      <c r="E15" s="8" t="str">
        <f aca="false">Model_Spec!D15</f>
        <v>auto</v>
      </c>
      <c r="F15" s="8" t="n">
        <f aca="false">Model_Spec!F15</f>
        <v>0.999</v>
      </c>
      <c r="G15" s="8" t="str">
        <f aca="false">Model_Spec!Q15</f>
        <v>~9.2k claims; structural zero without AD cover.</v>
      </c>
    </row>
    <row r="16" customFormat="false" ht="15" hidden="false" customHeight="true" outlineLevel="0" collapsed="false">
      <c r="A16" s="6" t="s">
        <v>46</v>
      </c>
      <c r="B16" s="6" t="s">
        <v>41</v>
      </c>
      <c r="C16" s="7" t="n">
        <f aca="false">COUNTIFS(Features_Contents!$G:$G,"Y",Features_Contents!M:M,"F")+COUNTIFS(Features_Contents!$G:$G,"Y",Features_Contents!M:M,"B")</f>
        <v>13</v>
      </c>
      <c r="D16" s="7" t="n">
        <f aca="false">COUNTIFS(Features_Contents!$G:$G,"Y",Features_Contents!M:M,"S")+COUNTIFS(Features_Contents!$G:$G,"Y",Features_Contents!M:M,"B")</f>
        <v>10</v>
      </c>
      <c r="E16" s="8" t="str">
        <f aca="false">Model_Spec!D16</f>
        <v>auto</v>
      </c>
      <c r="F16" s="8" t="n">
        <f aca="false">Model_Spec!F16</f>
        <v>0.995</v>
      </c>
      <c r="G16" s="8" t="str">
        <f aca="false">Model_Spec!Q16</f>
        <v>~1.6k claims: GLM severity.</v>
      </c>
    </row>
    <row r="18" customFormat="false" ht="15" hidden="false" customHeight="true" outlineLevel="0" collapsed="false">
      <c r="A18" s="9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8"/>
    <col collapsed="false" customWidth="true" hidden="false" outlineLevel="0" max="3" min="3" style="1" width="30"/>
    <col collapsed="false" customWidth="true" hidden="false" outlineLevel="0" max="4" min="4" style="1" width="34"/>
    <col collapsed="false" customWidth="true" hidden="false" outlineLevel="0" max="5" min="5" style="1" width="42"/>
    <col collapsed="false" customWidth="true" hidden="false" outlineLevel="0" max="6" min="6" style="1" width="46"/>
    <col collapsed="false" customWidth="true" hidden="false" outlineLevel="0" max="7" min="7" style="1" width="34"/>
    <col collapsed="false" customWidth="true" hidden="false" outlineLevel="0" max="8" min="8" style="1" width="14"/>
  </cols>
  <sheetData>
    <row r="1" customFormat="false" ht="30" hidden="false" customHeight="true" outlineLevel="0" collapsed="false">
      <c r="A1" s="5" t="s">
        <v>48</v>
      </c>
      <c r="B1" s="5" t="s">
        <v>49</v>
      </c>
      <c r="C1" s="5" t="s">
        <v>50</v>
      </c>
      <c r="D1" s="5" t="s">
        <v>51</v>
      </c>
      <c r="E1" s="5" t="s">
        <v>52</v>
      </c>
      <c r="F1" s="5" t="s">
        <v>53</v>
      </c>
      <c r="G1" s="5" t="s">
        <v>54</v>
      </c>
      <c r="H1" s="5" t="s">
        <v>55</v>
      </c>
    </row>
    <row r="2" customFormat="false" ht="68.25" hidden="false" customHeight="true" outlineLevel="0" collapsed="false">
      <c r="A2" s="6" t="n">
        <v>1</v>
      </c>
      <c r="B2" s="6" t="s">
        <v>56</v>
      </c>
      <c r="C2" s="6" t="s">
        <v>57</v>
      </c>
      <c r="D2" s="6" t="s">
        <v>58</v>
      </c>
      <c r="E2" s="6" t="s">
        <v>59</v>
      </c>
      <c r="F2" s="6" t="s">
        <v>60</v>
      </c>
      <c r="G2" s="6" t="s">
        <v>61</v>
      </c>
      <c r="H2" s="6" t="s">
        <v>62</v>
      </c>
    </row>
    <row r="3" customFormat="false" ht="34.5" hidden="false" customHeight="true" outlineLevel="0" collapsed="false">
      <c r="A3" s="6" t="n">
        <v>2</v>
      </c>
      <c r="B3" s="6" t="s">
        <v>63</v>
      </c>
      <c r="C3" s="6" t="s">
        <v>64</v>
      </c>
      <c r="D3" s="6" t="s">
        <v>65</v>
      </c>
      <c r="E3" s="6" t="s">
        <v>66</v>
      </c>
      <c r="F3" s="6" t="s">
        <v>67</v>
      </c>
      <c r="G3" s="6" t="s">
        <v>68</v>
      </c>
      <c r="H3" s="6" t="s">
        <v>62</v>
      </c>
    </row>
    <row r="4" customFormat="false" ht="57" hidden="false" customHeight="true" outlineLevel="0" collapsed="false">
      <c r="A4" s="6" t="n">
        <v>3</v>
      </c>
      <c r="B4" s="6" t="s">
        <v>69</v>
      </c>
      <c r="C4" s="6" t="s">
        <v>70</v>
      </c>
      <c r="D4" s="6" t="s">
        <v>71</v>
      </c>
      <c r="E4" s="6" t="s">
        <v>72</v>
      </c>
      <c r="F4" s="6" t="s">
        <v>73</v>
      </c>
      <c r="G4" s="6" t="s">
        <v>74</v>
      </c>
      <c r="H4" s="6" t="s">
        <v>75</v>
      </c>
    </row>
    <row r="5" customFormat="false" ht="45.75" hidden="false" customHeight="true" outlineLevel="0" collapsed="false">
      <c r="A5" s="6" t="n">
        <v>4</v>
      </c>
      <c r="B5" s="6" t="s">
        <v>76</v>
      </c>
      <c r="C5" s="6" t="s">
        <v>77</v>
      </c>
      <c r="D5" s="6" t="s">
        <v>78</v>
      </c>
      <c r="E5" s="6" t="s">
        <v>79</v>
      </c>
      <c r="F5" s="6" t="s">
        <v>80</v>
      </c>
      <c r="G5" s="6" t="s">
        <v>81</v>
      </c>
      <c r="H5" s="6" t="s">
        <v>62</v>
      </c>
    </row>
    <row r="6" customFormat="false" ht="15" hidden="false" customHeight="true" outlineLevel="0" collapsed="false">
      <c r="A6" s="6" t="n">
        <v>5</v>
      </c>
      <c r="B6" s="6" t="s">
        <v>82</v>
      </c>
      <c r="C6" s="6" t="s">
        <v>83</v>
      </c>
      <c r="D6" s="6" t="s">
        <v>84</v>
      </c>
      <c r="E6" s="6" t="s">
        <v>85</v>
      </c>
      <c r="F6" s="6" t="s">
        <v>86</v>
      </c>
      <c r="G6" s="6" t="s">
        <v>87</v>
      </c>
      <c r="H6" s="6" t="s">
        <v>62</v>
      </c>
    </row>
    <row r="7" customFormat="false" ht="23.25" hidden="false" customHeight="true" outlineLevel="0" collapsed="false">
      <c r="A7" s="6" t="n">
        <v>6</v>
      </c>
      <c r="B7" s="6" t="s">
        <v>88</v>
      </c>
      <c r="C7" s="6" t="s">
        <v>89</v>
      </c>
      <c r="D7" s="6" t="s">
        <v>90</v>
      </c>
      <c r="E7" s="6" t="s">
        <v>91</v>
      </c>
      <c r="F7" s="6" t="s">
        <v>92</v>
      </c>
      <c r="G7" s="6" t="s">
        <v>93</v>
      </c>
      <c r="H7" s="6" t="s">
        <v>62</v>
      </c>
    </row>
    <row r="8" customFormat="false" ht="34.5" hidden="false" customHeight="true" outlineLevel="0" collapsed="false">
      <c r="A8" s="6" t="n">
        <v>7</v>
      </c>
      <c r="B8" s="6" t="s">
        <v>94</v>
      </c>
      <c r="C8" s="6" t="s">
        <v>95</v>
      </c>
      <c r="D8" s="6" t="s">
        <v>96</v>
      </c>
      <c r="E8" s="6" t="s">
        <v>97</v>
      </c>
      <c r="F8" s="6" t="s">
        <v>98</v>
      </c>
      <c r="G8" s="6" t="s">
        <v>99</v>
      </c>
      <c r="H8" s="6" t="s">
        <v>62</v>
      </c>
    </row>
    <row r="9" customFormat="false" ht="23.25" hidden="false" customHeight="true" outlineLevel="0" collapsed="false">
      <c r="A9" s="6" t="n">
        <v>8</v>
      </c>
      <c r="B9" s="6" t="s">
        <v>100</v>
      </c>
      <c r="C9" s="6" t="s">
        <v>101</v>
      </c>
      <c r="D9" s="6" t="s">
        <v>102</v>
      </c>
      <c r="E9" s="6" t="s">
        <v>103</v>
      </c>
      <c r="F9" s="6" t="s">
        <v>104</v>
      </c>
      <c r="G9" s="6" t="s">
        <v>105</v>
      </c>
      <c r="H9" s="6" t="s">
        <v>75</v>
      </c>
    </row>
    <row r="10" customFormat="false" ht="23.25" hidden="false" customHeight="true" outlineLevel="0" collapsed="false">
      <c r="A10" s="6" t="n">
        <v>9</v>
      </c>
      <c r="B10" s="6" t="s">
        <v>106</v>
      </c>
      <c r="C10" s="6" t="s">
        <v>107</v>
      </c>
      <c r="D10" s="6" t="s">
        <v>108</v>
      </c>
      <c r="E10" s="6" t="s">
        <v>109</v>
      </c>
      <c r="F10" s="6" t="s">
        <v>110</v>
      </c>
      <c r="G10" s="6" t="s">
        <v>111</v>
      </c>
      <c r="H10" s="6" t="s">
        <v>62</v>
      </c>
    </row>
    <row r="11" customFormat="false" ht="45.75" hidden="false" customHeight="true" outlineLevel="0" collapsed="false">
      <c r="A11" s="6" t="n">
        <v>10</v>
      </c>
      <c r="B11" s="6" t="s">
        <v>112</v>
      </c>
      <c r="C11" s="6" t="s">
        <v>113</v>
      </c>
      <c r="D11" s="6" t="s">
        <v>114</v>
      </c>
      <c r="E11" s="6" t="s">
        <v>115</v>
      </c>
      <c r="F11" s="6" t="s">
        <v>116</v>
      </c>
      <c r="G11" s="6" t="s">
        <v>117</v>
      </c>
      <c r="H11" s="6" t="s">
        <v>62</v>
      </c>
    </row>
    <row r="12" customFormat="false" ht="45.75" hidden="false" customHeight="true" outlineLevel="0" collapsed="false">
      <c r="A12" s="6" t="n">
        <v>11</v>
      </c>
      <c r="B12" s="6" t="s">
        <v>118</v>
      </c>
      <c r="C12" s="6" t="s">
        <v>119</v>
      </c>
      <c r="D12" s="6" t="s">
        <v>120</v>
      </c>
      <c r="E12" s="6" t="s">
        <v>121</v>
      </c>
      <c r="F12" s="6" t="s">
        <v>122</v>
      </c>
      <c r="G12" s="6" t="s">
        <v>123</v>
      </c>
      <c r="H12" s="6" t="s">
        <v>75</v>
      </c>
    </row>
    <row r="13" customFormat="false" ht="15" hidden="false" customHeight="true" outlineLevel="0" collapsed="false">
      <c r="A13" s="6" t="n">
        <v>12</v>
      </c>
      <c r="B13" s="6" t="s">
        <v>124</v>
      </c>
      <c r="C13" s="6" t="s">
        <v>125</v>
      </c>
      <c r="D13" s="6" t="s">
        <v>126</v>
      </c>
      <c r="E13" s="6" t="s">
        <v>127</v>
      </c>
      <c r="F13" s="6" t="s">
        <v>128</v>
      </c>
      <c r="G13" s="6" t="s">
        <v>87</v>
      </c>
      <c r="H13" s="6" t="s">
        <v>62</v>
      </c>
    </row>
    <row r="14" customFormat="false" ht="15" hidden="false" customHeight="true" outlineLevel="0" collapsed="false">
      <c r="A14" s="6" t="n">
        <v>13</v>
      </c>
      <c r="B14" s="6" t="s">
        <v>129</v>
      </c>
      <c r="C14" s="6" t="s">
        <v>130</v>
      </c>
      <c r="D14" s="6" t="s">
        <v>131</v>
      </c>
      <c r="E14" s="6" t="s">
        <v>87</v>
      </c>
      <c r="F14" s="6" t="s">
        <v>132</v>
      </c>
      <c r="G14" s="6" t="s">
        <v>87</v>
      </c>
      <c r="H14" s="6" t="s">
        <v>62</v>
      </c>
    </row>
    <row r="15" customFormat="false" ht="23.25" hidden="false" customHeight="true" outlineLevel="0" collapsed="false">
      <c r="A15" s="6" t="n">
        <v>14</v>
      </c>
      <c r="B15" s="6" t="s">
        <v>133</v>
      </c>
      <c r="C15" s="6" t="s">
        <v>134</v>
      </c>
      <c r="D15" s="6" t="s">
        <v>135</v>
      </c>
      <c r="E15" s="6" t="s">
        <v>136</v>
      </c>
      <c r="F15" s="6" t="s">
        <v>137</v>
      </c>
      <c r="G15" s="6" t="s">
        <v>87</v>
      </c>
      <c r="H15" s="6" t="s">
        <v>62</v>
      </c>
    </row>
    <row r="16" customFormat="false" ht="23.25" hidden="false" customHeight="true" outlineLevel="0" collapsed="false">
      <c r="A16" s="6" t="n">
        <v>15</v>
      </c>
      <c r="B16" s="6" t="s">
        <v>138</v>
      </c>
      <c r="C16" s="6" t="s">
        <v>139</v>
      </c>
      <c r="D16" s="6" t="s">
        <v>140</v>
      </c>
      <c r="E16" s="6" t="s">
        <v>87</v>
      </c>
      <c r="F16" s="6" t="s">
        <v>141</v>
      </c>
      <c r="G16" s="6" t="s">
        <v>142</v>
      </c>
      <c r="H16" s="6" t="s">
        <v>75</v>
      </c>
    </row>
    <row r="17" customFormat="false" ht="23.25" hidden="false" customHeight="true" outlineLevel="0" collapsed="false">
      <c r="A17" s="6" t="n">
        <v>16</v>
      </c>
      <c r="B17" s="6" t="s">
        <v>143</v>
      </c>
      <c r="C17" s="6" t="s">
        <v>144</v>
      </c>
      <c r="D17" s="6" t="s">
        <v>145</v>
      </c>
      <c r="E17" s="6" t="s">
        <v>87</v>
      </c>
      <c r="F17" s="6" t="s">
        <v>146</v>
      </c>
      <c r="G17" s="6" t="s">
        <v>87</v>
      </c>
      <c r="H17" s="6" t="s">
        <v>75</v>
      </c>
    </row>
    <row r="18" customFormat="false" ht="34.5" hidden="false" customHeight="true" outlineLevel="0" collapsed="false">
      <c r="A18" s="6" t="n">
        <v>17</v>
      </c>
      <c r="B18" s="6" t="s">
        <v>147</v>
      </c>
      <c r="C18" s="6" t="s">
        <v>148</v>
      </c>
      <c r="D18" s="6" t="s">
        <v>149</v>
      </c>
      <c r="E18" s="6" t="s">
        <v>150</v>
      </c>
      <c r="F18" s="6" t="s">
        <v>151</v>
      </c>
      <c r="G18" s="6" t="s">
        <v>152</v>
      </c>
      <c r="H18" s="6" t="s">
        <v>153</v>
      </c>
    </row>
    <row r="19" customFormat="false" ht="34.5" hidden="false" customHeight="true" outlineLevel="0" collapsed="false">
      <c r="A19" s="6" t="n">
        <v>18</v>
      </c>
      <c r="B19" s="6" t="s">
        <v>154</v>
      </c>
      <c r="C19" s="6" t="s">
        <v>155</v>
      </c>
      <c r="D19" s="6" t="s">
        <v>156</v>
      </c>
      <c r="E19" s="6" t="s">
        <v>157</v>
      </c>
      <c r="F19" s="6" t="s">
        <v>158</v>
      </c>
      <c r="G19" s="6" t="s">
        <v>159</v>
      </c>
      <c r="H19" s="6" t="s">
        <v>62</v>
      </c>
    </row>
    <row r="20" customFormat="false" ht="34.5" hidden="false" customHeight="true" outlineLevel="0" collapsed="false">
      <c r="A20" s="6" t="n">
        <v>19</v>
      </c>
      <c r="B20" s="6" t="s">
        <v>160</v>
      </c>
      <c r="C20" s="6" t="s">
        <v>161</v>
      </c>
      <c r="D20" s="6" t="s">
        <v>162</v>
      </c>
      <c r="E20" s="6" t="s">
        <v>163</v>
      </c>
      <c r="F20" s="6" t="s">
        <v>164</v>
      </c>
      <c r="G20" s="6" t="s">
        <v>165</v>
      </c>
      <c r="H20" s="6" t="s">
        <v>62</v>
      </c>
    </row>
    <row r="21" customFormat="false" ht="23.25" hidden="false" customHeight="true" outlineLevel="0" collapsed="false">
      <c r="A21" s="6" t="n">
        <v>20</v>
      </c>
      <c r="B21" s="6" t="s">
        <v>166</v>
      </c>
      <c r="C21" s="6" t="s">
        <v>167</v>
      </c>
      <c r="D21" s="6" t="s">
        <v>168</v>
      </c>
      <c r="E21" s="6" t="s">
        <v>169</v>
      </c>
      <c r="F21" s="6" t="s">
        <v>170</v>
      </c>
      <c r="G21" s="6" t="s">
        <v>87</v>
      </c>
      <c r="H21" s="6" t="s">
        <v>62</v>
      </c>
    </row>
    <row r="22" customFormat="false" ht="23.25" hidden="false" customHeight="true" outlineLevel="0" collapsed="false">
      <c r="A22" s="6" t="n">
        <v>21</v>
      </c>
      <c r="B22" s="6" t="s">
        <v>171</v>
      </c>
      <c r="C22" s="6" t="s">
        <v>172</v>
      </c>
      <c r="D22" s="6" t="s">
        <v>173</v>
      </c>
      <c r="E22" s="6" t="s">
        <v>174</v>
      </c>
      <c r="F22" s="6" t="s">
        <v>175</v>
      </c>
      <c r="G22" s="6" t="s">
        <v>176</v>
      </c>
      <c r="H22" s="6" t="s">
        <v>62</v>
      </c>
    </row>
    <row r="23" customFormat="false" ht="34.5" hidden="false" customHeight="true" outlineLevel="0" collapsed="false">
      <c r="A23" s="6" t="n">
        <v>22</v>
      </c>
      <c r="B23" s="6" t="s">
        <v>177</v>
      </c>
      <c r="C23" s="6" t="s">
        <v>178</v>
      </c>
      <c r="D23" s="6" t="s">
        <v>179</v>
      </c>
      <c r="E23" s="6" t="s">
        <v>180</v>
      </c>
      <c r="F23" s="6" t="s">
        <v>181</v>
      </c>
      <c r="G23" s="6" t="s">
        <v>182</v>
      </c>
      <c r="H23" s="6" t="s">
        <v>183</v>
      </c>
    </row>
    <row r="24" customFormat="false" ht="23.25" hidden="false" customHeight="true" outlineLevel="0" collapsed="false">
      <c r="A24" s="6" t="n">
        <v>23</v>
      </c>
      <c r="B24" s="6" t="s">
        <v>184</v>
      </c>
      <c r="C24" s="6" t="s">
        <v>185</v>
      </c>
      <c r="D24" s="6" t="s">
        <v>186</v>
      </c>
      <c r="E24" s="6" t="s">
        <v>187</v>
      </c>
      <c r="F24" s="6" t="s">
        <v>87</v>
      </c>
      <c r="G24" s="6" t="s">
        <v>188</v>
      </c>
      <c r="H24" s="6" t="s">
        <v>189</v>
      </c>
    </row>
    <row r="25" customFormat="false" ht="34.5" hidden="false" customHeight="true" outlineLevel="0" collapsed="false">
      <c r="A25" s="6" t="n">
        <v>24</v>
      </c>
      <c r="B25" s="6" t="s">
        <v>15</v>
      </c>
      <c r="C25" s="6" t="s">
        <v>190</v>
      </c>
      <c r="D25" s="6" t="s">
        <v>191</v>
      </c>
      <c r="E25" s="6" t="s">
        <v>192</v>
      </c>
      <c r="F25" s="6" t="s">
        <v>193</v>
      </c>
      <c r="G25" s="6" t="s">
        <v>87</v>
      </c>
      <c r="H25" s="6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8"/>
    <col collapsed="false" customWidth="true" hidden="false" outlineLevel="0" max="4" min="4" style="1" width="38"/>
    <col collapsed="false" customWidth="true" hidden="false" outlineLevel="0" max="5" min="5" style="1" width="30"/>
    <col collapsed="false" customWidth="true" hidden="false" outlineLevel="0" max="6" min="6" style="1" width="10"/>
    <col collapsed="false" customWidth="true" hidden="false" outlineLevel="0" max="7" min="7" style="1" width="6"/>
    <col collapsed="false" customWidth="true" hidden="false" outlineLevel="0" max="9" min="8" style="1" width="9"/>
    <col collapsed="false" customWidth="true" hidden="false" outlineLevel="0" max="14" min="10" style="1" width="11"/>
    <col collapsed="false" customWidth="true" hidden="false" outlineLevel="0" max="15" min="15" style="1" width="48"/>
    <col collapsed="false" customWidth="true" hidden="false" outlineLevel="0" max="16" min="16" style="1" width="40"/>
  </cols>
  <sheetData>
    <row r="1" customFormat="false" ht="30" hidden="false" customHeight="true" outlineLevel="0" collapsed="false">
      <c r="A1" s="5" t="s">
        <v>194</v>
      </c>
      <c r="B1" s="5" t="s">
        <v>195</v>
      </c>
      <c r="C1" s="5" t="s">
        <v>196</v>
      </c>
      <c r="D1" s="5" t="s">
        <v>197</v>
      </c>
      <c r="E1" s="5" t="s">
        <v>198</v>
      </c>
      <c r="F1" s="5" t="s">
        <v>51</v>
      </c>
      <c r="G1" s="5" t="s">
        <v>199</v>
      </c>
      <c r="H1" s="5" t="s">
        <v>200</v>
      </c>
      <c r="I1" s="5" t="s">
        <v>201</v>
      </c>
      <c r="J1" s="5" t="s">
        <v>34</v>
      </c>
      <c r="K1" s="5" t="s">
        <v>35</v>
      </c>
      <c r="L1" s="5" t="s">
        <v>36</v>
      </c>
      <c r="M1" s="5" t="s">
        <v>37</v>
      </c>
      <c r="N1" s="5" t="s">
        <v>38</v>
      </c>
      <c r="O1" s="5" t="s">
        <v>202</v>
      </c>
      <c r="P1" s="5" t="s">
        <v>203</v>
      </c>
    </row>
    <row r="2" customFormat="false" ht="23.25" hidden="false" customHeight="true" outlineLevel="0" collapsed="false">
      <c r="A2" s="6" t="s">
        <v>204</v>
      </c>
      <c r="B2" s="6" t="s">
        <v>205</v>
      </c>
      <c r="C2" s="6" t="s">
        <v>206</v>
      </c>
      <c r="D2" s="6" t="s">
        <v>207</v>
      </c>
      <c r="E2" s="6" t="s">
        <v>208</v>
      </c>
      <c r="F2" s="6" t="s">
        <v>209</v>
      </c>
      <c r="G2" s="10" t="s">
        <v>210</v>
      </c>
      <c r="H2" s="10" t="n">
        <v>0</v>
      </c>
      <c r="I2" s="10" t="n">
        <v>0</v>
      </c>
      <c r="J2" s="11" t="s">
        <v>211</v>
      </c>
      <c r="K2" s="11" t="s">
        <v>211</v>
      </c>
      <c r="L2" s="11" t="s">
        <v>211</v>
      </c>
      <c r="M2" s="11" t="s">
        <v>212</v>
      </c>
      <c r="N2" s="11" t="s">
        <v>87</v>
      </c>
      <c r="O2" s="6" t="s">
        <v>213</v>
      </c>
      <c r="P2" s="6"/>
    </row>
    <row r="3" customFormat="false" ht="15" hidden="false" customHeight="true" outlineLevel="0" collapsed="false">
      <c r="A3" s="6" t="s">
        <v>214</v>
      </c>
      <c r="B3" s="6" t="s">
        <v>205</v>
      </c>
      <c r="C3" s="6" t="s">
        <v>206</v>
      </c>
      <c r="D3" s="6" t="s">
        <v>215</v>
      </c>
      <c r="E3" s="6" t="s">
        <v>216</v>
      </c>
      <c r="F3" s="6" t="s">
        <v>209</v>
      </c>
      <c r="G3" s="10" t="s">
        <v>210</v>
      </c>
      <c r="H3" s="10" t="n">
        <v>0</v>
      </c>
      <c r="I3" s="10" t="n">
        <v>0</v>
      </c>
      <c r="J3" s="11" t="s">
        <v>212</v>
      </c>
      <c r="K3" s="11" t="s">
        <v>212</v>
      </c>
      <c r="L3" s="11" t="s">
        <v>212</v>
      </c>
      <c r="M3" s="11" t="s">
        <v>87</v>
      </c>
      <c r="N3" s="11" t="s">
        <v>87</v>
      </c>
      <c r="O3" s="6" t="s">
        <v>217</v>
      </c>
      <c r="P3" s="6"/>
    </row>
    <row r="4" customFormat="false" ht="23.25" hidden="false" customHeight="true" outlineLevel="0" collapsed="false">
      <c r="A4" s="6" t="s">
        <v>218</v>
      </c>
      <c r="B4" s="6" t="s">
        <v>205</v>
      </c>
      <c r="C4" s="6" t="s">
        <v>206</v>
      </c>
      <c r="D4" s="6" t="s">
        <v>219</v>
      </c>
      <c r="E4" s="6" t="s">
        <v>220</v>
      </c>
      <c r="F4" s="6" t="s">
        <v>209</v>
      </c>
      <c r="G4" s="10" t="s">
        <v>210</v>
      </c>
      <c r="H4" s="10" t="n">
        <v>-1</v>
      </c>
      <c r="I4" s="10" t="n">
        <v>0</v>
      </c>
      <c r="J4" s="11" t="s">
        <v>212</v>
      </c>
      <c r="K4" s="11" t="s">
        <v>212</v>
      </c>
      <c r="L4" s="11" t="s">
        <v>212</v>
      </c>
      <c r="M4" s="11" t="s">
        <v>87</v>
      </c>
      <c r="N4" s="11" t="s">
        <v>87</v>
      </c>
      <c r="O4" s="6" t="s">
        <v>221</v>
      </c>
      <c r="P4" s="6"/>
    </row>
    <row r="5" customFormat="false" ht="23.25" hidden="false" customHeight="true" outlineLevel="0" collapsed="false">
      <c r="A5" s="6" t="s">
        <v>222</v>
      </c>
      <c r="B5" s="6" t="s">
        <v>205</v>
      </c>
      <c r="C5" s="6" t="s">
        <v>206</v>
      </c>
      <c r="D5" s="6" t="s">
        <v>223</v>
      </c>
      <c r="E5" s="6" t="s">
        <v>224</v>
      </c>
      <c r="F5" s="6" t="s">
        <v>209</v>
      </c>
      <c r="G5" s="10" t="s">
        <v>210</v>
      </c>
      <c r="H5" s="10" t="n">
        <v>0</v>
      </c>
      <c r="I5" s="10" t="n">
        <v>1</v>
      </c>
      <c r="J5" s="11" t="s">
        <v>211</v>
      </c>
      <c r="K5" s="11" t="s">
        <v>87</v>
      </c>
      <c r="L5" s="11" t="s">
        <v>87</v>
      </c>
      <c r="M5" s="11" t="s">
        <v>211</v>
      </c>
      <c r="N5" s="11" t="s">
        <v>211</v>
      </c>
      <c r="O5" s="6" t="s">
        <v>225</v>
      </c>
      <c r="P5" s="6"/>
    </row>
    <row r="6" customFormat="false" ht="15" hidden="false" customHeight="true" outlineLevel="0" collapsed="false">
      <c r="A6" s="6" t="s">
        <v>226</v>
      </c>
      <c r="B6" s="6" t="s">
        <v>205</v>
      </c>
      <c r="C6" s="6" t="s">
        <v>206</v>
      </c>
      <c r="D6" s="6" t="s">
        <v>227</v>
      </c>
      <c r="E6" s="6" t="s">
        <v>228</v>
      </c>
      <c r="F6" s="6" t="s">
        <v>209</v>
      </c>
      <c r="G6" s="10" t="s">
        <v>210</v>
      </c>
      <c r="H6" s="10" t="n">
        <v>0</v>
      </c>
      <c r="I6" s="10" t="n">
        <v>0</v>
      </c>
      <c r="J6" s="11" t="s">
        <v>211</v>
      </c>
      <c r="K6" s="11" t="s">
        <v>212</v>
      </c>
      <c r="L6" s="11" t="s">
        <v>87</v>
      </c>
      <c r="M6" s="11" t="s">
        <v>211</v>
      </c>
      <c r="N6" s="11" t="s">
        <v>229</v>
      </c>
      <c r="O6" s="6" t="s">
        <v>230</v>
      </c>
      <c r="P6" s="6"/>
    </row>
    <row r="7" customFormat="false" ht="23.25" hidden="false" customHeight="true" outlineLevel="0" collapsed="false">
      <c r="A7" s="6" t="s">
        <v>231</v>
      </c>
      <c r="B7" s="6" t="s">
        <v>205</v>
      </c>
      <c r="C7" s="6" t="s">
        <v>232</v>
      </c>
      <c r="D7" s="6" t="s">
        <v>233</v>
      </c>
      <c r="E7" s="6" t="s">
        <v>234</v>
      </c>
      <c r="F7" s="6" t="s">
        <v>235</v>
      </c>
      <c r="G7" s="10" t="s">
        <v>210</v>
      </c>
      <c r="H7" s="10" t="n">
        <v>0</v>
      </c>
      <c r="I7" s="10" t="n">
        <v>0</v>
      </c>
      <c r="J7" s="11" t="s">
        <v>211</v>
      </c>
      <c r="K7" s="11" t="s">
        <v>212</v>
      </c>
      <c r="L7" s="11" t="s">
        <v>87</v>
      </c>
      <c r="M7" s="11" t="s">
        <v>211</v>
      </c>
      <c r="N7" s="11" t="s">
        <v>211</v>
      </c>
      <c r="O7" s="6" t="s">
        <v>236</v>
      </c>
      <c r="P7" s="6" t="s">
        <v>237</v>
      </c>
    </row>
    <row r="8" customFormat="false" ht="15" hidden="false" customHeight="true" outlineLevel="0" collapsed="false">
      <c r="A8" s="6" t="s">
        <v>238</v>
      </c>
      <c r="B8" s="6" t="s">
        <v>205</v>
      </c>
      <c r="C8" s="6" t="s">
        <v>206</v>
      </c>
      <c r="D8" s="6" t="s">
        <v>239</v>
      </c>
      <c r="E8" s="6" t="s">
        <v>240</v>
      </c>
      <c r="F8" s="6" t="s">
        <v>209</v>
      </c>
      <c r="G8" s="10" t="s">
        <v>210</v>
      </c>
      <c r="H8" s="10" t="n">
        <v>0</v>
      </c>
      <c r="I8" s="10" t="n">
        <v>0</v>
      </c>
      <c r="J8" s="11" t="s">
        <v>212</v>
      </c>
      <c r="K8" s="11" t="s">
        <v>211</v>
      </c>
      <c r="L8" s="11" t="s">
        <v>212</v>
      </c>
      <c r="M8" s="11" t="s">
        <v>212</v>
      </c>
      <c r="N8" s="11" t="s">
        <v>87</v>
      </c>
      <c r="O8" s="6" t="s">
        <v>241</v>
      </c>
      <c r="P8" s="6"/>
    </row>
    <row r="9" customFormat="false" ht="15" hidden="false" customHeight="true" outlineLevel="0" collapsed="false">
      <c r="A9" s="6" t="s">
        <v>242</v>
      </c>
      <c r="B9" s="6" t="s">
        <v>205</v>
      </c>
      <c r="C9" s="6" t="s">
        <v>232</v>
      </c>
      <c r="D9" s="6" t="s">
        <v>243</v>
      </c>
      <c r="E9" s="6" t="s">
        <v>244</v>
      </c>
      <c r="F9" s="6" t="s">
        <v>209</v>
      </c>
      <c r="G9" s="10" t="s">
        <v>210</v>
      </c>
      <c r="H9" s="10" t="n">
        <v>0</v>
      </c>
      <c r="I9" s="10" t="n">
        <v>0</v>
      </c>
      <c r="J9" s="11" t="s">
        <v>211</v>
      </c>
      <c r="K9" s="11" t="s">
        <v>211</v>
      </c>
      <c r="L9" s="11" t="s">
        <v>87</v>
      </c>
      <c r="M9" s="11" t="s">
        <v>212</v>
      </c>
      <c r="N9" s="11" t="s">
        <v>229</v>
      </c>
      <c r="O9" s="6" t="s">
        <v>245</v>
      </c>
      <c r="P9" s="6"/>
    </row>
    <row r="10" customFormat="false" ht="15" hidden="false" customHeight="true" outlineLevel="0" collapsed="false">
      <c r="A10" s="6" t="s">
        <v>246</v>
      </c>
      <c r="B10" s="6" t="s">
        <v>205</v>
      </c>
      <c r="C10" s="6" t="s">
        <v>232</v>
      </c>
      <c r="D10" s="6" t="s">
        <v>247</v>
      </c>
      <c r="E10" s="6" t="s">
        <v>248</v>
      </c>
      <c r="F10" s="6" t="s">
        <v>235</v>
      </c>
      <c r="G10" s="10" t="s">
        <v>210</v>
      </c>
      <c r="H10" s="10" t="n">
        <v>0</v>
      </c>
      <c r="I10" s="10" t="n">
        <v>0</v>
      </c>
      <c r="J10" s="11" t="s">
        <v>212</v>
      </c>
      <c r="K10" s="11" t="s">
        <v>87</v>
      </c>
      <c r="L10" s="11" t="s">
        <v>87</v>
      </c>
      <c r="M10" s="11" t="s">
        <v>87</v>
      </c>
      <c r="N10" s="11" t="s">
        <v>87</v>
      </c>
      <c r="O10" s="6" t="s">
        <v>249</v>
      </c>
      <c r="P10" s="6"/>
    </row>
    <row r="11" customFormat="false" ht="15" hidden="false" customHeight="true" outlineLevel="0" collapsed="false">
      <c r="A11" s="6" t="s">
        <v>250</v>
      </c>
      <c r="B11" s="6" t="s">
        <v>205</v>
      </c>
      <c r="C11" s="6" t="s">
        <v>206</v>
      </c>
      <c r="D11" s="6" t="s">
        <v>251</v>
      </c>
      <c r="E11" s="6" t="s">
        <v>252</v>
      </c>
      <c r="F11" s="6" t="s">
        <v>235</v>
      </c>
      <c r="G11" s="10" t="s">
        <v>210</v>
      </c>
      <c r="H11" s="10" t="n">
        <v>0</v>
      </c>
      <c r="I11" s="10" t="n">
        <v>0</v>
      </c>
      <c r="J11" s="11" t="s">
        <v>87</v>
      </c>
      <c r="K11" s="11" t="s">
        <v>87</v>
      </c>
      <c r="L11" s="11" t="s">
        <v>229</v>
      </c>
      <c r="M11" s="11" t="s">
        <v>87</v>
      </c>
      <c r="N11" s="11" t="s">
        <v>87</v>
      </c>
      <c r="O11" s="6" t="s">
        <v>253</v>
      </c>
      <c r="P11" s="6"/>
    </row>
    <row r="12" customFormat="false" ht="23.25" hidden="false" customHeight="true" outlineLevel="0" collapsed="false">
      <c r="A12" s="12" t="s">
        <v>254</v>
      </c>
      <c r="B12" s="6" t="s">
        <v>205</v>
      </c>
      <c r="C12" s="6" t="s">
        <v>232</v>
      </c>
      <c r="D12" s="6" t="s">
        <v>255</v>
      </c>
      <c r="E12" s="6" t="s">
        <v>256</v>
      </c>
      <c r="F12" s="12" t="s">
        <v>257</v>
      </c>
      <c r="G12" s="10" t="s">
        <v>258</v>
      </c>
      <c r="H12" s="10" t="n">
        <v>0</v>
      </c>
      <c r="I12" s="10" t="n">
        <v>0</v>
      </c>
      <c r="J12" s="11" t="s">
        <v>87</v>
      </c>
      <c r="K12" s="11" t="s">
        <v>87</v>
      </c>
      <c r="L12" s="11" t="s">
        <v>87</v>
      </c>
      <c r="M12" s="11" t="s">
        <v>87</v>
      </c>
      <c r="N12" s="11" t="s">
        <v>87</v>
      </c>
      <c r="O12" s="6" t="s">
        <v>259</v>
      </c>
      <c r="P12" s="6" t="s">
        <v>260</v>
      </c>
    </row>
    <row r="13" customFormat="false" ht="15" hidden="false" customHeight="true" outlineLevel="0" collapsed="false">
      <c r="A13" s="6" t="s">
        <v>261</v>
      </c>
      <c r="B13" s="6" t="s">
        <v>205</v>
      </c>
      <c r="C13" s="6" t="s">
        <v>232</v>
      </c>
      <c r="D13" s="6" t="s">
        <v>262</v>
      </c>
      <c r="E13" s="6" t="s">
        <v>263</v>
      </c>
      <c r="F13" s="6" t="s">
        <v>235</v>
      </c>
      <c r="G13" s="10" t="s">
        <v>210</v>
      </c>
      <c r="H13" s="10" t="n">
        <v>0</v>
      </c>
      <c r="I13" s="10" t="n">
        <v>0</v>
      </c>
      <c r="J13" s="11" t="s">
        <v>229</v>
      </c>
      <c r="K13" s="11" t="s">
        <v>87</v>
      </c>
      <c r="L13" s="11" t="s">
        <v>87</v>
      </c>
      <c r="M13" s="11" t="s">
        <v>212</v>
      </c>
      <c r="N13" s="11" t="s">
        <v>87</v>
      </c>
      <c r="O13" s="6" t="s">
        <v>264</v>
      </c>
      <c r="P13" s="6"/>
    </row>
    <row r="14" customFormat="false" ht="15" hidden="false" customHeight="true" outlineLevel="0" collapsed="false">
      <c r="A14" s="6" t="s">
        <v>265</v>
      </c>
      <c r="B14" s="6" t="s">
        <v>205</v>
      </c>
      <c r="C14" s="6" t="s">
        <v>266</v>
      </c>
      <c r="D14" s="6" t="s">
        <v>267</v>
      </c>
      <c r="E14" s="6" t="s">
        <v>268</v>
      </c>
      <c r="F14" s="6" t="s">
        <v>209</v>
      </c>
      <c r="G14" s="10" t="s">
        <v>210</v>
      </c>
      <c r="H14" s="10" t="n">
        <v>0</v>
      </c>
      <c r="I14" s="10" t="n">
        <v>0</v>
      </c>
      <c r="J14" s="11" t="s">
        <v>212</v>
      </c>
      <c r="K14" s="11" t="s">
        <v>212</v>
      </c>
      <c r="L14" s="11" t="s">
        <v>212</v>
      </c>
      <c r="M14" s="11" t="s">
        <v>87</v>
      </c>
      <c r="N14" s="11" t="s">
        <v>87</v>
      </c>
      <c r="O14" s="6" t="s">
        <v>269</v>
      </c>
      <c r="P14" s="6"/>
    </row>
    <row r="15" customFormat="false" ht="23.25" hidden="false" customHeight="true" outlineLevel="0" collapsed="false">
      <c r="A15" s="6" t="s">
        <v>270</v>
      </c>
      <c r="B15" s="6" t="s">
        <v>205</v>
      </c>
      <c r="C15" s="6" t="s">
        <v>232</v>
      </c>
      <c r="D15" s="6" t="s">
        <v>271</v>
      </c>
      <c r="E15" s="6" t="s">
        <v>272</v>
      </c>
      <c r="F15" s="6" t="s">
        <v>209</v>
      </c>
      <c r="G15" s="10" t="s">
        <v>210</v>
      </c>
      <c r="H15" s="10" t="n">
        <v>0</v>
      </c>
      <c r="I15" s="10" t="n">
        <v>0</v>
      </c>
      <c r="J15" s="11" t="s">
        <v>211</v>
      </c>
      <c r="K15" s="11" t="s">
        <v>212</v>
      </c>
      <c r="L15" s="11" t="s">
        <v>212</v>
      </c>
      <c r="M15" s="11" t="s">
        <v>211</v>
      </c>
      <c r="N15" s="11" t="s">
        <v>211</v>
      </c>
      <c r="O15" s="6" t="s">
        <v>273</v>
      </c>
      <c r="P15" s="6" t="s">
        <v>274</v>
      </c>
    </row>
    <row r="16" customFormat="false" ht="15" hidden="false" customHeight="true" outlineLevel="0" collapsed="false">
      <c r="A16" s="6" t="s">
        <v>275</v>
      </c>
      <c r="B16" s="6" t="s">
        <v>205</v>
      </c>
      <c r="C16" s="6" t="s">
        <v>206</v>
      </c>
      <c r="D16" s="6" t="s">
        <v>276</v>
      </c>
      <c r="E16" s="6" t="s">
        <v>277</v>
      </c>
      <c r="F16" s="6" t="s">
        <v>209</v>
      </c>
      <c r="G16" s="10" t="s">
        <v>210</v>
      </c>
      <c r="H16" s="10" t="n">
        <v>1</v>
      </c>
      <c r="I16" s="10" t="n">
        <v>0</v>
      </c>
      <c r="J16" s="11" t="s">
        <v>212</v>
      </c>
      <c r="K16" s="11" t="s">
        <v>212</v>
      </c>
      <c r="L16" s="11" t="s">
        <v>212</v>
      </c>
      <c r="M16" s="11" t="s">
        <v>87</v>
      </c>
      <c r="N16" s="11" t="s">
        <v>212</v>
      </c>
      <c r="O16" s="6" t="s">
        <v>278</v>
      </c>
      <c r="P16" s="6"/>
    </row>
    <row r="17" customFormat="false" ht="15" hidden="false" customHeight="true" outlineLevel="0" collapsed="false">
      <c r="A17" s="6" t="s">
        <v>279</v>
      </c>
      <c r="B17" s="6" t="s">
        <v>205</v>
      </c>
      <c r="C17" s="6" t="s">
        <v>232</v>
      </c>
      <c r="D17" s="6" t="s">
        <v>280</v>
      </c>
      <c r="E17" s="6" t="s">
        <v>281</v>
      </c>
      <c r="F17" s="6" t="s">
        <v>209</v>
      </c>
      <c r="G17" s="10" t="s">
        <v>210</v>
      </c>
      <c r="H17" s="10" t="n">
        <v>0</v>
      </c>
      <c r="I17" s="10" t="n">
        <v>0</v>
      </c>
      <c r="J17" s="11" t="s">
        <v>212</v>
      </c>
      <c r="K17" s="11" t="s">
        <v>87</v>
      </c>
      <c r="L17" s="11" t="s">
        <v>87</v>
      </c>
      <c r="M17" s="11" t="s">
        <v>211</v>
      </c>
      <c r="N17" s="11" t="s">
        <v>212</v>
      </c>
      <c r="O17" s="6" t="s">
        <v>282</v>
      </c>
      <c r="P17" s="6"/>
    </row>
    <row r="18" customFormat="false" ht="15" hidden="false" customHeight="true" outlineLevel="0" collapsed="false">
      <c r="A18" s="6" t="s">
        <v>283</v>
      </c>
      <c r="B18" s="6" t="s">
        <v>205</v>
      </c>
      <c r="C18" s="6" t="s">
        <v>232</v>
      </c>
      <c r="D18" s="6" t="s">
        <v>284</v>
      </c>
      <c r="E18" s="6" t="s">
        <v>285</v>
      </c>
      <c r="F18" s="6" t="s">
        <v>209</v>
      </c>
      <c r="G18" s="10" t="s">
        <v>210</v>
      </c>
      <c r="H18" s="10" t="n">
        <v>0</v>
      </c>
      <c r="I18" s="10" t="n">
        <v>0</v>
      </c>
      <c r="J18" s="11" t="s">
        <v>212</v>
      </c>
      <c r="K18" s="11" t="s">
        <v>212</v>
      </c>
      <c r="L18" s="11" t="s">
        <v>212</v>
      </c>
      <c r="M18" s="11" t="s">
        <v>87</v>
      </c>
      <c r="N18" s="11" t="s">
        <v>87</v>
      </c>
      <c r="O18" s="6" t="s">
        <v>285</v>
      </c>
      <c r="P18" s="6"/>
    </row>
    <row r="19" customFormat="false" ht="15" hidden="false" customHeight="true" outlineLevel="0" collapsed="false">
      <c r="A19" s="6" t="s">
        <v>286</v>
      </c>
      <c r="B19" s="6" t="s">
        <v>205</v>
      </c>
      <c r="C19" s="6" t="s">
        <v>287</v>
      </c>
      <c r="D19" s="6" t="s">
        <v>288</v>
      </c>
      <c r="E19" s="6" t="s">
        <v>208</v>
      </c>
      <c r="F19" s="6" t="s">
        <v>209</v>
      </c>
      <c r="G19" s="10" t="s">
        <v>210</v>
      </c>
      <c r="H19" s="10" t="n">
        <v>1</v>
      </c>
      <c r="I19" s="10" t="n">
        <v>0</v>
      </c>
      <c r="J19" s="11" t="s">
        <v>212</v>
      </c>
      <c r="K19" s="11" t="s">
        <v>212</v>
      </c>
      <c r="L19" s="11" t="s">
        <v>212</v>
      </c>
      <c r="M19" s="11" t="s">
        <v>87</v>
      </c>
      <c r="N19" s="11" t="s">
        <v>87</v>
      </c>
      <c r="O19" s="6" t="s">
        <v>289</v>
      </c>
      <c r="P19" s="6"/>
    </row>
    <row r="20" customFormat="false" ht="15" hidden="false" customHeight="true" outlineLevel="0" collapsed="false">
      <c r="A20" s="6" t="s">
        <v>290</v>
      </c>
      <c r="B20" s="6" t="s">
        <v>205</v>
      </c>
      <c r="C20" s="6" t="s">
        <v>287</v>
      </c>
      <c r="D20" s="6" t="s">
        <v>291</v>
      </c>
      <c r="E20" s="6" t="s">
        <v>292</v>
      </c>
      <c r="F20" s="6" t="s">
        <v>235</v>
      </c>
      <c r="G20" s="10" t="s">
        <v>210</v>
      </c>
      <c r="H20" s="10" t="n">
        <v>0</v>
      </c>
      <c r="I20" s="10" t="n">
        <v>0</v>
      </c>
      <c r="J20" s="11" t="s">
        <v>212</v>
      </c>
      <c r="K20" s="11" t="s">
        <v>212</v>
      </c>
      <c r="L20" s="11" t="s">
        <v>212</v>
      </c>
      <c r="M20" s="11" t="s">
        <v>87</v>
      </c>
      <c r="N20" s="11" t="s">
        <v>87</v>
      </c>
      <c r="O20" s="6" t="s">
        <v>293</v>
      </c>
      <c r="P20" s="6"/>
    </row>
    <row r="21" customFormat="false" ht="23.25" hidden="false" customHeight="true" outlineLevel="0" collapsed="false">
      <c r="A21" s="6" t="s">
        <v>294</v>
      </c>
      <c r="B21" s="6" t="s">
        <v>205</v>
      </c>
      <c r="C21" s="6" t="s">
        <v>206</v>
      </c>
      <c r="D21" s="6" t="s">
        <v>295</v>
      </c>
      <c r="E21" s="6" t="s">
        <v>296</v>
      </c>
      <c r="F21" s="6" t="s">
        <v>235</v>
      </c>
      <c r="G21" s="10" t="s">
        <v>210</v>
      </c>
      <c r="H21" s="10" t="n">
        <v>0</v>
      </c>
      <c r="I21" s="10" t="n">
        <v>0</v>
      </c>
      <c r="J21" s="11" t="s">
        <v>212</v>
      </c>
      <c r="K21" s="11" t="s">
        <v>212</v>
      </c>
      <c r="L21" s="11" t="s">
        <v>212</v>
      </c>
      <c r="M21" s="11" t="s">
        <v>87</v>
      </c>
      <c r="N21" s="11" t="s">
        <v>87</v>
      </c>
      <c r="O21" s="6" t="s">
        <v>297</v>
      </c>
      <c r="P21" s="6" t="s">
        <v>298</v>
      </c>
    </row>
    <row r="22" customFormat="false" ht="23.25" hidden="false" customHeight="true" outlineLevel="0" collapsed="false">
      <c r="A22" s="6" t="s">
        <v>299</v>
      </c>
      <c r="B22" s="6" t="s">
        <v>300</v>
      </c>
      <c r="C22" s="6" t="s">
        <v>206</v>
      </c>
      <c r="D22" s="6" t="s">
        <v>301</v>
      </c>
      <c r="E22" s="6" t="s">
        <v>302</v>
      </c>
      <c r="F22" s="6" t="s">
        <v>209</v>
      </c>
      <c r="G22" s="10" t="s">
        <v>210</v>
      </c>
      <c r="H22" s="10" t="n">
        <v>-1</v>
      </c>
      <c r="I22" s="10" t="n">
        <v>0</v>
      </c>
      <c r="J22" s="11" t="s">
        <v>211</v>
      </c>
      <c r="K22" s="11" t="s">
        <v>212</v>
      </c>
      <c r="L22" s="11" t="s">
        <v>87</v>
      </c>
      <c r="M22" s="11" t="s">
        <v>211</v>
      </c>
      <c r="N22" s="11" t="s">
        <v>211</v>
      </c>
      <c r="O22" s="6" t="s">
        <v>303</v>
      </c>
      <c r="P22" s="6" t="s">
        <v>304</v>
      </c>
    </row>
    <row r="23" customFormat="false" ht="15" hidden="false" customHeight="true" outlineLevel="0" collapsed="false">
      <c r="A23" s="6" t="s">
        <v>305</v>
      </c>
      <c r="B23" s="6" t="s">
        <v>300</v>
      </c>
      <c r="C23" s="6" t="s">
        <v>206</v>
      </c>
      <c r="D23" s="6" t="s">
        <v>306</v>
      </c>
      <c r="E23" s="6" t="s">
        <v>307</v>
      </c>
      <c r="F23" s="6" t="s">
        <v>209</v>
      </c>
      <c r="G23" s="10" t="s">
        <v>210</v>
      </c>
      <c r="H23" s="10" t="n">
        <v>0</v>
      </c>
      <c r="I23" s="10" t="n">
        <v>0</v>
      </c>
      <c r="J23" s="11" t="s">
        <v>211</v>
      </c>
      <c r="K23" s="11" t="s">
        <v>87</v>
      </c>
      <c r="L23" s="11" t="s">
        <v>87</v>
      </c>
      <c r="M23" s="11" t="s">
        <v>211</v>
      </c>
      <c r="N23" s="11" t="s">
        <v>211</v>
      </c>
      <c r="O23" s="6" t="s">
        <v>308</v>
      </c>
      <c r="P23" s="6"/>
    </row>
    <row r="24" customFormat="false" ht="15" hidden="false" customHeight="true" outlineLevel="0" collapsed="false">
      <c r="A24" s="6" t="s">
        <v>309</v>
      </c>
      <c r="B24" s="6" t="s">
        <v>300</v>
      </c>
      <c r="C24" s="6" t="s">
        <v>232</v>
      </c>
      <c r="D24" s="6" t="s">
        <v>310</v>
      </c>
      <c r="E24" s="6" t="s">
        <v>311</v>
      </c>
      <c r="F24" s="6" t="s">
        <v>235</v>
      </c>
      <c r="G24" s="10" t="s">
        <v>210</v>
      </c>
      <c r="H24" s="10" t="n">
        <v>0</v>
      </c>
      <c r="I24" s="10" t="n">
        <v>0</v>
      </c>
      <c r="J24" s="11" t="s">
        <v>212</v>
      </c>
      <c r="K24" s="11" t="s">
        <v>212</v>
      </c>
      <c r="L24" s="11" t="s">
        <v>87</v>
      </c>
      <c r="M24" s="11" t="s">
        <v>87</v>
      </c>
      <c r="N24" s="11" t="s">
        <v>87</v>
      </c>
      <c r="O24" s="6" t="s">
        <v>312</v>
      </c>
      <c r="P24" s="6"/>
    </row>
    <row r="25" customFormat="false" ht="15" hidden="false" customHeight="true" outlineLevel="0" collapsed="false">
      <c r="A25" s="6" t="s">
        <v>313</v>
      </c>
      <c r="B25" s="6" t="s">
        <v>300</v>
      </c>
      <c r="C25" s="6" t="s">
        <v>232</v>
      </c>
      <c r="D25" s="6" t="s">
        <v>314</v>
      </c>
      <c r="E25" s="6" t="s">
        <v>315</v>
      </c>
      <c r="F25" s="6" t="s">
        <v>235</v>
      </c>
      <c r="G25" s="10" t="s">
        <v>210</v>
      </c>
      <c r="H25" s="10" t="n">
        <v>0</v>
      </c>
      <c r="I25" s="10" t="n">
        <v>0</v>
      </c>
      <c r="J25" s="11" t="s">
        <v>212</v>
      </c>
      <c r="K25" s="11" t="s">
        <v>212</v>
      </c>
      <c r="L25" s="11" t="s">
        <v>87</v>
      </c>
      <c r="M25" s="11" t="s">
        <v>212</v>
      </c>
      <c r="N25" s="11" t="s">
        <v>87</v>
      </c>
      <c r="O25" s="6" t="s">
        <v>315</v>
      </c>
      <c r="P25" s="6" t="s">
        <v>316</v>
      </c>
    </row>
    <row r="26" customFormat="false" ht="15" hidden="false" customHeight="true" outlineLevel="0" collapsed="false">
      <c r="A26" s="6" t="s">
        <v>317</v>
      </c>
      <c r="B26" s="6" t="s">
        <v>300</v>
      </c>
      <c r="C26" s="6" t="s">
        <v>206</v>
      </c>
      <c r="D26" s="6" t="s">
        <v>318</v>
      </c>
      <c r="E26" s="6" t="s">
        <v>315</v>
      </c>
      <c r="F26" s="6" t="s">
        <v>235</v>
      </c>
      <c r="G26" s="10" t="s">
        <v>210</v>
      </c>
      <c r="H26" s="10" t="n">
        <v>1</v>
      </c>
      <c r="I26" s="10" t="n">
        <v>0</v>
      </c>
      <c r="J26" s="11" t="s">
        <v>212</v>
      </c>
      <c r="K26" s="11" t="s">
        <v>212</v>
      </c>
      <c r="L26" s="11" t="s">
        <v>87</v>
      </c>
      <c r="M26" s="11" t="s">
        <v>212</v>
      </c>
      <c r="N26" s="11" t="s">
        <v>87</v>
      </c>
      <c r="O26" s="6" t="s">
        <v>315</v>
      </c>
      <c r="P26" s="6" t="s">
        <v>316</v>
      </c>
    </row>
    <row r="27" customFormat="false" ht="15" hidden="false" customHeight="true" outlineLevel="0" collapsed="false">
      <c r="A27" s="6" t="s">
        <v>319</v>
      </c>
      <c r="B27" s="6" t="s">
        <v>300</v>
      </c>
      <c r="C27" s="6" t="s">
        <v>287</v>
      </c>
      <c r="D27" s="6" t="s">
        <v>320</v>
      </c>
      <c r="E27" s="6" t="s">
        <v>321</v>
      </c>
      <c r="F27" s="6" t="s">
        <v>235</v>
      </c>
      <c r="G27" s="10" t="s">
        <v>210</v>
      </c>
      <c r="H27" s="10" t="n">
        <v>0</v>
      </c>
      <c r="I27" s="10" t="n">
        <v>0</v>
      </c>
      <c r="J27" s="11" t="s">
        <v>212</v>
      </c>
      <c r="K27" s="11" t="s">
        <v>212</v>
      </c>
      <c r="L27" s="11" t="s">
        <v>87</v>
      </c>
      <c r="M27" s="11" t="s">
        <v>87</v>
      </c>
      <c r="N27" s="11" t="s">
        <v>87</v>
      </c>
      <c r="O27" s="6" t="s">
        <v>322</v>
      </c>
      <c r="P27" s="6"/>
    </row>
    <row r="28" customFormat="false" ht="23.25" hidden="false" customHeight="true" outlineLevel="0" collapsed="false">
      <c r="A28" s="6" t="s">
        <v>323</v>
      </c>
      <c r="B28" s="6" t="s">
        <v>300</v>
      </c>
      <c r="C28" s="6" t="s">
        <v>206</v>
      </c>
      <c r="D28" s="6" t="s">
        <v>324</v>
      </c>
      <c r="E28" s="6" t="s">
        <v>325</v>
      </c>
      <c r="F28" s="6" t="s">
        <v>235</v>
      </c>
      <c r="G28" s="10" t="s">
        <v>210</v>
      </c>
      <c r="H28" s="10" t="n">
        <v>0</v>
      </c>
      <c r="I28" s="10" t="n">
        <v>0</v>
      </c>
      <c r="J28" s="11" t="s">
        <v>212</v>
      </c>
      <c r="K28" s="11" t="s">
        <v>212</v>
      </c>
      <c r="L28" s="11" t="s">
        <v>87</v>
      </c>
      <c r="M28" s="11" t="s">
        <v>87</v>
      </c>
      <c r="N28" s="11" t="s">
        <v>87</v>
      </c>
      <c r="O28" s="6" t="s">
        <v>326</v>
      </c>
      <c r="P28" s="6" t="s">
        <v>327</v>
      </c>
    </row>
    <row r="29" customFormat="false" ht="15" hidden="false" customHeight="true" outlineLevel="0" collapsed="false">
      <c r="A29" s="6" t="s">
        <v>328</v>
      </c>
      <c r="B29" s="6" t="s">
        <v>300</v>
      </c>
      <c r="C29" s="6" t="s">
        <v>206</v>
      </c>
      <c r="D29" s="6" t="s">
        <v>329</v>
      </c>
      <c r="E29" s="6" t="s">
        <v>330</v>
      </c>
      <c r="F29" s="6" t="s">
        <v>235</v>
      </c>
      <c r="G29" s="10" t="s">
        <v>210</v>
      </c>
      <c r="H29" s="10" t="n">
        <v>0</v>
      </c>
      <c r="I29" s="10" t="n">
        <v>0</v>
      </c>
      <c r="J29" s="11" t="s">
        <v>212</v>
      </c>
      <c r="K29" s="11" t="s">
        <v>212</v>
      </c>
      <c r="L29" s="11" t="s">
        <v>87</v>
      </c>
      <c r="M29" s="11" t="s">
        <v>87</v>
      </c>
      <c r="N29" s="11" t="s">
        <v>87</v>
      </c>
      <c r="O29" s="6" t="s">
        <v>331</v>
      </c>
      <c r="P29" s="6"/>
    </row>
    <row r="30" customFormat="false" ht="15" hidden="false" customHeight="true" outlineLevel="0" collapsed="false">
      <c r="A30" s="12" t="s">
        <v>332</v>
      </c>
      <c r="B30" s="6" t="s">
        <v>300</v>
      </c>
      <c r="C30" s="6" t="s">
        <v>206</v>
      </c>
      <c r="D30" s="6" t="s">
        <v>333</v>
      </c>
      <c r="E30" s="6" t="s">
        <v>334</v>
      </c>
      <c r="F30" s="12" t="s">
        <v>257</v>
      </c>
      <c r="G30" s="10" t="s">
        <v>258</v>
      </c>
      <c r="H30" s="10" t="n">
        <v>0</v>
      </c>
      <c r="I30" s="10" t="n">
        <v>0</v>
      </c>
      <c r="J30" s="11" t="s">
        <v>87</v>
      </c>
      <c r="K30" s="11" t="s">
        <v>87</v>
      </c>
      <c r="L30" s="11" t="s">
        <v>87</v>
      </c>
      <c r="M30" s="11" t="s">
        <v>87</v>
      </c>
      <c r="N30" s="11" t="s">
        <v>87</v>
      </c>
      <c r="O30" s="6" t="s">
        <v>335</v>
      </c>
      <c r="P30" s="6" t="s">
        <v>336</v>
      </c>
    </row>
    <row r="31" customFormat="false" ht="23.25" hidden="false" customHeight="true" outlineLevel="0" collapsed="false">
      <c r="A31" s="12" t="s">
        <v>177</v>
      </c>
      <c r="B31" s="6" t="s">
        <v>300</v>
      </c>
      <c r="C31" s="6" t="s">
        <v>206</v>
      </c>
      <c r="D31" s="6" t="s">
        <v>337</v>
      </c>
      <c r="E31" s="6" t="s">
        <v>338</v>
      </c>
      <c r="F31" s="12" t="s">
        <v>257</v>
      </c>
      <c r="G31" s="10" t="s">
        <v>258</v>
      </c>
      <c r="H31" s="10" t="n">
        <v>0</v>
      </c>
      <c r="I31" s="10" t="n">
        <v>0</v>
      </c>
      <c r="J31" s="11" t="s">
        <v>87</v>
      </c>
      <c r="K31" s="11" t="s">
        <v>87</v>
      </c>
      <c r="L31" s="11" t="s">
        <v>87</v>
      </c>
      <c r="M31" s="11" t="s">
        <v>87</v>
      </c>
      <c r="N31" s="11" t="s">
        <v>87</v>
      </c>
      <c r="O31" s="6" t="s">
        <v>339</v>
      </c>
      <c r="P31" s="6" t="s">
        <v>340</v>
      </c>
    </row>
    <row r="32" customFormat="false" ht="15" hidden="false" customHeight="true" outlineLevel="0" collapsed="false">
      <c r="A32" s="6" t="s">
        <v>341</v>
      </c>
      <c r="B32" s="6" t="s">
        <v>342</v>
      </c>
      <c r="C32" s="6" t="s">
        <v>232</v>
      </c>
      <c r="D32" s="6" t="s">
        <v>343</v>
      </c>
      <c r="E32" s="6" t="s">
        <v>344</v>
      </c>
      <c r="F32" s="6" t="s">
        <v>235</v>
      </c>
      <c r="G32" s="10" t="s">
        <v>210</v>
      </c>
      <c r="H32" s="10" t="n">
        <v>0</v>
      </c>
      <c r="I32" s="10" t="n">
        <v>0</v>
      </c>
      <c r="J32" s="11" t="s">
        <v>212</v>
      </c>
      <c r="K32" s="11" t="s">
        <v>212</v>
      </c>
      <c r="L32" s="11" t="s">
        <v>87</v>
      </c>
      <c r="M32" s="11" t="s">
        <v>87</v>
      </c>
      <c r="N32" s="11" t="s">
        <v>87</v>
      </c>
      <c r="O32" s="6" t="s">
        <v>345</v>
      </c>
      <c r="P32" s="6" t="s">
        <v>346</v>
      </c>
    </row>
    <row r="33" customFormat="false" ht="15" hidden="false" customHeight="true" outlineLevel="0" collapsed="false">
      <c r="A33" s="6" t="s">
        <v>347</v>
      </c>
      <c r="B33" s="6" t="s">
        <v>342</v>
      </c>
      <c r="C33" s="6" t="s">
        <v>232</v>
      </c>
      <c r="D33" s="6" t="s">
        <v>348</v>
      </c>
      <c r="E33" s="6" t="s">
        <v>349</v>
      </c>
      <c r="F33" s="6" t="s">
        <v>235</v>
      </c>
      <c r="G33" s="10" t="s">
        <v>210</v>
      </c>
      <c r="H33" s="10" t="n">
        <v>0</v>
      </c>
      <c r="I33" s="10" t="n">
        <v>0</v>
      </c>
      <c r="J33" s="11" t="s">
        <v>212</v>
      </c>
      <c r="K33" s="11" t="s">
        <v>212</v>
      </c>
      <c r="L33" s="11" t="s">
        <v>87</v>
      </c>
      <c r="M33" s="11" t="s">
        <v>87</v>
      </c>
      <c r="N33" s="11" t="s">
        <v>87</v>
      </c>
      <c r="O33" s="6" t="s">
        <v>350</v>
      </c>
      <c r="P33" s="6" t="s">
        <v>351</v>
      </c>
    </row>
    <row r="34" customFormat="false" ht="15" hidden="false" customHeight="true" outlineLevel="0" collapsed="false">
      <c r="A34" s="12" t="s">
        <v>352</v>
      </c>
      <c r="B34" s="6" t="s">
        <v>342</v>
      </c>
      <c r="C34" s="6" t="s">
        <v>206</v>
      </c>
      <c r="D34" s="6" t="s">
        <v>353</v>
      </c>
      <c r="E34" s="6" t="s">
        <v>354</v>
      </c>
      <c r="F34" s="12" t="s">
        <v>257</v>
      </c>
      <c r="G34" s="10" t="s">
        <v>258</v>
      </c>
      <c r="H34" s="10" t="n">
        <v>0</v>
      </c>
      <c r="I34" s="10" t="n">
        <v>0</v>
      </c>
      <c r="J34" s="11" t="s">
        <v>87</v>
      </c>
      <c r="K34" s="11" t="s">
        <v>87</v>
      </c>
      <c r="L34" s="11" t="s">
        <v>87</v>
      </c>
      <c r="M34" s="11" t="s">
        <v>87</v>
      </c>
      <c r="N34" s="11" t="s">
        <v>87</v>
      </c>
      <c r="O34" s="6" t="s">
        <v>355</v>
      </c>
      <c r="P34" s="6"/>
    </row>
    <row r="35" customFormat="false" ht="23.25" hidden="false" customHeight="true" outlineLevel="0" collapsed="false">
      <c r="A35" s="6" t="s">
        <v>356</v>
      </c>
      <c r="B35" s="6" t="s">
        <v>342</v>
      </c>
      <c r="C35" s="6" t="s">
        <v>232</v>
      </c>
      <c r="D35" s="6" t="s">
        <v>357</v>
      </c>
      <c r="E35" s="6" t="s">
        <v>358</v>
      </c>
      <c r="F35" s="6" t="s">
        <v>235</v>
      </c>
      <c r="G35" s="10" t="s">
        <v>210</v>
      </c>
      <c r="H35" s="10" t="n">
        <v>0</v>
      </c>
      <c r="I35" s="10" t="n">
        <v>0</v>
      </c>
      <c r="J35" s="11" t="s">
        <v>212</v>
      </c>
      <c r="K35" s="11" t="s">
        <v>212</v>
      </c>
      <c r="L35" s="11" t="s">
        <v>87</v>
      </c>
      <c r="M35" s="11" t="s">
        <v>212</v>
      </c>
      <c r="N35" s="11" t="s">
        <v>87</v>
      </c>
      <c r="O35" s="6" t="s">
        <v>359</v>
      </c>
      <c r="P35" s="6" t="s">
        <v>360</v>
      </c>
    </row>
    <row r="36" customFormat="false" ht="15" hidden="false" customHeight="true" outlineLevel="0" collapsed="false">
      <c r="A36" s="6" t="s">
        <v>361</v>
      </c>
      <c r="B36" s="6" t="s">
        <v>342</v>
      </c>
      <c r="C36" s="6" t="s">
        <v>206</v>
      </c>
      <c r="D36" s="6" t="s">
        <v>362</v>
      </c>
      <c r="E36" s="6" t="s">
        <v>160</v>
      </c>
      <c r="F36" s="6" t="s">
        <v>209</v>
      </c>
      <c r="G36" s="10" t="s">
        <v>210</v>
      </c>
      <c r="H36" s="10" t="n">
        <v>1</v>
      </c>
      <c r="I36" s="10" t="n">
        <v>0</v>
      </c>
      <c r="J36" s="11" t="s">
        <v>212</v>
      </c>
      <c r="K36" s="11" t="s">
        <v>212</v>
      </c>
      <c r="L36" s="11" t="s">
        <v>212</v>
      </c>
      <c r="M36" s="11" t="s">
        <v>212</v>
      </c>
      <c r="N36" s="11" t="s">
        <v>212</v>
      </c>
      <c r="O36" s="6" t="s">
        <v>363</v>
      </c>
      <c r="P36" s="6"/>
    </row>
    <row r="37" customFormat="false" ht="15" hidden="false" customHeight="true" outlineLevel="0" collapsed="false">
      <c r="A37" s="6" t="s">
        <v>364</v>
      </c>
      <c r="B37" s="6" t="s">
        <v>342</v>
      </c>
      <c r="C37" s="6" t="s">
        <v>206</v>
      </c>
      <c r="D37" s="6" t="s">
        <v>365</v>
      </c>
      <c r="E37" s="6" t="s">
        <v>366</v>
      </c>
      <c r="F37" s="6" t="s">
        <v>209</v>
      </c>
      <c r="G37" s="10" t="s">
        <v>210</v>
      </c>
      <c r="H37" s="10" t="n">
        <v>1</v>
      </c>
      <c r="I37" s="10" t="n">
        <v>0</v>
      </c>
      <c r="J37" s="11" t="s">
        <v>212</v>
      </c>
      <c r="K37" s="11" t="s">
        <v>212</v>
      </c>
      <c r="L37" s="11" t="s">
        <v>212</v>
      </c>
      <c r="M37" s="11" t="s">
        <v>87</v>
      </c>
      <c r="N37" s="11" t="s">
        <v>87</v>
      </c>
      <c r="O37" s="6" t="s">
        <v>366</v>
      </c>
      <c r="P37" s="6"/>
    </row>
    <row r="38" customFormat="false" ht="15" hidden="false" customHeight="true" outlineLevel="0" collapsed="false">
      <c r="A38" s="6" t="s">
        <v>367</v>
      </c>
      <c r="B38" s="6" t="s">
        <v>342</v>
      </c>
      <c r="C38" s="6" t="s">
        <v>206</v>
      </c>
      <c r="D38" s="6" t="s">
        <v>368</v>
      </c>
      <c r="E38" s="6" t="s">
        <v>369</v>
      </c>
      <c r="F38" s="6" t="s">
        <v>235</v>
      </c>
      <c r="G38" s="10" t="s">
        <v>210</v>
      </c>
      <c r="H38" s="10" t="n">
        <v>0</v>
      </c>
      <c r="I38" s="10" t="n">
        <v>0</v>
      </c>
      <c r="J38" s="11" t="s">
        <v>212</v>
      </c>
      <c r="K38" s="11" t="s">
        <v>87</v>
      </c>
      <c r="L38" s="11" t="s">
        <v>87</v>
      </c>
      <c r="M38" s="11" t="s">
        <v>212</v>
      </c>
      <c r="N38" s="11" t="s">
        <v>87</v>
      </c>
      <c r="O38" s="6" t="s">
        <v>369</v>
      </c>
      <c r="P38" s="6"/>
    </row>
    <row r="39" customFormat="false" ht="23.25" hidden="false" customHeight="true" outlineLevel="0" collapsed="false">
      <c r="A39" s="12" t="s">
        <v>370</v>
      </c>
      <c r="B39" s="6" t="s">
        <v>342</v>
      </c>
      <c r="C39" s="6" t="s">
        <v>206</v>
      </c>
      <c r="D39" s="6" t="s">
        <v>371</v>
      </c>
      <c r="E39" s="6" t="s">
        <v>372</v>
      </c>
      <c r="F39" s="12" t="s">
        <v>257</v>
      </c>
      <c r="G39" s="10" t="s">
        <v>258</v>
      </c>
      <c r="H39" s="10" t="n">
        <v>0</v>
      </c>
      <c r="I39" s="10" t="n">
        <v>0</v>
      </c>
      <c r="J39" s="11" t="s">
        <v>87</v>
      </c>
      <c r="K39" s="11" t="s">
        <v>87</v>
      </c>
      <c r="L39" s="11" t="s">
        <v>87</v>
      </c>
      <c r="M39" s="11" t="s">
        <v>87</v>
      </c>
      <c r="N39" s="11" t="s">
        <v>87</v>
      </c>
      <c r="O39" s="6" t="s">
        <v>373</v>
      </c>
      <c r="P39" s="6" t="s">
        <v>374</v>
      </c>
    </row>
    <row r="40" customFormat="false" ht="15" hidden="false" customHeight="true" outlineLevel="0" collapsed="false">
      <c r="A40" s="12" t="s">
        <v>375</v>
      </c>
      <c r="B40" s="6" t="s">
        <v>342</v>
      </c>
      <c r="C40" s="6" t="s">
        <v>232</v>
      </c>
      <c r="D40" s="6" t="s">
        <v>376</v>
      </c>
      <c r="E40" s="6" t="s">
        <v>256</v>
      </c>
      <c r="F40" s="12" t="s">
        <v>257</v>
      </c>
      <c r="G40" s="10" t="s">
        <v>258</v>
      </c>
      <c r="H40" s="10" t="n">
        <v>0</v>
      </c>
      <c r="I40" s="10" t="n">
        <v>0</v>
      </c>
      <c r="J40" s="11" t="s">
        <v>87</v>
      </c>
      <c r="K40" s="11" t="s">
        <v>87</v>
      </c>
      <c r="L40" s="11" t="s">
        <v>87</v>
      </c>
      <c r="M40" s="11" t="s">
        <v>87</v>
      </c>
      <c r="N40" s="11" t="s">
        <v>87</v>
      </c>
      <c r="O40" s="6" t="s">
        <v>377</v>
      </c>
      <c r="P40" s="6" t="s">
        <v>378</v>
      </c>
    </row>
    <row r="41" customFormat="false" ht="15" hidden="false" customHeight="true" outlineLevel="0" collapsed="false">
      <c r="A41" s="12" t="s">
        <v>379</v>
      </c>
      <c r="B41" s="6" t="s">
        <v>342</v>
      </c>
      <c r="C41" s="6" t="s">
        <v>287</v>
      </c>
      <c r="D41" s="6" t="s">
        <v>380</v>
      </c>
      <c r="E41" s="6" t="s">
        <v>381</v>
      </c>
      <c r="F41" s="12" t="s">
        <v>257</v>
      </c>
      <c r="G41" s="10" t="s">
        <v>258</v>
      </c>
      <c r="H41" s="10" t="n">
        <v>0</v>
      </c>
      <c r="I41" s="10" t="n">
        <v>0</v>
      </c>
      <c r="J41" s="11" t="s">
        <v>87</v>
      </c>
      <c r="K41" s="11" t="s">
        <v>87</v>
      </c>
      <c r="L41" s="11" t="s">
        <v>87</v>
      </c>
      <c r="M41" s="11" t="s">
        <v>87</v>
      </c>
      <c r="N41" s="11" t="s">
        <v>87</v>
      </c>
      <c r="O41" s="6" t="s">
        <v>382</v>
      </c>
      <c r="P41" s="6" t="s">
        <v>382</v>
      </c>
    </row>
    <row r="42" customFormat="false" ht="15" hidden="false" customHeight="true" outlineLevel="0" collapsed="false">
      <c r="A42" s="12" t="s">
        <v>383</v>
      </c>
      <c r="B42" s="6" t="s">
        <v>342</v>
      </c>
      <c r="C42" s="6" t="s">
        <v>232</v>
      </c>
      <c r="D42" s="6" t="s">
        <v>384</v>
      </c>
      <c r="E42" s="6" t="s">
        <v>385</v>
      </c>
      <c r="F42" s="12" t="s">
        <v>257</v>
      </c>
      <c r="G42" s="10" t="s">
        <v>258</v>
      </c>
      <c r="H42" s="10" t="n">
        <v>0</v>
      </c>
      <c r="I42" s="10" t="n">
        <v>0</v>
      </c>
      <c r="J42" s="11" t="s">
        <v>87</v>
      </c>
      <c r="K42" s="11" t="s">
        <v>87</v>
      </c>
      <c r="L42" s="11" t="s">
        <v>87</v>
      </c>
      <c r="M42" s="11" t="s">
        <v>87</v>
      </c>
      <c r="N42" s="11" t="s">
        <v>87</v>
      </c>
      <c r="O42" s="6" t="s">
        <v>382</v>
      </c>
      <c r="P42" s="6" t="s">
        <v>386</v>
      </c>
    </row>
    <row r="43" customFormat="false" ht="23.25" hidden="false" customHeight="true" outlineLevel="0" collapsed="false">
      <c r="A43" s="12" t="s">
        <v>387</v>
      </c>
      <c r="B43" s="6" t="s">
        <v>342</v>
      </c>
      <c r="C43" s="6" t="s">
        <v>232</v>
      </c>
      <c r="D43" s="6" t="s">
        <v>388</v>
      </c>
      <c r="E43" s="6" t="s">
        <v>389</v>
      </c>
      <c r="F43" s="12" t="s">
        <v>257</v>
      </c>
      <c r="G43" s="10" t="s">
        <v>258</v>
      </c>
      <c r="H43" s="10" t="n">
        <v>0</v>
      </c>
      <c r="I43" s="10" t="n">
        <v>0</v>
      </c>
      <c r="J43" s="11" t="s">
        <v>87</v>
      </c>
      <c r="K43" s="11" t="s">
        <v>87</v>
      </c>
      <c r="L43" s="11" t="s">
        <v>87</v>
      </c>
      <c r="M43" s="11" t="s">
        <v>87</v>
      </c>
      <c r="N43" s="11" t="s">
        <v>87</v>
      </c>
      <c r="O43" s="6" t="s">
        <v>390</v>
      </c>
      <c r="P43" s="6" t="s">
        <v>391</v>
      </c>
    </row>
    <row r="44" customFormat="false" ht="15" hidden="false" customHeight="true" outlineLevel="0" collapsed="false">
      <c r="A44" s="12" t="s">
        <v>392</v>
      </c>
      <c r="B44" s="6" t="s">
        <v>342</v>
      </c>
      <c r="C44" s="6" t="s">
        <v>232</v>
      </c>
      <c r="D44" s="6" t="s">
        <v>393</v>
      </c>
      <c r="E44" s="6" t="s">
        <v>394</v>
      </c>
      <c r="F44" s="12" t="s">
        <v>257</v>
      </c>
      <c r="G44" s="10" t="s">
        <v>258</v>
      </c>
      <c r="H44" s="10" t="n">
        <v>0</v>
      </c>
      <c r="I44" s="10" t="n">
        <v>0</v>
      </c>
      <c r="J44" s="11" t="s">
        <v>87</v>
      </c>
      <c r="K44" s="11" t="s">
        <v>87</v>
      </c>
      <c r="L44" s="11" t="s">
        <v>87</v>
      </c>
      <c r="M44" s="11" t="s">
        <v>87</v>
      </c>
      <c r="N44" s="11" t="s">
        <v>87</v>
      </c>
      <c r="O44" s="6" t="s">
        <v>394</v>
      </c>
      <c r="P44" s="6" t="s">
        <v>395</v>
      </c>
    </row>
    <row r="45" customFormat="false" ht="23.25" hidden="false" customHeight="true" outlineLevel="0" collapsed="false">
      <c r="A45" s="12" t="s">
        <v>396</v>
      </c>
      <c r="B45" s="6" t="s">
        <v>342</v>
      </c>
      <c r="C45" s="6" t="s">
        <v>232</v>
      </c>
      <c r="D45" s="6" t="s">
        <v>397</v>
      </c>
      <c r="E45" s="6" t="s">
        <v>398</v>
      </c>
      <c r="F45" s="12" t="s">
        <v>257</v>
      </c>
      <c r="G45" s="10" t="s">
        <v>258</v>
      </c>
      <c r="H45" s="10" t="n">
        <v>0</v>
      </c>
      <c r="I45" s="10" t="n">
        <v>0</v>
      </c>
      <c r="J45" s="11" t="s">
        <v>87</v>
      </c>
      <c r="K45" s="11" t="s">
        <v>87</v>
      </c>
      <c r="L45" s="11" t="s">
        <v>87</v>
      </c>
      <c r="M45" s="11" t="s">
        <v>87</v>
      </c>
      <c r="N45" s="11" t="s">
        <v>87</v>
      </c>
      <c r="O45" s="6" t="s">
        <v>399</v>
      </c>
      <c r="P45" s="6" t="s">
        <v>399</v>
      </c>
    </row>
    <row r="46" customFormat="false" ht="23.25" hidden="false" customHeight="true" outlineLevel="0" collapsed="false">
      <c r="A46" s="12" t="s">
        <v>400</v>
      </c>
      <c r="B46" s="6" t="s">
        <v>342</v>
      </c>
      <c r="C46" s="6" t="s">
        <v>232</v>
      </c>
      <c r="D46" s="6" t="s">
        <v>401</v>
      </c>
      <c r="E46" s="6" t="s">
        <v>402</v>
      </c>
      <c r="F46" s="12" t="s">
        <v>257</v>
      </c>
      <c r="G46" s="10" t="s">
        <v>258</v>
      </c>
      <c r="H46" s="10" t="n">
        <v>0</v>
      </c>
      <c r="I46" s="10" t="n">
        <v>0</v>
      </c>
      <c r="J46" s="11" t="s">
        <v>87</v>
      </c>
      <c r="K46" s="11" t="s">
        <v>87</v>
      </c>
      <c r="L46" s="11" t="s">
        <v>87</v>
      </c>
      <c r="M46" s="11" t="s">
        <v>87</v>
      </c>
      <c r="N46" s="11" t="s">
        <v>87</v>
      </c>
      <c r="O46" s="6" t="s">
        <v>402</v>
      </c>
      <c r="P46" s="6" t="s">
        <v>403</v>
      </c>
    </row>
    <row r="47" customFormat="false" ht="15" hidden="false" customHeight="true" outlineLevel="0" collapsed="false">
      <c r="A47" s="6" t="s">
        <v>404</v>
      </c>
      <c r="B47" s="6" t="s">
        <v>405</v>
      </c>
      <c r="C47" s="6" t="s">
        <v>232</v>
      </c>
      <c r="D47" s="6" t="s">
        <v>406</v>
      </c>
      <c r="E47" s="6" t="s">
        <v>407</v>
      </c>
      <c r="F47" s="6" t="s">
        <v>209</v>
      </c>
      <c r="G47" s="10" t="s">
        <v>210</v>
      </c>
      <c r="H47" s="10" t="n">
        <v>0</v>
      </c>
      <c r="I47" s="10" t="n">
        <v>0</v>
      </c>
      <c r="J47" s="11" t="s">
        <v>211</v>
      </c>
      <c r="K47" s="11" t="s">
        <v>211</v>
      </c>
      <c r="L47" s="11" t="s">
        <v>211</v>
      </c>
      <c r="M47" s="11" t="s">
        <v>211</v>
      </c>
      <c r="N47" s="11" t="s">
        <v>211</v>
      </c>
      <c r="O47" s="6" t="s">
        <v>408</v>
      </c>
      <c r="P47" s="6"/>
    </row>
    <row r="48" customFormat="false" ht="23.25" hidden="false" customHeight="true" outlineLevel="0" collapsed="false">
      <c r="A48" s="6" t="s">
        <v>409</v>
      </c>
      <c r="B48" s="6" t="s">
        <v>405</v>
      </c>
      <c r="C48" s="6" t="s">
        <v>232</v>
      </c>
      <c r="D48" s="6" t="s">
        <v>410</v>
      </c>
      <c r="E48" s="6" t="s">
        <v>411</v>
      </c>
      <c r="F48" s="6" t="s">
        <v>209</v>
      </c>
      <c r="G48" s="10" t="s">
        <v>210</v>
      </c>
      <c r="H48" s="10" t="n">
        <v>0</v>
      </c>
      <c r="I48" s="10" t="n">
        <v>0</v>
      </c>
      <c r="J48" s="11" t="s">
        <v>211</v>
      </c>
      <c r="K48" s="11" t="s">
        <v>211</v>
      </c>
      <c r="L48" s="11" t="s">
        <v>211</v>
      </c>
      <c r="M48" s="11" t="s">
        <v>211</v>
      </c>
      <c r="N48" s="11" t="s">
        <v>212</v>
      </c>
      <c r="O48" s="6" t="s">
        <v>412</v>
      </c>
      <c r="P48" s="6"/>
    </row>
    <row r="49" customFormat="false" ht="15" hidden="false" customHeight="true" outlineLevel="0" collapsed="false">
      <c r="A49" s="12" t="s">
        <v>413</v>
      </c>
      <c r="B49" s="6" t="s">
        <v>405</v>
      </c>
      <c r="C49" s="6" t="s">
        <v>206</v>
      </c>
      <c r="D49" s="6" t="s">
        <v>414</v>
      </c>
      <c r="E49" s="6" t="s">
        <v>415</v>
      </c>
      <c r="F49" s="12" t="s">
        <v>257</v>
      </c>
      <c r="G49" s="10" t="s">
        <v>258</v>
      </c>
      <c r="H49" s="10" t="n">
        <v>0</v>
      </c>
      <c r="I49" s="10" t="n">
        <v>0</v>
      </c>
      <c r="J49" s="11" t="s">
        <v>87</v>
      </c>
      <c r="K49" s="11" t="s">
        <v>87</v>
      </c>
      <c r="L49" s="11" t="s">
        <v>87</v>
      </c>
      <c r="M49" s="11" t="s">
        <v>87</v>
      </c>
      <c r="N49" s="11" t="s">
        <v>87</v>
      </c>
      <c r="O49" s="6" t="s">
        <v>416</v>
      </c>
      <c r="P49" s="6"/>
    </row>
    <row r="50" customFormat="false" ht="15" hidden="false" customHeight="true" outlineLevel="0" collapsed="false">
      <c r="A50" s="12" t="s">
        <v>417</v>
      </c>
      <c r="B50" s="6" t="s">
        <v>405</v>
      </c>
      <c r="C50" s="6" t="s">
        <v>206</v>
      </c>
      <c r="D50" s="6" t="s">
        <v>418</v>
      </c>
      <c r="E50" s="6" t="s">
        <v>415</v>
      </c>
      <c r="F50" s="12" t="s">
        <v>257</v>
      </c>
      <c r="G50" s="10" t="s">
        <v>258</v>
      </c>
      <c r="H50" s="10" t="n">
        <v>0</v>
      </c>
      <c r="I50" s="10" t="n">
        <v>0</v>
      </c>
      <c r="J50" s="11" t="s">
        <v>87</v>
      </c>
      <c r="K50" s="11" t="s">
        <v>87</v>
      </c>
      <c r="L50" s="11" t="s">
        <v>87</v>
      </c>
      <c r="M50" s="11" t="s">
        <v>87</v>
      </c>
      <c r="N50" s="11" t="s">
        <v>87</v>
      </c>
      <c r="O50" s="6" t="s">
        <v>419</v>
      </c>
      <c r="P50" s="6"/>
    </row>
    <row r="51" customFormat="false" ht="15" hidden="false" customHeight="true" outlineLevel="0" collapsed="false">
      <c r="A51" s="12" t="s">
        <v>420</v>
      </c>
      <c r="B51" s="6" t="s">
        <v>405</v>
      </c>
      <c r="C51" s="6" t="s">
        <v>206</v>
      </c>
      <c r="D51" s="6" t="s">
        <v>421</v>
      </c>
      <c r="E51" s="6" t="s">
        <v>415</v>
      </c>
      <c r="F51" s="12" t="s">
        <v>257</v>
      </c>
      <c r="G51" s="10" t="s">
        <v>258</v>
      </c>
      <c r="H51" s="10" t="n">
        <v>0</v>
      </c>
      <c r="I51" s="10" t="n">
        <v>0</v>
      </c>
      <c r="J51" s="11" t="s">
        <v>87</v>
      </c>
      <c r="K51" s="11" t="s">
        <v>87</v>
      </c>
      <c r="L51" s="11" t="s">
        <v>87</v>
      </c>
      <c r="M51" s="11" t="s">
        <v>87</v>
      </c>
      <c r="N51" s="11" t="s">
        <v>87</v>
      </c>
      <c r="O51" s="6" t="s">
        <v>419</v>
      </c>
      <c r="P51" s="6"/>
    </row>
    <row r="52" customFormat="false" ht="23.25" hidden="false" customHeight="true" outlineLevel="0" collapsed="false">
      <c r="A52" s="12" t="s">
        <v>422</v>
      </c>
      <c r="B52" s="6" t="s">
        <v>405</v>
      </c>
      <c r="C52" s="6" t="s">
        <v>232</v>
      </c>
      <c r="D52" s="6" t="s">
        <v>423</v>
      </c>
      <c r="E52" s="6" t="s">
        <v>424</v>
      </c>
      <c r="F52" s="12" t="s">
        <v>257</v>
      </c>
      <c r="G52" s="10" t="s">
        <v>258</v>
      </c>
      <c r="H52" s="10" t="n">
        <v>0</v>
      </c>
      <c r="I52" s="10" t="n">
        <v>0</v>
      </c>
      <c r="J52" s="11" t="s">
        <v>87</v>
      </c>
      <c r="K52" s="11" t="s">
        <v>87</v>
      </c>
      <c r="L52" s="11" t="s">
        <v>87</v>
      </c>
      <c r="M52" s="11" t="s">
        <v>87</v>
      </c>
      <c r="N52" s="11" t="s">
        <v>87</v>
      </c>
      <c r="O52" s="6" t="s">
        <v>419</v>
      </c>
      <c r="P52" s="6"/>
    </row>
    <row r="53" customFormat="false" ht="15" hidden="false" customHeight="true" outlineLevel="0" collapsed="false">
      <c r="A53" s="12" t="s">
        <v>425</v>
      </c>
      <c r="B53" s="6" t="s">
        <v>405</v>
      </c>
      <c r="C53" s="6" t="s">
        <v>206</v>
      </c>
      <c r="D53" s="6" t="s">
        <v>426</v>
      </c>
      <c r="E53" s="6" t="s">
        <v>427</v>
      </c>
      <c r="F53" s="12" t="s">
        <v>257</v>
      </c>
      <c r="G53" s="10" t="s">
        <v>258</v>
      </c>
      <c r="H53" s="10" t="n">
        <v>0</v>
      </c>
      <c r="I53" s="10" t="n">
        <v>0</v>
      </c>
      <c r="J53" s="11" t="s">
        <v>87</v>
      </c>
      <c r="K53" s="11" t="s">
        <v>87</v>
      </c>
      <c r="L53" s="11" t="s">
        <v>87</v>
      </c>
      <c r="M53" s="11" t="s">
        <v>87</v>
      </c>
      <c r="N53" s="11" t="s">
        <v>87</v>
      </c>
      <c r="O53" s="6" t="s">
        <v>428</v>
      </c>
      <c r="P53" s="6"/>
    </row>
    <row r="54" customFormat="false" ht="15" hidden="false" customHeight="true" outlineLevel="0" collapsed="false">
      <c r="A54" s="12" t="s">
        <v>429</v>
      </c>
      <c r="B54" s="6" t="s">
        <v>405</v>
      </c>
      <c r="C54" s="6" t="s">
        <v>232</v>
      </c>
      <c r="D54" s="6" t="s">
        <v>430</v>
      </c>
      <c r="E54" s="6" t="s">
        <v>431</v>
      </c>
      <c r="F54" s="12" t="s">
        <v>257</v>
      </c>
      <c r="G54" s="10" t="s">
        <v>258</v>
      </c>
      <c r="H54" s="10" t="n">
        <v>0</v>
      </c>
      <c r="I54" s="10" t="n">
        <v>0</v>
      </c>
      <c r="J54" s="11" t="s">
        <v>87</v>
      </c>
      <c r="K54" s="11" t="s">
        <v>87</v>
      </c>
      <c r="L54" s="11" t="s">
        <v>87</v>
      </c>
      <c r="M54" s="11" t="s">
        <v>87</v>
      </c>
      <c r="N54" s="11" t="s">
        <v>87</v>
      </c>
      <c r="O54" s="6" t="s">
        <v>428</v>
      </c>
      <c r="P54" s="6"/>
    </row>
    <row r="55" customFormat="false" ht="15" hidden="false" customHeight="true" outlineLevel="0" collapsed="false">
      <c r="A55" s="12" t="s">
        <v>432</v>
      </c>
      <c r="B55" s="6" t="s">
        <v>405</v>
      </c>
      <c r="C55" s="6" t="s">
        <v>232</v>
      </c>
      <c r="D55" s="6" t="s">
        <v>433</v>
      </c>
      <c r="E55" s="6" t="s">
        <v>434</v>
      </c>
      <c r="F55" s="12" t="s">
        <v>257</v>
      </c>
      <c r="G55" s="10" t="s">
        <v>258</v>
      </c>
      <c r="H55" s="10" t="n">
        <v>0</v>
      </c>
      <c r="I55" s="10" t="n">
        <v>0</v>
      </c>
      <c r="J55" s="11" t="s">
        <v>87</v>
      </c>
      <c r="K55" s="11" t="s">
        <v>87</v>
      </c>
      <c r="L55" s="11" t="s">
        <v>87</v>
      </c>
      <c r="M55" s="11" t="s">
        <v>87</v>
      </c>
      <c r="N55" s="11" t="s">
        <v>87</v>
      </c>
      <c r="O55" s="6" t="s">
        <v>428</v>
      </c>
      <c r="P55" s="6"/>
    </row>
    <row r="56" customFormat="false" ht="15" hidden="false" customHeight="true" outlineLevel="0" collapsed="false">
      <c r="A56" s="12" t="s">
        <v>435</v>
      </c>
      <c r="B56" s="6" t="s">
        <v>405</v>
      </c>
      <c r="C56" s="6" t="s">
        <v>287</v>
      </c>
      <c r="D56" s="6" t="s">
        <v>436</v>
      </c>
      <c r="E56" s="6" t="s">
        <v>437</v>
      </c>
      <c r="F56" s="12" t="s">
        <v>257</v>
      </c>
      <c r="G56" s="10" t="s">
        <v>258</v>
      </c>
      <c r="H56" s="10" t="n">
        <v>0</v>
      </c>
      <c r="I56" s="10" t="n">
        <v>0</v>
      </c>
      <c r="J56" s="11" t="s">
        <v>87</v>
      </c>
      <c r="K56" s="11" t="s">
        <v>87</v>
      </c>
      <c r="L56" s="11" t="s">
        <v>87</v>
      </c>
      <c r="M56" s="11" t="s">
        <v>87</v>
      </c>
      <c r="N56" s="11" t="s">
        <v>87</v>
      </c>
      <c r="O56" s="6" t="s">
        <v>428</v>
      </c>
      <c r="P56" s="6"/>
    </row>
    <row r="57" customFormat="false" ht="23.25" hidden="false" customHeight="true" outlineLevel="0" collapsed="false">
      <c r="A57" s="12" t="s">
        <v>438</v>
      </c>
      <c r="B57" s="6" t="s">
        <v>405</v>
      </c>
      <c r="C57" s="6" t="s">
        <v>287</v>
      </c>
      <c r="D57" s="6" t="s">
        <v>439</v>
      </c>
      <c r="E57" s="6" t="s">
        <v>440</v>
      </c>
      <c r="F57" s="12" t="s">
        <v>257</v>
      </c>
      <c r="G57" s="10" t="s">
        <v>258</v>
      </c>
      <c r="H57" s="10" t="n">
        <v>0</v>
      </c>
      <c r="I57" s="10" t="n">
        <v>0</v>
      </c>
      <c r="J57" s="11" t="s">
        <v>87</v>
      </c>
      <c r="K57" s="11" t="s">
        <v>87</v>
      </c>
      <c r="L57" s="11" t="s">
        <v>87</v>
      </c>
      <c r="M57" s="11" t="s">
        <v>87</v>
      </c>
      <c r="N57" s="11" t="s">
        <v>87</v>
      </c>
      <c r="O57" s="6" t="s">
        <v>428</v>
      </c>
      <c r="P57" s="6"/>
    </row>
    <row r="58" customFormat="false" ht="15" hidden="false" customHeight="true" outlineLevel="0" collapsed="false">
      <c r="A58" s="12" t="s">
        <v>441</v>
      </c>
      <c r="B58" s="6" t="s">
        <v>405</v>
      </c>
      <c r="C58" s="6" t="s">
        <v>287</v>
      </c>
      <c r="D58" s="6" t="s">
        <v>442</v>
      </c>
      <c r="E58" s="6" t="s">
        <v>443</v>
      </c>
      <c r="F58" s="12" t="s">
        <v>257</v>
      </c>
      <c r="G58" s="10" t="s">
        <v>258</v>
      </c>
      <c r="H58" s="10" t="n">
        <v>0</v>
      </c>
      <c r="I58" s="10" t="n">
        <v>0</v>
      </c>
      <c r="J58" s="11" t="s">
        <v>87</v>
      </c>
      <c r="K58" s="11" t="s">
        <v>87</v>
      </c>
      <c r="L58" s="11" t="s">
        <v>87</v>
      </c>
      <c r="M58" s="11" t="s">
        <v>87</v>
      </c>
      <c r="N58" s="11" t="s">
        <v>87</v>
      </c>
      <c r="O58" s="6" t="s">
        <v>428</v>
      </c>
      <c r="P58" s="6"/>
    </row>
    <row r="59" customFormat="false" ht="15" hidden="false" customHeight="true" outlineLevel="0" collapsed="false">
      <c r="A59" s="12" t="s">
        <v>444</v>
      </c>
      <c r="B59" s="6" t="s">
        <v>405</v>
      </c>
      <c r="C59" s="6" t="s">
        <v>206</v>
      </c>
      <c r="D59" s="6" t="s">
        <v>445</v>
      </c>
      <c r="E59" s="6" t="s">
        <v>446</v>
      </c>
      <c r="F59" s="12" t="s">
        <v>257</v>
      </c>
      <c r="G59" s="10" t="s">
        <v>258</v>
      </c>
      <c r="H59" s="10" t="n">
        <v>0</v>
      </c>
      <c r="I59" s="10" t="n">
        <v>0</v>
      </c>
      <c r="J59" s="11" t="s">
        <v>87</v>
      </c>
      <c r="K59" s="11" t="s">
        <v>87</v>
      </c>
      <c r="L59" s="11" t="s">
        <v>87</v>
      </c>
      <c r="M59" s="11" t="s">
        <v>87</v>
      </c>
      <c r="N59" s="11" t="s">
        <v>87</v>
      </c>
      <c r="O59" s="6" t="s">
        <v>428</v>
      </c>
      <c r="P59" s="6"/>
    </row>
    <row r="60" customFormat="false" ht="15" hidden="false" customHeight="true" outlineLevel="0" collapsed="false">
      <c r="A60" s="12" t="s">
        <v>447</v>
      </c>
      <c r="B60" s="6" t="s">
        <v>405</v>
      </c>
      <c r="C60" s="6" t="s">
        <v>232</v>
      </c>
      <c r="D60" s="6" t="s">
        <v>448</v>
      </c>
      <c r="E60" s="6" t="s">
        <v>449</v>
      </c>
      <c r="F60" s="12" t="s">
        <v>257</v>
      </c>
      <c r="G60" s="10" t="s">
        <v>258</v>
      </c>
      <c r="H60" s="10" t="n">
        <v>0</v>
      </c>
      <c r="I60" s="10" t="n">
        <v>0</v>
      </c>
      <c r="J60" s="11" t="s">
        <v>87</v>
      </c>
      <c r="K60" s="11" t="s">
        <v>87</v>
      </c>
      <c r="L60" s="11" t="s">
        <v>87</v>
      </c>
      <c r="M60" s="11" t="s">
        <v>87</v>
      </c>
      <c r="N60" s="11" t="s">
        <v>87</v>
      </c>
      <c r="O60" s="6" t="s">
        <v>428</v>
      </c>
      <c r="P60" s="6" t="s">
        <v>450</v>
      </c>
    </row>
    <row r="61" customFormat="false" ht="15" hidden="false" customHeight="true" outlineLevel="0" collapsed="false">
      <c r="A61" s="12" t="s">
        <v>451</v>
      </c>
      <c r="B61" s="6" t="s">
        <v>405</v>
      </c>
      <c r="C61" s="6" t="s">
        <v>287</v>
      </c>
      <c r="D61" s="6" t="s">
        <v>452</v>
      </c>
      <c r="E61" s="6" t="s">
        <v>453</v>
      </c>
      <c r="F61" s="12" t="s">
        <v>257</v>
      </c>
      <c r="G61" s="10" t="s">
        <v>258</v>
      </c>
      <c r="H61" s="10" t="n">
        <v>0</v>
      </c>
      <c r="I61" s="10" t="n">
        <v>0</v>
      </c>
      <c r="J61" s="11" t="s">
        <v>87</v>
      </c>
      <c r="K61" s="11" t="s">
        <v>87</v>
      </c>
      <c r="L61" s="11" t="s">
        <v>87</v>
      </c>
      <c r="M61" s="11" t="s">
        <v>87</v>
      </c>
      <c r="N61" s="11" t="s">
        <v>87</v>
      </c>
      <c r="O61" s="6" t="s">
        <v>428</v>
      </c>
      <c r="P61" s="6"/>
    </row>
    <row r="62" customFormat="false" ht="23.25" hidden="false" customHeight="true" outlineLevel="0" collapsed="false">
      <c r="A62" s="6" t="s">
        <v>454</v>
      </c>
      <c r="B62" s="6" t="s">
        <v>455</v>
      </c>
      <c r="C62" s="6" t="s">
        <v>206</v>
      </c>
      <c r="D62" s="6" t="s">
        <v>456</v>
      </c>
      <c r="E62" s="6" t="s">
        <v>457</v>
      </c>
      <c r="F62" s="6" t="s">
        <v>209</v>
      </c>
      <c r="G62" s="10" t="s">
        <v>210</v>
      </c>
      <c r="H62" s="10" t="n">
        <v>1</v>
      </c>
      <c r="I62" s="10" t="n">
        <v>0</v>
      </c>
      <c r="J62" s="11" t="s">
        <v>87</v>
      </c>
      <c r="K62" s="11" t="s">
        <v>87</v>
      </c>
      <c r="L62" s="11" t="s">
        <v>87</v>
      </c>
      <c r="M62" s="11" t="s">
        <v>87</v>
      </c>
      <c r="N62" s="11" t="s">
        <v>211</v>
      </c>
      <c r="O62" s="6" t="s">
        <v>458</v>
      </c>
      <c r="P62" s="6" t="s">
        <v>459</v>
      </c>
    </row>
    <row r="63" customFormat="false" ht="15" hidden="false" customHeight="true" outlineLevel="0" collapsed="false">
      <c r="A63" s="6" t="s">
        <v>460</v>
      </c>
      <c r="B63" s="6" t="s">
        <v>455</v>
      </c>
      <c r="C63" s="6" t="s">
        <v>206</v>
      </c>
      <c r="D63" s="6" t="s">
        <v>461</v>
      </c>
      <c r="E63" s="6" t="s">
        <v>462</v>
      </c>
      <c r="F63" s="6" t="s">
        <v>235</v>
      </c>
      <c r="G63" s="10" t="s">
        <v>210</v>
      </c>
      <c r="H63" s="10" t="n">
        <v>0</v>
      </c>
      <c r="I63" s="10" t="n">
        <v>0</v>
      </c>
      <c r="J63" s="11" t="s">
        <v>87</v>
      </c>
      <c r="K63" s="11" t="s">
        <v>87</v>
      </c>
      <c r="L63" s="11" t="s">
        <v>87</v>
      </c>
      <c r="M63" s="11" t="s">
        <v>87</v>
      </c>
      <c r="N63" s="11" t="s">
        <v>212</v>
      </c>
      <c r="O63" s="6" t="s">
        <v>463</v>
      </c>
      <c r="P63" s="6" t="s">
        <v>464</v>
      </c>
    </row>
    <row r="64" customFormat="false" ht="15" hidden="false" customHeight="true" outlineLevel="0" collapsed="false">
      <c r="A64" s="6" t="s">
        <v>465</v>
      </c>
      <c r="B64" s="6" t="s">
        <v>455</v>
      </c>
      <c r="C64" s="6" t="s">
        <v>206</v>
      </c>
      <c r="D64" s="6" t="s">
        <v>466</v>
      </c>
      <c r="E64" s="6" t="s">
        <v>467</v>
      </c>
      <c r="F64" s="6" t="s">
        <v>235</v>
      </c>
      <c r="G64" s="10" t="s">
        <v>210</v>
      </c>
      <c r="H64" s="10" t="n">
        <v>0</v>
      </c>
      <c r="I64" s="10" t="n">
        <v>0</v>
      </c>
      <c r="J64" s="11" t="s">
        <v>212</v>
      </c>
      <c r="K64" s="11" t="s">
        <v>212</v>
      </c>
      <c r="L64" s="11" t="s">
        <v>87</v>
      </c>
      <c r="M64" s="11" t="s">
        <v>87</v>
      </c>
      <c r="N64" s="11" t="s">
        <v>212</v>
      </c>
      <c r="O64" s="6" t="s">
        <v>468</v>
      </c>
      <c r="P64" s="6" t="s">
        <v>464</v>
      </c>
    </row>
    <row r="65" customFormat="false" ht="15" hidden="false" customHeight="true" outlineLevel="0" collapsed="false">
      <c r="A65" s="12" t="s">
        <v>469</v>
      </c>
      <c r="B65" s="6" t="s">
        <v>455</v>
      </c>
      <c r="C65" s="6" t="s">
        <v>206</v>
      </c>
      <c r="D65" s="6" t="s">
        <v>470</v>
      </c>
      <c r="E65" s="6" t="s">
        <v>471</v>
      </c>
      <c r="F65" s="12" t="s">
        <v>257</v>
      </c>
      <c r="G65" s="10" t="s">
        <v>258</v>
      </c>
      <c r="H65" s="10" t="n">
        <v>0</v>
      </c>
      <c r="I65" s="10" t="n">
        <v>0</v>
      </c>
      <c r="J65" s="11" t="s">
        <v>87</v>
      </c>
      <c r="K65" s="11" t="s">
        <v>87</v>
      </c>
      <c r="L65" s="11" t="s">
        <v>87</v>
      </c>
      <c r="M65" s="11" t="s">
        <v>87</v>
      </c>
      <c r="N65" s="11" t="s">
        <v>87</v>
      </c>
      <c r="O65" s="6" t="s">
        <v>472</v>
      </c>
      <c r="P65" s="6" t="s">
        <v>464</v>
      </c>
    </row>
    <row r="66" customFormat="false" ht="15" hidden="false" customHeight="true" outlineLevel="0" collapsed="false">
      <c r="A66" s="12" t="s">
        <v>473</v>
      </c>
      <c r="B66" s="6" t="s">
        <v>455</v>
      </c>
      <c r="C66" s="6" t="s">
        <v>206</v>
      </c>
      <c r="D66" s="6" t="s">
        <v>474</v>
      </c>
      <c r="E66" s="6" t="s">
        <v>475</v>
      </c>
      <c r="F66" s="12" t="s">
        <v>257</v>
      </c>
      <c r="G66" s="10" t="s">
        <v>258</v>
      </c>
      <c r="H66" s="10" t="n">
        <v>0</v>
      </c>
      <c r="I66" s="10" t="n">
        <v>0</v>
      </c>
      <c r="J66" s="11" t="s">
        <v>87</v>
      </c>
      <c r="K66" s="11" t="s">
        <v>87</v>
      </c>
      <c r="L66" s="11" t="s">
        <v>87</v>
      </c>
      <c r="M66" s="11" t="s">
        <v>87</v>
      </c>
      <c r="N66" s="11" t="s">
        <v>87</v>
      </c>
      <c r="O66" s="6" t="s">
        <v>476</v>
      </c>
      <c r="P66" s="6" t="s">
        <v>464</v>
      </c>
    </row>
    <row r="67" customFormat="false" ht="15" hidden="false" customHeight="true" outlineLevel="0" collapsed="false">
      <c r="A67" s="6" t="s">
        <v>477</v>
      </c>
      <c r="B67" s="6" t="s">
        <v>455</v>
      </c>
      <c r="C67" s="6" t="s">
        <v>206</v>
      </c>
      <c r="D67" s="6" t="s">
        <v>478</v>
      </c>
      <c r="E67" s="6" t="s">
        <v>479</v>
      </c>
      <c r="F67" s="6" t="s">
        <v>235</v>
      </c>
      <c r="G67" s="10" t="s">
        <v>210</v>
      </c>
      <c r="H67" s="10" t="n">
        <v>0</v>
      </c>
      <c r="I67" s="10" t="n">
        <v>0</v>
      </c>
      <c r="J67" s="11" t="s">
        <v>212</v>
      </c>
      <c r="K67" s="11" t="s">
        <v>212</v>
      </c>
      <c r="L67" s="11" t="s">
        <v>87</v>
      </c>
      <c r="M67" s="11" t="s">
        <v>87</v>
      </c>
      <c r="N67" s="11" t="s">
        <v>87</v>
      </c>
      <c r="O67" s="6" t="s">
        <v>480</v>
      </c>
      <c r="P67" s="6" t="s">
        <v>464</v>
      </c>
    </row>
    <row r="68" customFormat="false" ht="15" hidden="false" customHeight="true" outlineLevel="0" collapsed="false">
      <c r="A68" s="12" t="s">
        <v>481</v>
      </c>
      <c r="B68" s="6" t="s">
        <v>455</v>
      </c>
      <c r="C68" s="6" t="s">
        <v>206</v>
      </c>
      <c r="D68" s="6" t="s">
        <v>482</v>
      </c>
      <c r="E68" s="6" t="s">
        <v>483</v>
      </c>
      <c r="F68" s="12" t="s">
        <v>257</v>
      </c>
      <c r="G68" s="10" t="s">
        <v>258</v>
      </c>
      <c r="H68" s="10" t="n">
        <v>0</v>
      </c>
      <c r="I68" s="10" t="n">
        <v>0</v>
      </c>
      <c r="J68" s="11" t="s">
        <v>87</v>
      </c>
      <c r="K68" s="11" t="s">
        <v>87</v>
      </c>
      <c r="L68" s="11" t="s">
        <v>87</v>
      </c>
      <c r="M68" s="11" t="s">
        <v>87</v>
      </c>
      <c r="N68" s="11" t="s">
        <v>87</v>
      </c>
      <c r="O68" s="6" t="s">
        <v>355</v>
      </c>
      <c r="P68" s="6" t="s">
        <v>464</v>
      </c>
    </row>
    <row r="69" customFormat="false" ht="23.25" hidden="false" customHeight="true" outlineLevel="0" collapsed="false">
      <c r="A69" s="12" t="s">
        <v>484</v>
      </c>
      <c r="B69" s="6" t="s">
        <v>485</v>
      </c>
      <c r="C69" s="6" t="s">
        <v>206</v>
      </c>
      <c r="D69" s="6" t="s">
        <v>486</v>
      </c>
      <c r="E69" s="6" t="s">
        <v>487</v>
      </c>
      <c r="F69" s="12" t="s">
        <v>257</v>
      </c>
      <c r="G69" s="10" t="s">
        <v>258</v>
      </c>
      <c r="H69" s="10" t="n">
        <v>0</v>
      </c>
      <c r="I69" s="10" t="n">
        <v>0</v>
      </c>
      <c r="J69" s="11" t="s">
        <v>87</v>
      </c>
      <c r="K69" s="11" t="s">
        <v>87</v>
      </c>
      <c r="L69" s="11" t="s">
        <v>87</v>
      </c>
      <c r="M69" s="11" t="s">
        <v>87</v>
      </c>
      <c r="N69" s="11" t="s">
        <v>87</v>
      </c>
      <c r="O69" s="6" t="s">
        <v>488</v>
      </c>
      <c r="P69" s="6"/>
    </row>
    <row r="70" customFormat="false" ht="15" hidden="false" customHeight="true" outlineLevel="0" collapsed="false">
      <c r="A70" s="6" t="s">
        <v>489</v>
      </c>
      <c r="B70" s="6" t="s">
        <v>485</v>
      </c>
      <c r="C70" s="6" t="s">
        <v>206</v>
      </c>
      <c r="D70" s="6" t="s">
        <v>490</v>
      </c>
      <c r="E70" s="6" t="s">
        <v>491</v>
      </c>
      <c r="F70" s="6" t="s">
        <v>235</v>
      </c>
      <c r="G70" s="10" t="s">
        <v>210</v>
      </c>
      <c r="H70" s="10" t="n">
        <v>0</v>
      </c>
      <c r="I70" s="10" t="n">
        <v>0</v>
      </c>
      <c r="J70" s="11" t="s">
        <v>212</v>
      </c>
      <c r="K70" s="11" t="s">
        <v>212</v>
      </c>
      <c r="L70" s="11" t="s">
        <v>87</v>
      </c>
      <c r="M70" s="11" t="s">
        <v>212</v>
      </c>
      <c r="N70" s="11" t="s">
        <v>212</v>
      </c>
      <c r="O70" s="6" t="s">
        <v>491</v>
      </c>
      <c r="P70" s="6"/>
    </row>
    <row r="71" customFormat="false" ht="15" hidden="false" customHeight="true" outlineLevel="0" collapsed="false">
      <c r="A71" s="12" t="s">
        <v>492</v>
      </c>
      <c r="B71" s="6" t="s">
        <v>485</v>
      </c>
      <c r="C71" s="6" t="s">
        <v>206</v>
      </c>
      <c r="D71" s="6" t="s">
        <v>493</v>
      </c>
      <c r="E71" s="6" t="s">
        <v>494</v>
      </c>
      <c r="F71" s="12" t="s">
        <v>257</v>
      </c>
      <c r="G71" s="10" t="s">
        <v>258</v>
      </c>
      <c r="H71" s="10" t="n">
        <v>0</v>
      </c>
      <c r="I71" s="10" t="n">
        <v>0</v>
      </c>
      <c r="J71" s="11" t="s">
        <v>87</v>
      </c>
      <c r="K71" s="11" t="s">
        <v>87</v>
      </c>
      <c r="L71" s="11" t="s">
        <v>87</v>
      </c>
      <c r="M71" s="11" t="s">
        <v>87</v>
      </c>
      <c r="N71" s="11" t="s">
        <v>87</v>
      </c>
      <c r="O71" s="6" t="s">
        <v>494</v>
      </c>
      <c r="P71" s="6"/>
    </row>
    <row r="72" customFormat="false" ht="34.5" hidden="false" customHeight="true" outlineLevel="0" collapsed="false">
      <c r="A72" s="6" t="s">
        <v>495</v>
      </c>
      <c r="B72" s="6" t="s">
        <v>496</v>
      </c>
      <c r="C72" s="6" t="s">
        <v>206</v>
      </c>
      <c r="D72" s="6" t="s">
        <v>497</v>
      </c>
      <c r="E72" s="6" t="s">
        <v>498</v>
      </c>
      <c r="F72" s="6" t="s">
        <v>209</v>
      </c>
      <c r="G72" s="10" t="s">
        <v>210</v>
      </c>
      <c r="H72" s="10" t="n">
        <v>1</v>
      </c>
      <c r="I72" s="10" t="n">
        <v>0</v>
      </c>
      <c r="J72" s="11" t="s">
        <v>212</v>
      </c>
      <c r="K72" s="11" t="s">
        <v>212</v>
      </c>
      <c r="L72" s="11" t="s">
        <v>212</v>
      </c>
      <c r="M72" s="11" t="s">
        <v>212</v>
      </c>
      <c r="N72" s="11" t="s">
        <v>212</v>
      </c>
      <c r="O72" s="6" t="s">
        <v>499</v>
      </c>
      <c r="P72" s="6" t="s">
        <v>500</v>
      </c>
    </row>
    <row r="73" customFormat="false" ht="34.5" hidden="false" customHeight="true" outlineLevel="0" collapsed="false">
      <c r="A73" s="6" t="s">
        <v>501</v>
      </c>
      <c r="B73" s="6" t="s">
        <v>496</v>
      </c>
      <c r="C73" s="6" t="s">
        <v>206</v>
      </c>
      <c r="D73" s="6" t="s">
        <v>502</v>
      </c>
      <c r="E73" s="6" t="s">
        <v>503</v>
      </c>
      <c r="F73" s="6" t="s">
        <v>235</v>
      </c>
      <c r="G73" s="10" t="s">
        <v>210</v>
      </c>
      <c r="H73" s="10" t="n">
        <v>1</v>
      </c>
      <c r="I73" s="10" t="n">
        <v>0</v>
      </c>
      <c r="J73" s="11" t="s">
        <v>212</v>
      </c>
      <c r="K73" s="11" t="s">
        <v>212</v>
      </c>
      <c r="L73" s="11" t="s">
        <v>212</v>
      </c>
      <c r="M73" s="11" t="s">
        <v>212</v>
      </c>
      <c r="N73" s="11" t="s">
        <v>212</v>
      </c>
      <c r="O73" s="6" t="s">
        <v>504</v>
      </c>
      <c r="P73" s="6" t="s">
        <v>505</v>
      </c>
    </row>
  </sheetData>
  <autoFilter ref="A1:P73"/>
  <dataValidations count="4">
    <dataValidation allowBlank="false" errorStyle="stop" operator="between" showDropDown="false" showErrorMessage="false" showInputMessage="false" sqref="J2:N73" type="list">
      <formula1>"B,F,S,-"</formula1>
      <formula2>0</formula2>
    </dataValidation>
    <dataValidation allowBlank="false" errorStyle="stop" operator="between" showDropDown="false" showErrorMessage="false" showInputMessage="false" sqref="G2:G73" type="list">
      <formula1>"Y,N"</formula1>
      <formula2>0</formula2>
    </dataValidation>
    <dataValidation allowBlank="false" errorStyle="stop" operator="between" showDropDown="false" showErrorMessage="false" showInputMessage="false" sqref="F2:F73" type="list">
      <formula1>"Include,Test,Exclude"</formula1>
      <formula2>0</formula2>
    </dataValidation>
    <dataValidation allowBlank="false" errorStyle="stop" operator="between" showDropDown="false" showErrorMessage="false" showInputMessage="false" sqref="H2:I73" type="list">
      <formula1>"-1,0,1"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8"/>
    <col collapsed="false" customWidth="true" hidden="false" outlineLevel="0" max="4" min="4" style="1" width="38"/>
    <col collapsed="false" customWidth="true" hidden="false" outlineLevel="0" max="5" min="5" style="1" width="30"/>
    <col collapsed="false" customWidth="true" hidden="false" outlineLevel="0" max="6" min="6" style="1" width="10"/>
    <col collapsed="false" customWidth="true" hidden="false" outlineLevel="0" max="7" min="7" style="1" width="6"/>
    <col collapsed="false" customWidth="true" hidden="false" outlineLevel="0" max="9" min="8" style="1" width="9"/>
    <col collapsed="false" customWidth="true" hidden="false" outlineLevel="0" max="15" min="10" style="1" width="11"/>
    <col collapsed="false" customWidth="true" hidden="false" outlineLevel="0" max="16" min="16" style="1" width="48"/>
    <col collapsed="false" customWidth="true" hidden="false" outlineLevel="0" max="17" min="17" style="1" width="40"/>
  </cols>
  <sheetData>
    <row r="1" customFormat="false" ht="30" hidden="false" customHeight="true" outlineLevel="0" collapsed="false">
      <c r="A1" s="5" t="s">
        <v>194</v>
      </c>
      <c r="B1" s="5" t="s">
        <v>195</v>
      </c>
      <c r="C1" s="5" t="s">
        <v>196</v>
      </c>
      <c r="D1" s="5" t="s">
        <v>197</v>
      </c>
      <c r="E1" s="5" t="s">
        <v>198</v>
      </c>
      <c r="F1" s="5" t="s">
        <v>51</v>
      </c>
      <c r="G1" s="5" t="s">
        <v>199</v>
      </c>
      <c r="H1" s="5" t="s">
        <v>200</v>
      </c>
      <c r="I1" s="5" t="s">
        <v>201</v>
      </c>
      <c r="J1" s="5" t="s">
        <v>40</v>
      </c>
      <c r="K1" s="5" t="s">
        <v>41</v>
      </c>
      <c r="L1" s="5" t="s">
        <v>42</v>
      </c>
      <c r="M1" s="5" t="s">
        <v>43</v>
      </c>
      <c r="N1" s="5" t="s">
        <v>44</v>
      </c>
      <c r="O1" s="5" t="s">
        <v>45</v>
      </c>
      <c r="P1" s="5" t="s">
        <v>202</v>
      </c>
      <c r="Q1" s="5" t="s">
        <v>203</v>
      </c>
    </row>
    <row r="2" customFormat="false" ht="23.25" hidden="false" customHeight="true" outlineLevel="0" collapsed="false">
      <c r="A2" s="6" t="s">
        <v>506</v>
      </c>
      <c r="B2" s="6" t="s">
        <v>507</v>
      </c>
      <c r="C2" s="6" t="s">
        <v>206</v>
      </c>
      <c r="D2" s="6" t="s">
        <v>508</v>
      </c>
      <c r="E2" s="6" t="s">
        <v>509</v>
      </c>
      <c r="F2" s="6" t="s">
        <v>235</v>
      </c>
      <c r="G2" s="10" t="s">
        <v>210</v>
      </c>
      <c r="H2" s="10" t="n">
        <v>0</v>
      </c>
      <c r="I2" s="10" t="n">
        <v>0</v>
      </c>
      <c r="J2" s="11" t="s">
        <v>87</v>
      </c>
      <c r="K2" s="11" t="s">
        <v>87</v>
      </c>
      <c r="L2" s="11" t="s">
        <v>212</v>
      </c>
      <c r="M2" s="11" t="s">
        <v>87</v>
      </c>
      <c r="N2" s="11" t="s">
        <v>212</v>
      </c>
      <c r="O2" s="11" t="s">
        <v>212</v>
      </c>
      <c r="P2" s="6" t="s">
        <v>509</v>
      </c>
      <c r="Q2" s="6" t="s">
        <v>510</v>
      </c>
    </row>
    <row r="3" customFormat="false" ht="23.25" hidden="false" customHeight="true" outlineLevel="0" collapsed="false">
      <c r="A3" s="6" t="s">
        <v>511</v>
      </c>
      <c r="B3" s="6" t="s">
        <v>507</v>
      </c>
      <c r="C3" s="6" t="s">
        <v>206</v>
      </c>
      <c r="D3" s="6" t="s">
        <v>512</v>
      </c>
      <c r="E3" s="6" t="s">
        <v>513</v>
      </c>
      <c r="F3" s="6" t="s">
        <v>209</v>
      </c>
      <c r="G3" s="10" t="s">
        <v>210</v>
      </c>
      <c r="H3" s="10" t="n">
        <v>0</v>
      </c>
      <c r="I3" s="10" t="n">
        <v>1</v>
      </c>
      <c r="J3" s="11" t="s">
        <v>229</v>
      </c>
      <c r="K3" s="11" t="s">
        <v>229</v>
      </c>
      <c r="L3" s="11" t="s">
        <v>211</v>
      </c>
      <c r="M3" s="11" t="s">
        <v>229</v>
      </c>
      <c r="N3" s="11" t="s">
        <v>229</v>
      </c>
      <c r="O3" s="11" t="s">
        <v>229</v>
      </c>
      <c r="P3" s="6" t="s">
        <v>514</v>
      </c>
      <c r="Q3" s="6"/>
    </row>
    <row r="4" customFormat="false" ht="23.25" hidden="false" customHeight="true" outlineLevel="0" collapsed="false">
      <c r="A4" s="6" t="s">
        <v>143</v>
      </c>
      <c r="B4" s="6" t="s">
        <v>515</v>
      </c>
      <c r="C4" s="6" t="s">
        <v>232</v>
      </c>
      <c r="D4" s="6" t="s">
        <v>516</v>
      </c>
      <c r="E4" s="6" t="s">
        <v>517</v>
      </c>
      <c r="F4" s="6" t="s">
        <v>209</v>
      </c>
      <c r="G4" s="10" t="s">
        <v>210</v>
      </c>
      <c r="H4" s="10" t="n">
        <v>0</v>
      </c>
      <c r="I4" s="10" t="n">
        <v>0</v>
      </c>
      <c r="J4" s="11" t="s">
        <v>211</v>
      </c>
      <c r="K4" s="11" t="s">
        <v>87</v>
      </c>
      <c r="L4" s="11" t="s">
        <v>212</v>
      </c>
      <c r="M4" s="11" t="s">
        <v>211</v>
      </c>
      <c r="N4" s="11" t="s">
        <v>211</v>
      </c>
      <c r="O4" s="11" t="s">
        <v>87</v>
      </c>
      <c r="P4" s="6" t="s">
        <v>518</v>
      </c>
      <c r="Q4" s="6" t="s">
        <v>519</v>
      </c>
    </row>
    <row r="5" customFormat="false" ht="15" hidden="false" customHeight="true" outlineLevel="0" collapsed="false">
      <c r="A5" s="6" t="s">
        <v>520</v>
      </c>
      <c r="B5" s="6" t="s">
        <v>515</v>
      </c>
      <c r="C5" s="6" t="s">
        <v>232</v>
      </c>
      <c r="D5" s="6" t="s">
        <v>521</v>
      </c>
      <c r="E5" s="6" t="s">
        <v>522</v>
      </c>
      <c r="F5" s="6" t="s">
        <v>209</v>
      </c>
      <c r="G5" s="10" t="s">
        <v>210</v>
      </c>
      <c r="H5" s="10" t="n">
        <v>0</v>
      </c>
      <c r="I5" s="10" t="n">
        <v>0</v>
      </c>
      <c r="J5" s="11" t="s">
        <v>87</v>
      </c>
      <c r="K5" s="11" t="s">
        <v>87</v>
      </c>
      <c r="L5" s="11" t="s">
        <v>212</v>
      </c>
      <c r="M5" s="11" t="s">
        <v>87</v>
      </c>
      <c r="N5" s="11" t="s">
        <v>212</v>
      </c>
      <c r="O5" s="11" t="s">
        <v>212</v>
      </c>
      <c r="P5" s="6" t="s">
        <v>523</v>
      </c>
      <c r="Q5" s="6"/>
    </row>
    <row r="6" customFormat="false" ht="15" hidden="false" customHeight="true" outlineLevel="0" collapsed="false">
      <c r="A6" s="6" t="s">
        <v>524</v>
      </c>
      <c r="B6" s="6" t="s">
        <v>515</v>
      </c>
      <c r="C6" s="6" t="s">
        <v>206</v>
      </c>
      <c r="D6" s="6" t="s">
        <v>525</v>
      </c>
      <c r="E6" s="6" t="s">
        <v>526</v>
      </c>
      <c r="F6" s="6" t="s">
        <v>209</v>
      </c>
      <c r="G6" s="10" t="s">
        <v>210</v>
      </c>
      <c r="H6" s="10" t="n">
        <v>1</v>
      </c>
      <c r="I6" s="10" t="n">
        <v>0</v>
      </c>
      <c r="J6" s="11" t="s">
        <v>87</v>
      </c>
      <c r="K6" s="11" t="s">
        <v>87</v>
      </c>
      <c r="L6" s="11" t="s">
        <v>211</v>
      </c>
      <c r="M6" s="11" t="s">
        <v>87</v>
      </c>
      <c r="N6" s="11" t="s">
        <v>212</v>
      </c>
      <c r="O6" s="11" t="s">
        <v>87</v>
      </c>
      <c r="P6" s="6" t="s">
        <v>527</v>
      </c>
      <c r="Q6" s="6"/>
    </row>
    <row r="7" customFormat="false" ht="15" hidden="false" customHeight="true" outlineLevel="0" collapsed="false">
      <c r="A7" s="6" t="s">
        <v>528</v>
      </c>
      <c r="B7" s="6" t="s">
        <v>515</v>
      </c>
      <c r="C7" s="6" t="s">
        <v>287</v>
      </c>
      <c r="D7" s="6" t="s">
        <v>529</v>
      </c>
      <c r="E7" s="6" t="s">
        <v>530</v>
      </c>
      <c r="F7" s="6" t="s">
        <v>209</v>
      </c>
      <c r="G7" s="10" t="s">
        <v>210</v>
      </c>
      <c r="H7" s="10" t="n">
        <v>0</v>
      </c>
      <c r="I7" s="10" t="n">
        <v>0</v>
      </c>
      <c r="J7" s="11" t="s">
        <v>87</v>
      </c>
      <c r="K7" s="11" t="s">
        <v>87</v>
      </c>
      <c r="L7" s="11" t="s">
        <v>87</v>
      </c>
      <c r="M7" s="11" t="s">
        <v>87</v>
      </c>
      <c r="N7" s="11" t="s">
        <v>211</v>
      </c>
      <c r="O7" s="11" t="s">
        <v>87</v>
      </c>
      <c r="P7" s="6" t="s">
        <v>531</v>
      </c>
      <c r="Q7" s="6"/>
    </row>
    <row r="8" customFormat="false" ht="23.25" hidden="false" customHeight="true" outlineLevel="0" collapsed="false">
      <c r="A8" s="6" t="s">
        <v>532</v>
      </c>
      <c r="B8" s="6" t="s">
        <v>507</v>
      </c>
      <c r="C8" s="6" t="s">
        <v>287</v>
      </c>
      <c r="D8" s="6" t="s">
        <v>533</v>
      </c>
      <c r="E8" s="6" t="s">
        <v>534</v>
      </c>
      <c r="F8" s="6" t="s">
        <v>209</v>
      </c>
      <c r="G8" s="10" t="s">
        <v>210</v>
      </c>
      <c r="H8" s="10" t="n">
        <v>0</v>
      </c>
      <c r="I8" s="10" t="n">
        <v>0</v>
      </c>
      <c r="J8" s="11" t="s">
        <v>87</v>
      </c>
      <c r="K8" s="11" t="s">
        <v>87</v>
      </c>
      <c r="L8" s="11" t="s">
        <v>87</v>
      </c>
      <c r="M8" s="11" t="s">
        <v>87</v>
      </c>
      <c r="N8" s="11" t="s">
        <v>87</v>
      </c>
      <c r="O8" s="11" t="s">
        <v>211</v>
      </c>
      <c r="P8" s="6" t="s">
        <v>535</v>
      </c>
      <c r="Q8" s="6" t="s">
        <v>536</v>
      </c>
    </row>
    <row r="9" customFormat="false" ht="15" hidden="false" customHeight="true" outlineLevel="0" collapsed="false">
      <c r="A9" s="12" t="s">
        <v>537</v>
      </c>
      <c r="B9" s="6" t="s">
        <v>515</v>
      </c>
      <c r="C9" s="6" t="s">
        <v>287</v>
      </c>
      <c r="D9" s="6" t="s">
        <v>538</v>
      </c>
      <c r="E9" s="6" t="s">
        <v>539</v>
      </c>
      <c r="F9" s="12" t="s">
        <v>257</v>
      </c>
      <c r="G9" s="10" t="s">
        <v>258</v>
      </c>
      <c r="H9" s="10" t="n">
        <v>0</v>
      </c>
      <c r="I9" s="10" t="n">
        <v>0</v>
      </c>
      <c r="J9" s="11" t="s">
        <v>87</v>
      </c>
      <c r="K9" s="11" t="s">
        <v>87</v>
      </c>
      <c r="L9" s="11" t="s">
        <v>87</v>
      </c>
      <c r="M9" s="11" t="s">
        <v>87</v>
      </c>
      <c r="N9" s="11" t="s">
        <v>87</v>
      </c>
      <c r="O9" s="11" t="s">
        <v>87</v>
      </c>
      <c r="P9" s="6" t="s">
        <v>539</v>
      </c>
      <c r="Q9" s="6" t="s">
        <v>540</v>
      </c>
    </row>
    <row r="10" customFormat="false" ht="23.25" hidden="false" customHeight="true" outlineLevel="0" collapsed="false">
      <c r="A10" s="6" t="s">
        <v>299</v>
      </c>
      <c r="B10" s="6" t="s">
        <v>300</v>
      </c>
      <c r="C10" s="6" t="s">
        <v>206</v>
      </c>
      <c r="D10" s="6" t="s">
        <v>301</v>
      </c>
      <c r="E10" s="6" t="s">
        <v>302</v>
      </c>
      <c r="F10" s="6" t="s">
        <v>209</v>
      </c>
      <c r="G10" s="10" t="s">
        <v>210</v>
      </c>
      <c r="H10" s="10" t="n">
        <v>-1</v>
      </c>
      <c r="I10" s="10" t="n">
        <v>0</v>
      </c>
      <c r="J10" s="11" t="s">
        <v>212</v>
      </c>
      <c r="K10" s="11" t="s">
        <v>212</v>
      </c>
      <c r="L10" s="11" t="s">
        <v>211</v>
      </c>
      <c r="M10" s="11" t="s">
        <v>212</v>
      </c>
      <c r="N10" s="11" t="s">
        <v>229</v>
      </c>
      <c r="O10" s="11" t="s">
        <v>211</v>
      </c>
      <c r="P10" s="6" t="s">
        <v>541</v>
      </c>
      <c r="Q10" s="6" t="s">
        <v>304</v>
      </c>
    </row>
    <row r="11" customFormat="false" ht="15" hidden="false" customHeight="true" outlineLevel="0" collapsed="false">
      <c r="A11" s="6" t="s">
        <v>305</v>
      </c>
      <c r="B11" s="6" t="s">
        <v>300</v>
      </c>
      <c r="C11" s="6" t="s">
        <v>206</v>
      </c>
      <c r="D11" s="6" t="s">
        <v>306</v>
      </c>
      <c r="E11" s="6" t="s">
        <v>307</v>
      </c>
      <c r="F11" s="6" t="s">
        <v>209</v>
      </c>
      <c r="G11" s="10" t="s">
        <v>210</v>
      </c>
      <c r="H11" s="10" t="n">
        <v>0</v>
      </c>
      <c r="I11" s="10" t="n">
        <v>0</v>
      </c>
      <c r="J11" s="11" t="s">
        <v>229</v>
      </c>
      <c r="K11" s="11" t="s">
        <v>229</v>
      </c>
      <c r="L11" s="11" t="s">
        <v>229</v>
      </c>
      <c r="M11" s="11" t="s">
        <v>229</v>
      </c>
      <c r="N11" s="11" t="s">
        <v>229</v>
      </c>
      <c r="O11" s="11" t="s">
        <v>229</v>
      </c>
      <c r="P11" s="6" t="s">
        <v>542</v>
      </c>
      <c r="Q11" s="6"/>
    </row>
    <row r="12" customFormat="false" ht="15" hidden="false" customHeight="true" outlineLevel="0" collapsed="false">
      <c r="A12" s="6" t="s">
        <v>309</v>
      </c>
      <c r="B12" s="6" t="s">
        <v>300</v>
      </c>
      <c r="C12" s="6" t="s">
        <v>232</v>
      </c>
      <c r="D12" s="6" t="s">
        <v>310</v>
      </c>
      <c r="E12" s="6" t="s">
        <v>311</v>
      </c>
      <c r="F12" s="6" t="s">
        <v>235</v>
      </c>
      <c r="G12" s="10" t="s">
        <v>210</v>
      </c>
      <c r="H12" s="10" t="n">
        <v>0</v>
      </c>
      <c r="I12" s="10" t="n">
        <v>0</v>
      </c>
      <c r="J12" s="11" t="s">
        <v>212</v>
      </c>
      <c r="K12" s="11" t="s">
        <v>87</v>
      </c>
      <c r="L12" s="11" t="s">
        <v>212</v>
      </c>
      <c r="M12" s="11" t="s">
        <v>87</v>
      </c>
      <c r="N12" s="11" t="s">
        <v>87</v>
      </c>
      <c r="O12" s="11" t="s">
        <v>212</v>
      </c>
      <c r="P12" s="6" t="s">
        <v>543</v>
      </c>
      <c r="Q12" s="6"/>
    </row>
    <row r="13" customFormat="false" ht="15" hidden="false" customHeight="true" outlineLevel="0" collapsed="false">
      <c r="A13" s="6" t="s">
        <v>313</v>
      </c>
      <c r="B13" s="6" t="s">
        <v>300</v>
      </c>
      <c r="C13" s="6" t="s">
        <v>232</v>
      </c>
      <c r="D13" s="6" t="s">
        <v>314</v>
      </c>
      <c r="E13" s="6" t="s">
        <v>315</v>
      </c>
      <c r="F13" s="6" t="s">
        <v>235</v>
      </c>
      <c r="G13" s="10" t="s">
        <v>210</v>
      </c>
      <c r="H13" s="10" t="n">
        <v>0</v>
      </c>
      <c r="I13" s="10" t="n">
        <v>0</v>
      </c>
      <c r="J13" s="11" t="s">
        <v>87</v>
      </c>
      <c r="K13" s="11" t="s">
        <v>87</v>
      </c>
      <c r="L13" s="11" t="s">
        <v>212</v>
      </c>
      <c r="M13" s="11" t="s">
        <v>87</v>
      </c>
      <c r="N13" s="11" t="s">
        <v>87</v>
      </c>
      <c r="O13" s="11" t="s">
        <v>212</v>
      </c>
      <c r="P13" s="6" t="s">
        <v>544</v>
      </c>
      <c r="Q13" s="6" t="s">
        <v>316</v>
      </c>
    </row>
    <row r="14" customFormat="false" ht="15" hidden="false" customHeight="true" outlineLevel="0" collapsed="false">
      <c r="A14" s="6" t="s">
        <v>317</v>
      </c>
      <c r="B14" s="6" t="s">
        <v>300</v>
      </c>
      <c r="C14" s="6" t="s">
        <v>206</v>
      </c>
      <c r="D14" s="6" t="s">
        <v>318</v>
      </c>
      <c r="E14" s="6" t="s">
        <v>315</v>
      </c>
      <c r="F14" s="6" t="s">
        <v>235</v>
      </c>
      <c r="G14" s="10" t="s">
        <v>210</v>
      </c>
      <c r="H14" s="10" t="n">
        <v>1</v>
      </c>
      <c r="I14" s="10" t="n">
        <v>0</v>
      </c>
      <c r="J14" s="11" t="s">
        <v>87</v>
      </c>
      <c r="K14" s="11" t="s">
        <v>87</v>
      </c>
      <c r="L14" s="11" t="s">
        <v>212</v>
      </c>
      <c r="M14" s="11" t="s">
        <v>87</v>
      </c>
      <c r="N14" s="11" t="s">
        <v>212</v>
      </c>
      <c r="O14" s="11" t="s">
        <v>212</v>
      </c>
      <c r="P14" s="6" t="s">
        <v>315</v>
      </c>
      <c r="Q14" s="6" t="s">
        <v>316</v>
      </c>
    </row>
    <row r="15" customFormat="false" ht="15" hidden="false" customHeight="true" outlineLevel="0" collapsed="false">
      <c r="A15" s="6" t="s">
        <v>319</v>
      </c>
      <c r="B15" s="6" t="s">
        <v>300</v>
      </c>
      <c r="C15" s="6" t="s">
        <v>287</v>
      </c>
      <c r="D15" s="6" t="s">
        <v>320</v>
      </c>
      <c r="E15" s="6" t="s">
        <v>321</v>
      </c>
      <c r="F15" s="6" t="s">
        <v>235</v>
      </c>
      <c r="G15" s="10" t="s">
        <v>210</v>
      </c>
      <c r="H15" s="10" t="n">
        <v>0</v>
      </c>
      <c r="I15" s="10" t="n">
        <v>0</v>
      </c>
      <c r="J15" s="11" t="s">
        <v>87</v>
      </c>
      <c r="K15" s="11" t="s">
        <v>87</v>
      </c>
      <c r="L15" s="11" t="s">
        <v>212</v>
      </c>
      <c r="M15" s="11" t="s">
        <v>87</v>
      </c>
      <c r="N15" s="11" t="s">
        <v>87</v>
      </c>
      <c r="O15" s="11" t="s">
        <v>212</v>
      </c>
      <c r="P15" s="6" t="s">
        <v>543</v>
      </c>
      <c r="Q15" s="6"/>
    </row>
    <row r="16" customFormat="false" ht="23.25" hidden="false" customHeight="true" outlineLevel="0" collapsed="false">
      <c r="A16" s="6" t="s">
        <v>323</v>
      </c>
      <c r="B16" s="6" t="s">
        <v>300</v>
      </c>
      <c r="C16" s="6" t="s">
        <v>206</v>
      </c>
      <c r="D16" s="6" t="s">
        <v>324</v>
      </c>
      <c r="E16" s="6" t="s">
        <v>325</v>
      </c>
      <c r="F16" s="6" t="s">
        <v>235</v>
      </c>
      <c r="G16" s="10" t="s">
        <v>210</v>
      </c>
      <c r="H16" s="10" t="n">
        <v>0</v>
      </c>
      <c r="I16" s="10" t="n">
        <v>0</v>
      </c>
      <c r="J16" s="11" t="s">
        <v>87</v>
      </c>
      <c r="K16" s="11" t="s">
        <v>87</v>
      </c>
      <c r="L16" s="11" t="s">
        <v>212</v>
      </c>
      <c r="M16" s="11" t="s">
        <v>87</v>
      </c>
      <c r="N16" s="11" t="s">
        <v>87</v>
      </c>
      <c r="O16" s="11" t="s">
        <v>212</v>
      </c>
      <c r="P16" s="6" t="s">
        <v>545</v>
      </c>
      <c r="Q16" s="6" t="s">
        <v>327</v>
      </c>
    </row>
    <row r="17" customFormat="false" ht="15" hidden="false" customHeight="true" outlineLevel="0" collapsed="false">
      <c r="A17" s="6" t="s">
        <v>328</v>
      </c>
      <c r="B17" s="6" t="s">
        <v>300</v>
      </c>
      <c r="C17" s="6" t="s">
        <v>206</v>
      </c>
      <c r="D17" s="6" t="s">
        <v>329</v>
      </c>
      <c r="E17" s="6" t="s">
        <v>330</v>
      </c>
      <c r="F17" s="6" t="s">
        <v>235</v>
      </c>
      <c r="G17" s="10" t="s">
        <v>210</v>
      </c>
      <c r="H17" s="10" t="n">
        <v>0</v>
      </c>
      <c r="I17" s="10" t="n">
        <v>0</v>
      </c>
      <c r="J17" s="11" t="s">
        <v>212</v>
      </c>
      <c r="K17" s="11" t="s">
        <v>212</v>
      </c>
      <c r="L17" s="11" t="s">
        <v>212</v>
      </c>
      <c r="M17" s="11" t="s">
        <v>87</v>
      </c>
      <c r="N17" s="11" t="s">
        <v>87</v>
      </c>
      <c r="O17" s="11" t="s">
        <v>212</v>
      </c>
      <c r="P17" s="6" t="s">
        <v>546</v>
      </c>
      <c r="Q17" s="6"/>
    </row>
    <row r="18" customFormat="false" ht="15" hidden="false" customHeight="true" outlineLevel="0" collapsed="false">
      <c r="A18" s="12" t="s">
        <v>332</v>
      </c>
      <c r="B18" s="6" t="s">
        <v>300</v>
      </c>
      <c r="C18" s="6" t="s">
        <v>206</v>
      </c>
      <c r="D18" s="6" t="s">
        <v>333</v>
      </c>
      <c r="E18" s="6" t="s">
        <v>334</v>
      </c>
      <c r="F18" s="12" t="s">
        <v>257</v>
      </c>
      <c r="G18" s="10" t="s">
        <v>258</v>
      </c>
      <c r="H18" s="10" t="n">
        <v>0</v>
      </c>
      <c r="I18" s="10" t="n">
        <v>0</v>
      </c>
      <c r="J18" s="11" t="s">
        <v>87</v>
      </c>
      <c r="K18" s="11" t="s">
        <v>87</v>
      </c>
      <c r="L18" s="11" t="s">
        <v>87</v>
      </c>
      <c r="M18" s="11" t="s">
        <v>87</v>
      </c>
      <c r="N18" s="11" t="s">
        <v>87</v>
      </c>
      <c r="O18" s="11" t="s">
        <v>87</v>
      </c>
      <c r="P18" s="6" t="s">
        <v>547</v>
      </c>
      <c r="Q18" s="6" t="s">
        <v>336</v>
      </c>
    </row>
    <row r="19" customFormat="false" ht="23.25" hidden="false" customHeight="true" outlineLevel="0" collapsed="false">
      <c r="A19" s="12" t="s">
        <v>177</v>
      </c>
      <c r="B19" s="6" t="s">
        <v>300</v>
      </c>
      <c r="C19" s="6" t="s">
        <v>206</v>
      </c>
      <c r="D19" s="6" t="s">
        <v>337</v>
      </c>
      <c r="E19" s="6" t="s">
        <v>338</v>
      </c>
      <c r="F19" s="12" t="s">
        <v>257</v>
      </c>
      <c r="G19" s="10" t="s">
        <v>258</v>
      </c>
      <c r="H19" s="10" t="n">
        <v>0</v>
      </c>
      <c r="I19" s="10" t="n">
        <v>0</v>
      </c>
      <c r="J19" s="11" t="s">
        <v>87</v>
      </c>
      <c r="K19" s="11" t="s">
        <v>87</v>
      </c>
      <c r="L19" s="11" t="s">
        <v>87</v>
      </c>
      <c r="M19" s="11" t="s">
        <v>87</v>
      </c>
      <c r="N19" s="11" t="s">
        <v>87</v>
      </c>
      <c r="O19" s="11" t="s">
        <v>87</v>
      </c>
      <c r="P19" s="6" t="s">
        <v>548</v>
      </c>
      <c r="Q19" s="6" t="s">
        <v>340</v>
      </c>
    </row>
    <row r="20" customFormat="false" ht="15" hidden="false" customHeight="true" outlineLevel="0" collapsed="false">
      <c r="A20" s="12" t="s">
        <v>341</v>
      </c>
      <c r="B20" s="6" t="s">
        <v>342</v>
      </c>
      <c r="C20" s="6" t="s">
        <v>232</v>
      </c>
      <c r="D20" s="6" t="s">
        <v>343</v>
      </c>
      <c r="E20" s="6" t="s">
        <v>344</v>
      </c>
      <c r="F20" s="12" t="s">
        <v>257</v>
      </c>
      <c r="G20" s="10" t="s">
        <v>258</v>
      </c>
      <c r="H20" s="10" t="n">
        <v>0</v>
      </c>
      <c r="I20" s="10" t="n">
        <v>0</v>
      </c>
      <c r="J20" s="11" t="s">
        <v>87</v>
      </c>
      <c r="K20" s="11" t="s">
        <v>87</v>
      </c>
      <c r="L20" s="11" t="s">
        <v>87</v>
      </c>
      <c r="M20" s="11" t="s">
        <v>87</v>
      </c>
      <c r="N20" s="11" t="s">
        <v>87</v>
      </c>
      <c r="O20" s="11" t="s">
        <v>87</v>
      </c>
      <c r="P20" s="6" t="s">
        <v>549</v>
      </c>
      <c r="Q20" s="6" t="s">
        <v>346</v>
      </c>
    </row>
    <row r="21" customFormat="false" ht="15" hidden="false" customHeight="true" outlineLevel="0" collapsed="false">
      <c r="A21" s="12" t="s">
        <v>347</v>
      </c>
      <c r="B21" s="6" t="s">
        <v>342</v>
      </c>
      <c r="C21" s="6" t="s">
        <v>232</v>
      </c>
      <c r="D21" s="6" t="s">
        <v>348</v>
      </c>
      <c r="E21" s="6" t="s">
        <v>349</v>
      </c>
      <c r="F21" s="12" t="s">
        <v>257</v>
      </c>
      <c r="G21" s="10" t="s">
        <v>258</v>
      </c>
      <c r="H21" s="10" t="n">
        <v>0</v>
      </c>
      <c r="I21" s="10" t="n">
        <v>0</v>
      </c>
      <c r="J21" s="11" t="s">
        <v>87</v>
      </c>
      <c r="K21" s="11" t="s">
        <v>87</v>
      </c>
      <c r="L21" s="11" t="s">
        <v>87</v>
      </c>
      <c r="M21" s="11" t="s">
        <v>87</v>
      </c>
      <c r="N21" s="11" t="s">
        <v>87</v>
      </c>
      <c r="O21" s="11" t="s">
        <v>87</v>
      </c>
      <c r="P21" s="6" t="s">
        <v>550</v>
      </c>
      <c r="Q21" s="6" t="s">
        <v>351</v>
      </c>
    </row>
    <row r="22" customFormat="false" ht="15" hidden="false" customHeight="true" outlineLevel="0" collapsed="false">
      <c r="A22" s="6" t="s">
        <v>352</v>
      </c>
      <c r="B22" s="6" t="s">
        <v>342</v>
      </c>
      <c r="C22" s="6" t="s">
        <v>206</v>
      </c>
      <c r="D22" s="6" t="s">
        <v>353</v>
      </c>
      <c r="E22" s="6" t="s">
        <v>354</v>
      </c>
      <c r="F22" s="6" t="s">
        <v>235</v>
      </c>
      <c r="G22" s="10" t="s">
        <v>210</v>
      </c>
      <c r="H22" s="10" t="n">
        <v>0</v>
      </c>
      <c r="I22" s="10" t="n">
        <v>0</v>
      </c>
      <c r="J22" s="11" t="s">
        <v>87</v>
      </c>
      <c r="K22" s="11" t="s">
        <v>87</v>
      </c>
      <c r="L22" s="11" t="s">
        <v>212</v>
      </c>
      <c r="M22" s="11" t="s">
        <v>87</v>
      </c>
      <c r="N22" s="11" t="s">
        <v>212</v>
      </c>
      <c r="O22" s="11" t="s">
        <v>212</v>
      </c>
      <c r="P22" s="6" t="s">
        <v>551</v>
      </c>
      <c r="Q22" s="6"/>
    </row>
    <row r="23" customFormat="false" ht="23.25" hidden="false" customHeight="true" outlineLevel="0" collapsed="false">
      <c r="A23" s="6" t="s">
        <v>356</v>
      </c>
      <c r="B23" s="6" t="s">
        <v>342</v>
      </c>
      <c r="C23" s="6" t="s">
        <v>232</v>
      </c>
      <c r="D23" s="6" t="s">
        <v>357</v>
      </c>
      <c r="E23" s="6" t="s">
        <v>358</v>
      </c>
      <c r="F23" s="6" t="s">
        <v>235</v>
      </c>
      <c r="G23" s="10" t="s">
        <v>210</v>
      </c>
      <c r="H23" s="10" t="n">
        <v>0</v>
      </c>
      <c r="I23" s="10" t="n">
        <v>0</v>
      </c>
      <c r="J23" s="11" t="s">
        <v>87</v>
      </c>
      <c r="K23" s="11" t="s">
        <v>87</v>
      </c>
      <c r="L23" s="11" t="s">
        <v>212</v>
      </c>
      <c r="M23" s="11" t="s">
        <v>87</v>
      </c>
      <c r="N23" s="11" t="s">
        <v>212</v>
      </c>
      <c r="O23" s="11" t="s">
        <v>212</v>
      </c>
      <c r="P23" s="6" t="s">
        <v>552</v>
      </c>
      <c r="Q23" s="6" t="s">
        <v>360</v>
      </c>
    </row>
    <row r="24" customFormat="false" ht="15" hidden="false" customHeight="true" outlineLevel="0" collapsed="false">
      <c r="A24" s="6" t="s">
        <v>361</v>
      </c>
      <c r="B24" s="6" t="s">
        <v>342</v>
      </c>
      <c r="C24" s="6" t="s">
        <v>206</v>
      </c>
      <c r="D24" s="6" t="s">
        <v>362</v>
      </c>
      <c r="E24" s="6" t="s">
        <v>160</v>
      </c>
      <c r="F24" s="6" t="s">
        <v>209</v>
      </c>
      <c r="G24" s="10" t="s">
        <v>210</v>
      </c>
      <c r="H24" s="10" t="n">
        <v>1</v>
      </c>
      <c r="I24" s="10" t="n">
        <v>0</v>
      </c>
      <c r="J24" s="11" t="s">
        <v>212</v>
      </c>
      <c r="K24" s="11" t="s">
        <v>212</v>
      </c>
      <c r="L24" s="11" t="s">
        <v>212</v>
      </c>
      <c r="M24" s="11" t="s">
        <v>212</v>
      </c>
      <c r="N24" s="11" t="s">
        <v>212</v>
      </c>
      <c r="O24" s="11" t="s">
        <v>212</v>
      </c>
      <c r="P24" s="6" t="s">
        <v>363</v>
      </c>
      <c r="Q24" s="6"/>
    </row>
    <row r="25" customFormat="false" ht="15" hidden="false" customHeight="true" outlineLevel="0" collapsed="false">
      <c r="A25" s="12" t="s">
        <v>364</v>
      </c>
      <c r="B25" s="6" t="s">
        <v>342</v>
      </c>
      <c r="C25" s="6" t="s">
        <v>206</v>
      </c>
      <c r="D25" s="6" t="s">
        <v>365</v>
      </c>
      <c r="E25" s="6" t="s">
        <v>366</v>
      </c>
      <c r="F25" s="12" t="s">
        <v>257</v>
      </c>
      <c r="G25" s="10" t="s">
        <v>258</v>
      </c>
      <c r="H25" s="10" t="n">
        <v>0</v>
      </c>
      <c r="I25" s="10" t="n">
        <v>0</v>
      </c>
      <c r="J25" s="11" t="s">
        <v>87</v>
      </c>
      <c r="K25" s="11" t="s">
        <v>87</v>
      </c>
      <c r="L25" s="11" t="s">
        <v>87</v>
      </c>
      <c r="M25" s="11" t="s">
        <v>87</v>
      </c>
      <c r="N25" s="11" t="s">
        <v>87</v>
      </c>
      <c r="O25" s="11" t="s">
        <v>87</v>
      </c>
      <c r="P25" s="6" t="s">
        <v>553</v>
      </c>
      <c r="Q25" s="6"/>
    </row>
    <row r="26" customFormat="false" ht="15" hidden="false" customHeight="true" outlineLevel="0" collapsed="false">
      <c r="A26" s="6" t="s">
        <v>367</v>
      </c>
      <c r="B26" s="6" t="s">
        <v>342</v>
      </c>
      <c r="C26" s="6" t="s">
        <v>206</v>
      </c>
      <c r="D26" s="6" t="s">
        <v>368</v>
      </c>
      <c r="E26" s="6" t="s">
        <v>369</v>
      </c>
      <c r="F26" s="6" t="s">
        <v>235</v>
      </c>
      <c r="G26" s="10" t="s">
        <v>210</v>
      </c>
      <c r="H26" s="10" t="n">
        <v>0</v>
      </c>
      <c r="I26" s="10" t="n">
        <v>0</v>
      </c>
      <c r="J26" s="11" t="s">
        <v>87</v>
      </c>
      <c r="K26" s="11" t="s">
        <v>87</v>
      </c>
      <c r="L26" s="11" t="s">
        <v>212</v>
      </c>
      <c r="M26" s="11" t="s">
        <v>87</v>
      </c>
      <c r="N26" s="11" t="s">
        <v>87</v>
      </c>
      <c r="O26" s="11" t="s">
        <v>212</v>
      </c>
      <c r="P26" s="6" t="s">
        <v>369</v>
      </c>
      <c r="Q26" s="6"/>
    </row>
    <row r="27" customFormat="false" ht="23.25" hidden="false" customHeight="true" outlineLevel="0" collapsed="false">
      <c r="A27" s="12" t="s">
        <v>370</v>
      </c>
      <c r="B27" s="6" t="s">
        <v>342</v>
      </c>
      <c r="C27" s="6" t="s">
        <v>206</v>
      </c>
      <c r="D27" s="6" t="s">
        <v>371</v>
      </c>
      <c r="E27" s="6" t="s">
        <v>372</v>
      </c>
      <c r="F27" s="12" t="s">
        <v>257</v>
      </c>
      <c r="G27" s="10" t="s">
        <v>258</v>
      </c>
      <c r="H27" s="10" t="n">
        <v>0</v>
      </c>
      <c r="I27" s="10" t="n">
        <v>0</v>
      </c>
      <c r="J27" s="11" t="s">
        <v>87</v>
      </c>
      <c r="K27" s="11" t="s">
        <v>87</v>
      </c>
      <c r="L27" s="11" t="s">
        <v>87</v>
      </c>
      <c r="M27" s="11" t="s">
        <v>87</v>
      </c>
      <c r="N27" s="11" t="s">
        <v>87</v>
      </c>
      <c r="O27" s="11" t="s">
        <v>87</v>
      </c>
      <c r="P27" s="6" t="s">
        <v>554</v>
      </c>
      <c r="Q27" s="6" t="s">
        <v>374</v>
      </c>
    </row>
    <row r="28" customFormat="false" ht="15" hidden="false" customHeight="true" outlineLevel="0" collapsed="false">
      <c r="A28" s="12" t="s">
        <v>375</v>
      </c>
      <c r="B28" s="6" t="s">
        <v>342</v>
      </c>
      <c r="C28" s="6" t="s">
        <v>232</v>
      </c>
      <c r="D28" s="6" t="s">
        <v>376</v>
      </c>
      <c r="E28" s="6" t="s">
        <v>256</v>
      </c>
      <c r="F28" s="12" t="s">
        <v>257</v>
      </c>
      <c r="G28" s="10" t="s">
        <v>258</v>
      </c>
      <c r="H28" s="10" t="n">
        <v>0</v>
      </c>
      <c r="I28" s="10" t="n">
        <v>0</v>
      </c>
      <c r="J28" s="11" t="s">
        <v>87</v>
      </c>
      <c r="K28" s="11" t="s">
        <v>87</v>
      </c>
      <c r="L28" s="11" t="s">
        <v>87</v>
      </c>
      <c r="M28" s="11" t="s">
        <v>87</v>
      </c>
      <c r="N28" s="11" t="s">
        <v>87</v>
      </c>
      <c r="O28" s="11" t="s">
        <v>87</v>
      </c>
      <c r="P28" s="6" t="s">
        <v>377</v>
      </c>
      <c r="Q28" s="6" t="s">
        <v>378</v>
      </c>
    </row>
    <row r="29" customFormat="false" ht="15" hidden="false" customHeight="true" outlineLevel="0" collapsed="false">
      <c r="A29" s="12" t="s">
        <v>379</v>
      </c>
      <c r="B29" s="6" t="s">
        <v>342</v>
      </c>
      <c r="C29" s="6" t="s">
        <v>287</v>
      </c>
      <c r="D29" s="6" t="s">
        <v>380</v>
      </c>
      <c r="E29" s="6" t="s">
        <v>381</v>
      </c>
      <c r="F29" s="12" t="s">
        <v>257</v>
      </c>
      <c r="G29" s="10" t="s">
        <v>258</v>
      </c>
      <c r="H29" s="10" t="n">
        <v>0</v>
      </c>
      <c r="I29" s="10" t="n">
        <v>0</v>
      </c>
      <c r="J29" s="11" t="s">
        <v>87</v>
      </c>
      <c r="K29" s="11" t="s">
        <v>87</v>
      </c>
      <c r="L29" s="11" t="s">
        <v>87</v>
      </c>
      <c r="M29" s="11" t="s">
        <v>87</v>
      </c>
      <c r="N29" s="11" t="s">
        <v>87</v>
      </c>
      <c r="O29" s="11" t="s">
        <v>87</v>
      </c>
      <c r="P29" s="6" t="s">
        <v>382</v>
      </c>
      <c r="Q29" s="6" t="s">
        <v>382</v>
      </c>
    </row>
    <row r="30" customFormat="false" ht="15" hidden="false" customHeight="true" outlineLevel="0" collapsed="false">
      <c r="A30" s="12" t="s">
        <v>383</v>
      </c>
      <c r="B30" s="6" t="s">
        <v>342</v>
      </c>
      <c r="C30" s="6" t="s">
        <v>232</v>
      </c>
      <c r="D30" s="6" t="s">
        <v>384</v>
      </c>
      <c r="E30" s="6" t="s">
        <v>385</v>
      </c>
      <c r="F30" s="12" t="s">
        <v>257</v>
      </c>
      <c r="G30" s="10" t="s">
        <v>258</v>
      </c>
      <c r="H30" s="10" t="n">
        <v>0</v>
      </c>
      <c r="I30" s="10" t="n">
        <v>0</v>
      </c>
      <c r="J30" s="11" t="s">
        <v>87</v>
      </c>
      <c r="K30" s="11" t="s">
        <v>87</v>
      </c>
      <c r="L30" s="11" t="s">
        <v>87</v>
      </c>
      <c r="M30" s="11" t="s">
        <v>87</v>
      </c>
      <c r="N30" s="11" t="s">
        <v>87</v>
      </c>
      <c r="O30" s="11" t="s">
        <v>87</v>
      </c>
      <c r="P30" s="6" t="s">
        <v>382</v>
      </c>
      <c r="Q30" s="6" t="s">
        <v>386</v>
      </c>
    </row>
    <row r="31" customFormat="false" ht="23.25" hidden="false" customHeight="true" outlineLevel="0" collapsed="false">
      <c r="A31" s="12" t="s">
        <v>387</v>
      </c>
      <c r="B31" s="6" t="s">
        <v>342</v>
      </c>
      <c r="C31" s="6" t="s">
        <v>232</v>
      </c>
      <c r="D31" s="6" t="s">
        <v>388</v>
      </c>
      <c r="E31" s="6" t="s">
        <v>389</v>
      </c>
      <c r="F31" s="12" t="s">
        <v>257</v>
      </c>
      <c r="G31" s="10" t="s">
        <v>258</v>
      </c>
      <c r="H31" s="10" t="n">
        <v>0</v>
      </c>
      <c r="I31" s="10" t="n">
        <v>0</v>
      </c>
      <c r="J31" s="11" t="s">
        <v>87</v>
      </c>
      <c r="K31" s="11" t="s">
        <v>87</v>
      </c>
      <c r="L31" s="11" t="s">
        <v>87</v>
      </c>
      <c r="M31" s="11" t="s">
        <v>87</v>
      </c>
      <c r="N31" s="11" t="s">
        <v>87</v>
      </c>
      <c r="O31" s="11" t="s">
        <v>87</v>
      </c>
      <c r="P31" s="6" t="s">
        <v>555</v>
      </c>
      <c r="Q31" s="6" t="s">
        <v>391</v>
      </c>
    </row>
    <row r="32" customFormat="false" ht="15" hidden="false" customHeight="true" outlineLevel="0" collapsed="false">
      <c r="A32" s="12" t="s">
        <v>392</v>
      </c>
      <c r="B32" s="6" t="s">
        <v>342</v>
      </c>
      <c r="C32" s="6" t="s">
        <v>232</v>
      </c>
      <c r="D32" s="6" t="s">
        <v>393</v>
      </c>
      <c r="E32" s="6" t="s">
        <v>394</v>
      </c>
      <c r="F32" s="12" t="s">
        <v>257</v>
      </c>
      <c r="G32" s="10" t="s">
        <v>258</v>
      </c>
      <c r="H32" s="10" t="n">
        <v>0</v>
      </c>
      <c r="I32" s="10" t="n">
        <v>0</v>
      </c>
      <c r="J32" s="11" t="s">
        <v>87</v>
      </c>
      <c r="K32" s="11" t="s">
        <v>87</v>
      </c>
      <c r="L32" s="11" t="s">
        <v>87</v>
      </c>
      <c r="M32" s="11" t="s">
        <v>87</v>
      </c>
      <c r="N32" s="11" t="s">
        <v>87</v>
      </c>
      <c r="O32" s="11" t="s">
        <v>87</v>
      </c>
      <c r="P32" s="6" t="s">
        <v>556</v>
      </c>
      <c r="Q32" s="6" t="s">
        <v>395</v>
      </c>
    </row>
    <row r="33" customFormat="false" ht="23.25" hidden="false" customHeight="true" outlineLevel="0" collapsed="false">
      <c r="A33" s="12" t="s">
        <v>396</v>
      </c>
      <c r="B33" s="6" t="s">
        <v>342</v>
      </c>
      <c r="C33" s="6" t="s">
        <v>232</v>
      </c>
      <c r="D33" s="6" t="s">
        <v>397</v>
      </c>
      <c r="E33" s="6" t="s">
        <v>398</v>
      </c>
      <c r="F33" s="12" t="s">
        <v>257</v>
      </c>
      <c r="G33" s="10" t="s">
        <v>258</v>
      </c>
      <c r="H33" s="10" t="n">
        <v>0</v>
      </c>
      <c r="I33" s="10" t="n">
        <v>0</v>
      </c>
      <c r="J33" s="11" t="s">
        <v>87</v>
      </c>
      <c r="K33" s="11" t="s">
        <v>87</v>
      </c>
      <c r="L33" s="11" t="s">
        <v>87</v>
      </c>
      <c r="M33" s="11" t="s">
        <v>87</v>
      </c>
      <c r="N33" s="11" t="s">
        <v>87</v>
      </c>
      <c r="O33" s="11" t="s">
        <v>87</v>
      </c>
      <c r="P33" s="6" t="s">
        <v>399</v>
      </c>
      <c r="Q33" s="6" t="s">
        <v>399</v>
      </c>
    </row>
    <row r="34" customFormat="false" ht="23.25" hidden="false" customHeight="true" outlineLevel="0" collapsed="false">
      <c r="A34" s="12" t="s">
        <v>400</v>
      </c>
      <c r="B34" s="6" t="s">
        <v>342</v>
      </c>
      <c r="C34" s="6" t="s">
        <v>232</v>
      </c>
      <c r="D34" s="6" t="s">
        <v>401</v>
      </c>
      <c r="E34" s="6" t="s">
        <v>402</v>
      </c>
      <c r="F34" s="12" t="s">
        <v>257</v>
      </c>
      <c r="G34" s="10" t="s">
        <v>258</v>
      </c>
      <c r="H34" s="10" t="n">
        <v>0</v>
      </c>
      <c r="I34" s="10" t="n">
        <v>0</v>
      </c>
      <c r="J34" s="11" t="s">
        <v>87</v>
      </c>
      <c r="K34" s="11" t="s">
        <v>87</v>
      </c>
      <c r="L34" s="11" t="s">
        <v>87</v>
      </c>
      <c r="M34" s="11" t="s">
        <v>87</v>
      </c>
      <c r="N34" s="11" t="s">
        <v>87</v>
      </c>
      <c r="O34" s="11" t="s">
        <v>87</v>
      </c>
      <c r="P34" s="6" t="s">
        <v>557</v>
      </c>
      <c r="Q34" s="6" t="s">
        <v>403</v>
      </c>
    </row>
    <row r="35" customFormat="false" ht="15" hidden="false" customHeight="true" outlineLevel="0" collapsed="false">
      <c r="A35" s="6" t="s">
        <v>404</v>
      </c>
      <c r="B35" s="6" t="s">
        <v>405</v>
      </c>
      <c r="C35" s="6" t="s">
        <v>232</v>
      </c>
      <c r="D35" s="6" t="s">
        <v>406</v>
      </c>
      <c r="E35" s="6" t="s">
        <v>407</v>
      </c>
      <c r="F35" s="6" t="s">
        <v>209</v>
      </c>
      <c r="G35" s="10" t="s">
        <v>210</v>
      </c>
      <c r="H35" s="10" t="n">
        <v>0</v>
      </c>
      <c r="I35" s="10" t="n">
        <v>0</v>
      </c>
      <c r="J35" s="11" t="s">
        <v>211</v>
      </c>
      <c r="K35" s="11" t="s">
        <v>211</v>
      </c>
      <c r="L35" s="11" t="s">
        <v>211</v>
      </c>
      <c r="M35" s="11" t="s">
        <v>211</v>
      </c>
      <c r="N35" s="11" t="s">
        <v>211</v>
      </c>
      <c r="O35" s="11" t="s">
        <v>211</v>
      </c>
      <c r="P35" s="6" t="s">
        <v>558</v>
      </c>
      <c r="Q35" s="6"/>
    </row>
    <row r="36" customFormat="false" ht="15" hidden="false" customHeight="true" outlineLevel="0" collapsed="false">
      <c r="A36" s="6" t="s">
        <v>409</v>
      </c>
      <c r="B36" s="6" t="s">
        <v>405</v>
      </c>
      <c r="C36" s="6" t="s">
        <v>232</v>
      </c>
      <c r="D36" s="6" t="s">
        <v>410</v>
      </c>
      <c r="E36" s="6" t="s">
        <v>411</v>
      </c>
      <c r="F36" s="6" t="s">
        <v>235</v>
      </c>
      <c r="G36" s="10" t="s">
        <v>210</v>
      </c>
      <c r="H36" s="10" t="n">
        <v>0</v>
      </c>
      <c r="I36" s="10" t="n">
        <v>0</v>
      </c>
      <c r="J36" s="11" t="s">
        <v>212</v>
      </c>
      <c r="K36" s="11" t="s">
        <v>87</v>
      </c>
      <c r="L36" s="11" t="s">
        <v>212</v>
      </c>
      <c r="M36" s="11" t="s">
        <v>87</v>
      </c>
      <c r="N36" s="11" t="s">
        <v>212</v>
      </c>
      <c r="O36" s="11" t="s">
        <v>212</v>
      </c>
      <c r="P36" s="6" t="s">
        <v>559</v>
      </c>
      <c r="Q36" s="6"/>
    </row>
    <row r="37" customFormat="false" ht="15" hidden="false" customHeight="true" outlineLevel="0" collapsed="false">
      <c r="A37" s="6" t="s">
        <v>413</v>
      </c>
      <c r="B37" s="6" t="s">
        <v>405</v>
      </c>
      <c r="C37" s="6" t="s">
        <v>206</v>
      </c>
      <c r="D37" s="6" t="s">
        <v>414</v>
      </c>
      <c r="E37" s="6" t="s">
        <v>415</v>
      </c>
      <c r="F37" s="6" t="s">
        <v>209</v>
      </c>
      <c r="G37" s="10" t="s">
        <v>210</v>
      </c>
      <c r="H37" s="10" t="n">
        <v>1</v>
      </c>
      <c r="I37" s="10" t="n">
        <v>0</v>
      </c>
      <c r="J37" s="11" t="s">
        <v>87</v>
      </c>
      <c r="K37" s="11" t="s">
        <v>211</v>
      </c>
      <c r="L37" s="11" t="s">
        <v>87</v>
      </c>
      <c r="M37" s="11" t="s">
        <v>87</v>
      </c>
      <c r="N37" s="11" t="s">
        <v>87</v>
      </c>
      <c r="O37" s="11" t="s">
        <v>87</v>
      </c>
      <c r="P37" s="6" t="s">
        <v>415</v>
      </c>
      <c r="Q37" s="6"/>
    </row>
    <row r="38" customFormat="false" ht="15" hidden="false" customHeight="true" outlineLevel="0" collapsed="false">
      <c r="A38" s="6" t="s">
        <v>417</v>
      </c>
      <c r="B38" s="6" t="s">
        <v>405</v>
      </c>
      <c r="C38" s="6" t="s">
        <v>206</v>
      </c>
      <c r="D38" s="6" t="s">
        <v>418</v>
      </c>
      <c r="E38" s="6" t="s">
        <v>415</v>
      </c>
      <c r="F38" s="6" t="s">
        <v>209</v>
      </c>
      <c r="G38" s="10" t="s">
        <v>210</v>
      </c>
      <c r="H38" s="10" t="n">
        <v>-1</v>
      </c>
      <c r="I38" s="10" t="n">
        <v>0</v>
      </c>
      <c r="J38" s="11" t="s">
        <v>87</v>
      </c>
      <c r="K38" s="11" t="s">
        <v>211</v>
      </c>
      <c r="L38" s="11" t="s">
        <v>87</v>
      </c>
      <c r="M38" s="11" t="s">
        <v>87</v>
      </c>
      <c r="N38" s="11" t="s">
        <v>87</v>
      </c>
      <c r="O38" s="11" t="s">
        <v>87</v>
      </c>
      <c r="P38" s="6" t="s">
        <v>415</v>
      </c>
      <c r="Q38" s="6"/>
    </row>
    <row r="39" customFormat="false" ht="15" hidden="false" customHeight="true" outlineLevel="0" collapsed="false">
      <c r="A39" s="6" t="s">
        <v>420</v>
      </c>
      <c r="B39" s="6" t="s">
        <v>405</v>
      </c>
      <c r="C39" s="6" t="s">
        <v>206</v>
      </c>
      <c r="D39" s="6" t="s">
        <v>421</v>
      </c>
      <c r="E39" s="6" t="s">
        <v>415</v>
      </c>
      <c r="F39" s="6" t="s">
        <v>209</v>
      </c>
      <c r="G39" s="10" t="s">
        <v>210</v>
      </c>
      <c r="H39" s="10" t="n">
        <v>-1</v>
      </c>
      <c r="I39" s="10" t="n">
        <v>0</v>
      </c>
      <c r="J39" s="11" t="s">
        <v>87</v>
      </c>
      <c r="K39" s="11" t="s">
        <v>211</v>
      </c>
      <c r="L39" s="11" t="s">
        <v>87</v>
      </c>
      <c r="M39" s="11" t="s">
        <v>87</v>
      </c>
      <c r="N39" s="11" t="s">
        <v>87</v>
      </c>
      <c r="O39" s="11" t="s">
        <v>87</v>
      </c>
      <c r="P39" s="6" t="s">
        <v>415</v>
      </c>
      <c r="Q39" s="6"/>
    </row>
    <row r="40" customFormat="false" ht="23.25" hidden="false" customHeight="true" outlineLevel="0" collapsed="false">
      <c r="A40" s="6" t="s">
        <v>422</v>
      </c>
      <c r="B40" s="6" t="s">
        <v>405</v>
      </c>
      <c r="C40" s="6" t="s">
        <v>232</v>
      </c>
      <c r="D40" s="6" t="s">
        <v>423</v>
      </c>
      <c r="E40" s="6" t="s">
        <v>424</v>
      </c>
      <c r="F40" s="6" t="s">
        <v>209</v>
      </c>
      <c r="G40" s="10" t="s">
        <v>210</v>
      </c>
      <c r="H40" s="10" t="n">
        <v>0</v>
      </c>
      <c r="I40" s="10" t="n">
        <v>0</v>
      </c>
      <c r="J40" s="11" t="s">
        <v>87</v>
      </c>
      <c r="K40" s="11" t="s">
        <v>87</v>
      </c>
      <c r="L40" s="11" t="s">
        <v>87</v>
      </c>
      <c r="M40" s="11" t="s">
        <v>211</v>
      </c>
      <c r="N40" s="11" t="s">
        <v>87</v>
      </c>
      <c r="O40" s="11" t="s">
        <v>87</v>
      </c>
      <c r="P40" s="6" t="s">
        <v>560</v>
      </c>
      <c r="Q40" s="6"/>
    </row>
    <row r="41" customFormat="false" ht="15" hidden="false" customHeight="true" outlineLevel="0" collapsed="false">
      <c r="A41" s="6" t="s">
        <v>425</v>
      </c>
      <c r="B41" s="6" t="s">
        <v>405</v>
      </c>
      <c r="C41" s="6" t="s">
        <v>206</v>
      </c>
      <c r="D41" s="6" t="s">
        <v>426</v>
      </c>
      <c r="E41" s="6" t="s">
        <v>427</v>
      </c>
      <c r="F41" s="6" t="s">
        <v>209</v>
      </c>
      <c r="G41" s="10" t="s">
        <v>210</v>
      </c>
      <c r="H41" s="10" t="n">
        <v>0</v>
      </c>
      <c r="I41" s="10" t="n">
        <v>0</v>
      </c>
      <c r="J41" s="11" t="s">
        <v>211</v>
      </c>
      <c r="K41" s="11" t="s">
        <v>87</v>
      </c>
      <c r="L41" s="11" t="s">
        <v>211</v>
      </c>
      <c r="M41" s="11" t="s">
        <v>211</v>
      </c>
      <c r="N41" s="11" t="s">
        <v>212</v>
      </c>
      <c r="O41" s="11" t="s">
        <v>212</v>
      </c>
      <c r="P41" s="6" t="s">
        <v>561</v>
      </c>
      <c r="Q41" s="6"/>
    </row>
    <row r="42" customFormat="false" ht="15" hidden="false" customHeight="true" outlineLevel="0" collapsed="false">
      <c r="A42" s="6" t="s">
        <v>429</v>
      </c>
      <c r="B42" s="6" t="s">
        <v>405</v>
      </c>
      <c r="C42" s="6" t="s">
        <v>232</v>
      </c>
      <c r="D42" s="6" t="s">
        <v>430</v>
      </c>
      <c r="E42" s="6" t="s">
        <v>431</v>
      </c>
      <c r="F42" s="6" t="s">
        <v>209</v>
      </c>
      <c r="G42" s="10" t="s">
        <v>210</v>
      </c>
      <c r="H42" s="10" t="n">
        <v>0</v>
      </c>
      <c r="I42" s="10" t="n">
        <v>0</v>
      </c>
      <c r="J42" s="11" t="s">
        <v>211</v>
      </c>
      <c r="K42" s="11" t="s">
        <v>211</v>
      </c>
      <c r="L42" s="11" t="s">
        <v>211</v>
      </c>
      <c r="M42" s="11" t="s">
        <v>211</v>
      </c>
      <c r="N42" s="11" t="s">
        <v>211</v>
      </c>
      <c r="O42" s="11" t="s">
        <v>212</v>
      </c>
      <c r="P42" s="6" t="s">
        <v>562</v>
      </c>
      <c r="Q42" s="6"/>
    </row>
    <row r="43" customFormat="false" ht="15" hidden="false" customHeight="true" outlineLevel="0" collapsed="false">
      <c r="A43" s="6" t="s">
        <v>432</v>
      </c>
      <c r="B43" s="6" t="s">
        <v>405</v>
      </c>
      <c r="C43" s="6" t="s">
        <v>232</v>
      </c>
      <c r="D43" s="6" t="s">
        <v>433</v>
      </c>
      <c r="E43" s="6" t="s">
        <v>434</v>
      </c>
      <c r="F43" s="6" t="s">
        <v>209</v>
      </c>
      <c r="G43" s="10" t="s">
        <v>210</v>
      </c>
      <c r="H43" s="10" t="n">
        <v>0</v>
      </c>
      <c r="I43" s="10" t="n">
        <v>0</v>
      </c>
      <c r="J43" s="11" t="s">
        <v>211</v>
      </c>
      <c r="K43" s="11" t="s">
        <v>87</v>
      </c>
      <c r="L43" s="11" t="s">
        <v>212</v>
      </c>
      <c r="M43" s="11" t="s">
        <v>87</v>
      </c>
      <c r="N43" s="11" t="s">
        <v>87</v>
      </c>
      <c r="O43" s="11" t="s">
        <v>87</v>
      </c>
      <c r="P43" s="6" t="s">
        <v>563</v>
      </c>
      <c r="Q43" s="6"/>
    </row>
    <row r="44" customFormat="false" ht="15" hidden="false" customHeight="true" outlineLevel="0" collapsed="false">
      <c r="A44" s="6" t="s">
        <v>435</v>
      </c>
      <c r="B44" s="6" t="s">
        <v>405</v>
      </c>
      <c r="C44" s="6" t="s">
        <v>287</v>
      </c>
      <c r="D44" s="6" t="s">
        <v>436</v>
      </c>
      <c r="E44" s="6" t="s">
        <v>437</v>
      </c>
      <c r="F44" s="6" t="s">
        <v>209</v>
      </c>
      <c r="G44" s="10" t="s">
        <v>210</v>
      </c>
      <c r="H44" s="10" t="n">
        <v>0</v>
      </c>
      <c r="I44" s="10" t="n">
        <v>0</v>
      </c>
      <c r="J44" s="11" t="s">
        <v>87</v>
      </c>
      <c r="K44" s="11" t="s">
        <v>211</v>
      </c>
      <c r="L44" s="11" t="s">
        <v>212</v>
      </c>
      <c r="M44" s="11" t="s">
        <v>212</v>
      </c>
      <c r="N44" s="11" t="s">
        <v>87</v>
      </c>
      <c r="O44" s="11" t="s">
        <v>87</v>
      </c>
      <c r="P44" s="6" t="s">
        <v>564</v>
      </c>
      <c r="Q44" s="6"/>
    </row>
    <row r="45" customFormat="false" ht="23.25" hidden="false" customHeight="true" outlineLevel="0" collapsed="false">
      <c r="A45" s="6" t="s">
        <v>438</v>
      </c>
      <c r="B45" s="6" t="s">
        <v>405</v>
      </c>
      <c r="C45" s="6" t="s">
        <v>287</v>
      </c>
      <c r="D45" s="6" t="s">
        <v>439</v>
      </c>
      <c r="E45" s="6" t="s">
        <v>440</v>
      </c>
      <c r="F45" s="6" t="s">
        <v>209</v>
      </c>
      <c r="G45" s="10" t="s">
        <v>210</v>
      </c>
      <c r="H45" s="10" t="n">
        <v>1</v>
      </c>
      <c r="I45" s="10" t="n">
        <v>0</v>
      </c>
      <c r="J45" s="11" t="s">
        <v>212</v>
      </c>
      <c r="K45" s="11" t="s">
        <v>87</v>
      </c>
      <c r="L45" s="11" t="s">
        <v>87</v>
      </c>
      <c r="M45" s="11" t="s">
        <v>211</v>
      </c>
      <c r="N45" s="11" t="s">
        <v>87</v>
      </c>
      <c r="O45" s="11" t="s">
        <v>87</v>
      </c>
      <c r="P45" s="6" t="s">
        <v>565</v>
      </c>
      <c r="Q45" s="6"/>
    </row>
    <row r="46" customFormat="false" ht="15" hidden="false" customHeight="true" outlineLevel="0" collapsed="false">
      <c r="A46" s="6" t="s">
        <v>441</v>
      </c>
      <c r="B46" s="6" t="s">
        <v>405</v>
      </c>
      <c r="C46" s="6" t="s">
        <v>287</v>
      </c>
      <c r="D46" s="6" t="s">
        <v>442</v>
      </c>
      <c r="E46" s="6" t="s">
        <v>443</v>
      </c>
      <c r="F46" s="6" t="s">
        <v>209</v>
      </c>
      <c r="G46" s="10" t="s">
        <v>210</v>
      </c>
      <c r="H46" s="10" t="n">
        <v>0</v>
      </c>
      <c r="I46" s="10" t="n">
        <v>0</v>
      </c>
      <c r="J46" s="11" t="s">
        <v>229</v>
      </c>
      <c r="K46" s="11" t="s">
        <v>87</v>
      </c>
      <c r="L46" s="11" t="s">
        <v>229</v>
      </c>
      <c r="M46" s="11" t="s">
        <v>229</v>
      </c>
      <c r="N46" s="11" t="s">
        <v>229</v>
      </c>
      <c r="O46" s="11" t="s">
        <v>87</v>
      </c>
      <c r="P46" s="6" t="s">
        <v>566</v>
      </c>
      <c r="Q46" s="6"/>
    </row>
    <row r="47" customFormat="false" ht="15" hidden="false" customHeight="true" outlineLevel="0" collapsed="false">
      <c r="A47" s="6" t="s">
        <v>444</v>
      </c>
      <c r="B47" s="6" t="s">
        <v>405</v>
      </c>
      <c r="C47" s="6" t="s">
        <v>206</v>
      </c>
      <c r="D47" s="6" t="s">
        <v>445</v>
      </c>
      <c r="E47" s="6" t="s">
        <v>446</v>
      </c>
      <c r="F47" s="6" t="s">
        <v>209</v>
      </c>
      <c r="G47" s="10" t="s">
        <v>210</v>
      </c>
      <c r="H47" s="10" t="n">
        <v>0</v>
      </c>
      <c r="I47" s="10" t="n">
        <v>0</v>
      </c>
      <c r="J47" s="11" t="s">
        <v>229</v>
      </c>
      <c r="K47" s="11" t="s">
        <v>229</v>
      </c>
      <c r="L47" s="11" t="s">
        <v>229</v>
      </c>
      <c r="M47" s="11" t="s">
        <v>229</v>
      </c>
      <c r="N47" s="11" t="s">
        <v>229</v>
      </c>
      <c r="O47" s="11" t="s">
        <v>212</v>
      </c>
      <c r="P47" s="6" t="s">
        <v>446</v>
      </c>
      <c r="Q47" s="6"/>
    </row>
    <row r="48" customFormat="false" ht="15" hidden="false" customHeight="true" outlineLevel="0" collapsed="false">
      <c r="A48" s="6" t="s">
        <v>447</v>
      </c>
      <c r="B48" s="6" t="s">
        <v>405</v>
      </c>
      <c r="C48" s="6" t="s">
        <v>232</v>
      </c>
      <c r="D48" s="6" t="s">
        <v>448</v>
      </c>
      <c r="E48" s="6" t="s">
        <v>449</v>
      </c>
      <c r="F48" s="6" t="s">
        <v>235</v>
      </c>
      <c r="G48" s="10" t="s">
        <v>210</v>
      </c>
      <c r="H48" s="10" t="n">
        <v>0</v>
      </c>
      <c r="I48" s="10" t="n">
        <v>0</v>
      </c>
      <c r="J48" s="11" t="s">
        <v>87</v>
      </c>
      <c r="K48" s="11" t="s">
        <v>87</v>
      </c>
      <c r="L48" s="11" t="s">
        <v>212</v>
      </c>
      <c r="M48" s="11" t="s">
        <v>87</v>
      </c>
      <c r="N48" s="11" t="s">
        <v>212</v>
      </c>
      <c r="O48" s="11" t="s">
        <v>87</v>
      </c>
      <c r="P48" s="6" t="s">
        <v>567</v>
      </c>
      <c r="Q48" s="6" t="s">
        <v>450</v>
      </c>
    </row>
    <row r="49" customFormat="false" ht="15" hidden="false" customHeight="true" outlineLevel="0" collapsed="false">
      <c r="A49" s="6" t="s">
        <v>451</v>
      </c>
      <c r="B49" s="6" t="s">
        <v>405</v>
      </c>
      <c r="C49" s="6" t="s">
        <v>287</v>
      </c>
      <c r="D49" s="6" t="s">
        <v>452</v>
      </c>
      <c r="E49" s="6" t="s">
        <v>453</v>
      </c>
      <c r="F49" s="6" t="s">
        <v>235</v>
      </c>
      <c r="G49" s="10" t="s">
        <v>210</v>
      </c>
      <c r="H49" s="10" t="n">
        <v>0</v>
      </c>
      <c r="I49" s="10" t="n">
        <v>0</v>
      </c>
      <c r="J49" s="11" t="s">
        <v>229</v>
      </c>
      <c r="K49" s="11" t="s">
        <v>87</v>
      </c>
      <c r="L49" s="11" t="s">
        <v>87</v>
      </c>
      <c r="M49" s="11" t="s">
        <v>87</v>
      </c>
      <c r="N49" s="11" t="s">
        <v>212</v>
      </c>
      <c r="O49" s="11" t="s">
        <v>87</v>
      </c>
      <c r="P49" s="6" t="s">
        <v>568</v>
      </c>
      <c r="Q49" s="6"/>
    </row>
    <row r="50" customFormat="false" ht="23.25" hidden="false" customHeight="true" outlineLevel="0" collapsed="false">
      <c r="A50" s="6" t="s">
        <v>454</v>
      </c>
      <c r="B50" s="6" t="s">
        <v>455</v>
      </c>
      <c r="C50" s="6" t="s">
        <v>206</v>
      </c>
      <c r="D50" s="6" t="s">
        <v>456</v>
      </c>
      <c r="E50" s="6" t="s">
        <v>457</v>
      </c>
      <c r="F50" s="6" t="s">
        <v>235</v>
      </c>
      <c r="G50" s="10" t="s">
        <v>210</v>
      </c>
      <c r="H50" s="10" t="n">
        <v>0</v>
      </c>
      <c r="I50" s="10" t="n">
        <v>0</v>
      </c>
      <c r="J50" s="11" t="s">
        <v>212</v>
      </c>
      <c r="K50" s="11" t="s">
        <v>87</v>
      </c>
      <c r="L50" s="11" t="s">
        <v>87</v>
      </c>
      <c r="M50" s="11" t="s">
        <v>87</v>
      </c>
      <c r="N50" s="11" t="s">
        <v>87</v>
      </c>
      <c r="O50" s="11" t="s">
        <v>87</v>
      </c>
      <c r="P50" s="6" t="s">
        <v>569</v>
      </c>
      <c r="Q50" s="6" t="s">
        <v>459</v>
      </c>
    </row>
    <row r="51" customFormat="false" ht="15" hidden="false" customHeight="true" outlineLevel="0" collapsed="false">
      <c r="A51" s="6" t="s">
        <v>460</v>
      </c>
      <c r="B51" s="6" t="s">
        <v>455</v>
      </c>
      <c r="C51" s="6" t="s">
        <v>206</v>
      </c>
      <c r="D51" s="6" t="s">
        <v>461</v>
      </c>
      <c r="E51" s="6" t="s">
        <v>462</v>
      </c>
      <c r="F51" s="6" t="s">
        <v>209</v>
      </c>
      <c r="G51" s="10" t="s">
        <v>210</v>
      </c>
      <c r="H51" s="10" t="n">
        <v>1</v>
      </c>
      <c r="I51" s="10" t="n">
        <v>0</v>
      </c>
      <c r="J51" s="11" t="s">
        <v>211</v>
      </c>
      <c r="K51" s="11" t="s">
        <v>87</v>
      </c>
      <c r="L51" s="11" t="s">
        <v>87</v>
      </c>
      <c r="M51" s="11" t="s">
        <v>87</v>
      </c>
      <c r="N51" s="11" t="s">
        <v>87</v>
      </c>
      <c r="O51" s="11" t="s">
        <v>87</v>
      </c>
      <c r="P51" s="6" t="s">
        <v>462</v>
      </c>
      <c r="Q51" s="6" t="s">
        <v>464</v>
      </c>
    </row>
    <row r="52" customFormat="false" ht="15" hidden="false" customHeight="true" outlineLevel="0" collapsed="false">
      <c r="A52" s="6" t="s">
        <v>465</v>
      </c>
      <c r="B52" s="6" t="s">
        <v>455</v>
      </c>
      <c r="C52" s="6" t="s">
        <v>206</v>
      </c>
      <c r="D52" s="6" t="s">
        <v>466</v>
      </c>
      <c r="E52" s="6" t="s">
        <v>467</v>
      </c>
      <c r="F52" s="6" t="s">
        <v>209</v>
      </c>
      <c r="G52" s="10" t="s">
        <v>210</v>
      </c>
      <c r="H52" s="10" t="n">
        <v>1</v>
      </c>
      <c r="I52" s="10" t="n">
        <v>0</v>
      </c>
      <c r="J52" s="11" t="s">
        <v>87</v>
      </c>
      <c r="K52" s="11" t="s">
        <v>87</v>
      </c>
      <c r="L52" s="11" t="s">
        <v>211</v>
      </c>
      <c r="M52" s="11" t="s">
        <v>87</v>
      </c>
      <c r="N52" s="11" t="s">
        <v>87</v>
      </c>
      <c r="O52" s="11" t="s">
        <v>87</v>
      </c>
      <c r="P52" s="6" t="s">
        <v>570</v>
      </c>
      <c r="Q52" s="6" t="s">
        <v>464</v>
      </c>
    </row>
    <row r="53" customFormat="false" ht="15" hidden="false" customHeight="true" outlineLevel="0" collapsed="false">
      <c r="A53" s="6" t="s">
        <v>469</v>
      </c>
      <c r="B53" s="6" t="s">
        <v>455</v>
      </c>
      <c r="C53" s="6" t="s">
        <v>206</v>
      </c>
      <c r="D53" s="6" t="s">
        <v>470</v>
      </c>
      <c r="E53" s="6" t="s">
        <v>471</v>
      </c>
      <c r="F53" s="6" t="s">
        <v>209</v>
      </c>
      <c r="G53" s="10" t="s">
        <v>210</v>
      </c>
      <c r="H53" s="10" t="n">
        <v>1</v>
      </c>
      <c r="I53" s="10" t="n">
        <v>0</v>
      </c>
      <c r="J53" s="11" t="s">
        <v>87</v>
      </c>
      <c r="K53" s="11" t="s">
        <v>87</v>
      </c>
      <c r="L53" s="11" t="s">
        <v>87</v>
      </c>
      <c r="M53" s="11" t="s">
        <v>211</v>
      </c>
      <c r="N53" s="11" t="s">
        <v>212</v>
      </c>
      <c r="O53" s="11" t="s">
        <v>87</v>
      </c>
      <c r="P53" s="6" t="s">
        <v>571</v>
      </c>
      <c r="Q53" s="6" t="s">
        <v>464</v>
      </c>
    </row>
    <row r="54" customFormat="false" ht="15" hidden="false" customHeight="true" outlineLevel="0" collapsed="false">
      <c r="A54" s="6" t="s">
        <v>473</v>
      </c>
      <c r="B54" s="6" t="s">
        <v>455</v>
      </c>
      <c r="C54" s="6" t="s">
        <v>206</v>
      </c>
      <c r="D54" s="6" t="s">
        <v>474</v>
      </c>
      <c r="E54" s="6" t="s">
        <v>475</v>
      </c>
      <c r="F54" s="6" t="s">
        <v>209</v>
      </c>
      <c r="G54" s="10" t="s">
        <v>210</v>
      </c>
      <c r="H54" s="10" t="n">
        <v>1</v>
      </c>
      <c r="I54" s="10" t="n">
        <v>0</v>
      </c>
      <c r="J54" s="11" t="s">
        <v>87</v>
      </c>
      <c r="K54" s="11" t="s">
        <v>87</v>
      </c>
      <c r="L54" s="11" t="s">
        <v>87</v>
      </c>
      <c r="M54" s="11" t="s">
        <v>87</v>
      </c>
      <c r="N54" s="11" t="s">
        <v>212</v>
      </c>
      <c r="O54" s="11" t="s">
        <v>87</v>
      </c>
      <c r="P54" s="6" t="s">
        <v>475</v>
      </c>
      <c r="Q54" s="6" t="s">
        <v>464</v>
      </c>
    </row>
    <row r="55" customFormat="false" ht="15" hidden="false" customHeight="true" outlineLevel="0" collapsed="false">
      <c r="A55" s="6" t="s">
        <v>477</v>
      </c>
      <c r="B55" s="6" t="s">
        <v>455</v>
      </c>
      <c r="C55" s="6" t="s">
        <v>206</v>
      </c>
      <c r="D55" s="6" t="s">
        <v>478</v>
      </c>
      <c r="E55" s="6" t="s">
        <v>479</v>
      </c>
      <c r="F55" s="6" t="s">
        <v>209</v>
      </c>
      <c r="G55" s="10" t="s">
        <v>210</v>
      </c>
      <c r="H55" s="10" t="n">
        <v>0</v>
      </c>
      <c r="I55" s="10" t="n">
        <v>0</v>
      </c>
      <c r="J55" s="11" t="s">
        <v>212</v>
      </c>
      <c r="K55" s="11" t="s">
        <v>211</v>
      </c>
      <c r="L55" s="11" t="s">
        <v>87</v>
      </c>
      <c r="M55" s="11" t="s">
        <v>212</v>
      </c>
      <c r="N55" s="11" t="s">
        <v>87</v>
      </c>
      <c r="O55" s="11" t="s">
        <v>87</v>
      </c>
      <c r="P55" s="6" t="s">
        <v>572</v>
      </c>
      <c r="Q55" s="6" t="s">
        <v>464</v>
      </c>
    </row>
    <row r="56" customFormat="false" ht="15" hidden="false" customHeight="true" outlineLevel="0" collapsed="false">
      <c r="A56" s="6" t="s">
        <v>481</v>
      </c>
      <c r="B56" s="6" t="s">
        <v>455</v>
      </c>
      <c r="C56" s="6" t="s">
        <v>206</v>
      </c>
      <c r="D56" s="6" t="s">
        <v>482</v>
      </c>
      <c r="E56" s="6" t="s">
        <v>483</v>
      </c>
      <c r="F56" s="6" t="s">
        <v>235</v>
      </c>
      <c r="G56" s="10" t="s">
        <v>210</v>
      </c>
      <c r="H56" s="10" t="n">
        <v>0</v>
      </c>
      <c r="I56" s="10" t="n">
        <v>0</v>
      </c>
      <c r="J56" s="11" t="s">
        <v>87</v>
      </c>
      <c r="K56" s="11" t="s">
        <v>87</v>
      </c>
      <c r="L56" s="11" t="s">
        <v>212</v>
      </c>
      <c r="M56" s="11" t="s">
        <v>212</v>
      </c>
      <c r="N56" s="11" t="s">
        <v>87</v>
      </c>
      <c r="O56" s="11" t="s">
        <v>87</v>
      </c>
      <c r="P56" s="6" t="s">
        <v>573</v>
      </c>
      <c r="Q56" s="6" t="s">
        <v>464</v>
      </c>
    </row>
    <row r="57" customFormat="false" ht="23.25" hidden="false" customHeight="true" outlineLevel="0" collapsed="false">
      <c r="A57" s="12" t="s">
        <v>484</v>
      </c>
      <c r="B57" s="6" t="s">
        <v>485</v>
      </c>
      <c r="C57" s="6" t="s">
        <v>206</v>
      </c>
      <c r="D57" s="6" t="s">
        <v>486</v>
      </c>
      <c r="E57" s="6" t="s">
        <v>487</v>
      </c>
      <c r="F57" s="12" t="s">
        <v>257</v>
      </c>
      <c r="G57" s="10" t="s">
        <v>258</v>
      </c>
      <c r="H57" s="10" t="n">
        <v>0</v>
      </c>
      <c r="I57" s="10" t="n">
        <v>0</v>
      </c>
      <c r="J57" s="11" t="s">
        <v>87</v>
      </c>
      <c r="K57" s="11" t="s">
        <v>87</v>
      </c>
      <c r="L57" s="11" t="s">
        <v>87</v>
      </c>
      <c r="M57" s="11" t="s">
        <v>87</v>
      </c>
      <c r="N57" s="11" t="s">
        <v>87</v>
      </c>
      <c r="O57" s="11" t="s">
        <v>87</v>
      </c>
      <c r="P57" s="6" t="s">
        <v>574</v>
      </c>
      <c r="Q57" s="6"/>
    </row>
    <row r="58" customFormat="false" ht="15" hidden="false" customHeight="true" outlineLevel="0" collapsed="false">
      <c r="A58" s="6" t="s">
        <v>489</v>
      </c>
      <c r="B58" s="6" t="s">
        <v>485</v>
      </c>
      <c r="C58" s="6" t="s">
        <v>206</v>
      </c>
      <c r="D58" s="6" t="s">
        <v>490</v>
      </c>
      <c r="E58" s="6" t="s">
        <v>491</v>
      </c>
      <c r="F58" s="6" t="s">
        <v>235</v>
      </c>
      <c r="G58" s="10" t="s">
        <v>210</v>
      </c>
      <c r="H58" s="10" t="n">
        <v>0</v>
      </c>
      <c r="I58" s="10" t="n">
        <v>0</v>
      </c>
      <c r="J58" s="11" t="s">
        <v>212</v>
      </c>
      <c r="K58" s="11" t="s">
        <v>212</v>
      </c>
      <c r="L58" s="11" t="s">
        <v>212</v>
      </c>
      <c r="M58" s="11" t="s">
        <v>212</v>
      </c>
      <c r="N58" s="11" t="s">
        <v>212</v>
      </c>
      <c r="O58" s="11" t="s">
        <v>87</v>
      </c>
      <c r="P58" s="6" t="s">
        <v>491</v>
      </c>
      <c r="Q58" s="6"/>
    </row>
    <row r="59" customFormat="false" ht="15" hidden="false" customHeight="true" outlineLevel="0" collapsed="false">
      <c r="A59" s="12" t="s">
        <v>492</v>
      </c>
      <c r="B59" s="6" t="s">
        <v>485</v>
      </c>
      <c r="C59" s="6" t="s">
        <v>206</v>
      </c>
      <c r="D59" s="6" t="s">
        <v>493</v>
      </c>
      <c r="E59" s="6" t="s">
        <v>494</v>
      </c>
      <c r="F59" s="12" t="s">
        <v>257</v>
      </c>
      <c r="G59" s="10" t="s">
        <v>258</v>
      </c>
      <c r="H59" s="10" t="n">
        <v>0</v>
      </c>
      <c r="I59" s="10" t="n">
        <v>0</v>
      </c>
      <c r="J59" s="11" t="s">
        <v>87</v>
      </c>
      <c r="K59" s="11" t="s">
        <v>87</v>
      </c>
      <c r="L59" s="11" t="s">
        <v>87</v>
      </c>
      <c r="M59" s="11" t="s">
        <v>87</v>
      </c>
      <c r="N59" s="11" t="s">
        <v>87</v>
      </c>
      <c r="O59" s="11" t="s">
        <v>87</v>
      </c>
      <c r="P59" s="6" t="s">
        <v>494</v>
      </c>
      <c r="Q59" s="6"/>
    </row>
    <row r="60" customFormat="false" ht="34.5" hidden="false" customHeight="true" outlineLevel="0" collapsed="false">
      <c r="A60" s="6" t="s">
        <v>495</v>
      </c>
      <c r="B60" s="6" t="s">
        <v>496</v>
      </c>
      <c r="C60" s="6" t="s">
        <v>206</v>
      </c>
      <c r="D60" s="6" t="s">
        <v>497</v>
      </c>
      <c r="E60" s="6" t="s">
        <v>498</v>
      </c>
      <c r="F60" s="6" t="s">
        <v>209</v>
      </c>
      <c r="G60" s="10" t="s">
        <v>210</v>
      </c>
      <c r="H60" s="10" t="n">
        <v>1</v>
      </c>
      <c r="I60" s="10" t="n">
        <v>0</v>
      </c>
      <c r="J60" s="11" t="s">
        <v>212</v>
      </c>
      <c r="K60" s="11" t="s">
        <v>212</v>
      </c>
      <c r="L60" s="11" t="s">
        <v>212</v>
      </c>
      <c r="M60" s="11" t="s">
        <v>212</v>
      </c>
      <c r="N60" s="11" t="s">
        <v>212</v>
      </c>
      <c r="O60" s="11" t="s">
        <v>212</v>
      </c>
      <c r="P60" s="6" t="s">
        <v>575</v>
      </c>
      <c r="Q60" s="6" t="s">
        <v>500</v>
      </c>
    </row>
    <row r="61" customFormat="false" ht="34.5" hidden="false" customHeight="true" outlineLevel="0" collapsed="false">
      <c r="A61" s="6" t="s">
        <v>501</v>
      </c>
      <c r="B61" s="6" t="s">
        <v>496</v>
      </c>
      <c r="C61" s="6" t="s">
        <v>206</v>
      </c>
      <c r="D61" s="6" t="s">
        <v>502</v>
      </c>
      <c r="E61" s="6" t="s">
        <v>503</v>
      </c>
      <c r="F61" s="6" t="s">
        <v>235</v>
      </c>
      <c r="G61" s="10" t="s">
        <v>210</v>
      </c>
      <c r="H61" s="10" t="n">
        <v>1</v>
      </c>
      <c r="I61" s="10" t="n">
        <v>0</v>
      </c>
      <c r="J61" s="11" t="s">
        <v>212</v>
      </c>
      <c r="K61" s="11" t="s">
        <v>87</v>
      </c>
      <c r="L61" s="11" t="s">
        <v>212</v>
      </c>
      <c r="M61" s="11" t="s">
        <v>87</v>
      </c>
      <c r="N61" s="11" t="s">
        <v>87</v>
      </c>
      <c r="O61" s="11" t="s">
        <v>212</v>
      </c>
      <c r="P61" s="6" t="s">
        <v>576</v>
      </c>
      <c r="Q61" s="6" t="s">
        <v>505</v>
      </c>
    </row>
  </sheetData>
  <autoFilter ref="A1:Q61"/>
  <dataValidations count="4">
    <dataValidation allowBlank="false" errorStyle="stop" operator="between" showDropDown="false" showErrorMessage="false" showInputMessage="false" sqref="J2:O61" type="list">
      <formula1>"B,F,S,-"</formula1>
      <formula2>0</formula2>
    </dataValidation>
    <dataValidation allowBlank="false" errorStyle="stop" operator="between" showDropDown="false" showErrorMessage="false" showInputMessage="false" sqref="G2:G61" type="list">
      <formula1>"Y,N"</formula1>
      <formula2>0</formula2>
    </dataValidation>
    <dataValidation allowBlank="false" errorStyle="stop" operator="between" showDropDown="false" showErrorMessage="false" showInputMessage="false" sqref="F2:F61" type="list">
      <formula1>"Include,Test,Exclude"</formula1>
      <formula2>0</formula2>
    </dataValidation>
    <dataValidation allowBlank="false" errorStyle="stop" operator="between" showDropDown="false" showErrorMessage="false" showInputMessage="false" sqref="H2:I61" type="list">
      <formula1>"-1,0,1"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8"/>
    <col collapsed="false" customWidth="true" hidden="false" outlineLevel="0" max="4" min="4" style="1" width="38"/>
    <col collapsed="false" customWidth="true" hidden="false" outlineLevel="0" max="5" min="5" style="1" width="30"/>
    <col collapsed="false" customWidth="true" hidden="false" outlineLevel="0" max="6" min="6" style="1" width="10"/>
    <col collapsed="false" customWidth="true" hidden="false" outlineLevel="0" max="7" min="7" style="1" width="6"/>
    <col collapsed="false" customWidth="true" hidden="false" outlineLevel="0" max="9" min="8" style="1" width="9"/>
    <col collapsed="false" customWidth="true" hidden="false" outlineLevel="0" max="13" min="10" style="1" width="11"/>
    <col collapsed="false" customWidth="true" hidden="false" outlineLevel="0" max="14" min="14" style="1" width="48"/>
    <col collapsed="false" customWidth="true" hidden="false" outlineLevel="0" max="15" min="15" style="1" width="40"/>
  </cols>
  <sheetData>
    <row r="1" customFormat="false" ht="30" hidden="false" customHeight="true" outlineLevel="0" collapsed="false">
      <c r="A1" s="5" t="s">
        <v>194</v>
      </c>
      <c r="B1" s="5" t="s">
        <v>195</v>
      </c>
      <c r="C1" s="5" t="s">
        <v>196</v>
      </c>
      <c r="D1" s="5" t="s">
        <v>197</v>
      </c>
      <c r="E1" s="5" t="s">
        <v>198</v>
      </c>
      <c r="F1" s="5" t="s">
        <v>51</v>
      </c>
      <c r="G1" s="5" t="s">
        <v>199</v>
      </c>
      <c r="H1" s="5" t="s">
        <v>200</v>
      </c>
      <c r="I1" s="5" t="s">
        <v>201</v>
      </c>
      <c r="J1" s="5" t="s">
        <v>37</v>
      </c>
      <c r="K1" s="5" t="s">
        <v>42</v>
      </c>
      <c r="L1" s="5" t="s">
        <v>45</v>
      </c>
      <c r="M1" s="5" t="s">
        <v>41</v>
      </c>
      <c r="N1" s="5" t="s">
        <v>202</v>
      </c>
      <c r="O1" s="5" t="s">
        <v>203</v>
      </c>
    </row>
    <row r="2" customFormat="false" ht="23.25" hidden="false" customHeight="true" outlineLevel="0" collapsed="false">
      <c r="A2" s="6" t="s">
        <v>506</v>
      </c>
      <c r="B2" s="6" t="s">
        <v>507</v>
      </c>
      <c r="C2" s="6" t="s">
        <v>206</v>
      </c>
      <c r="D2" s="6" t="s">
        <v>508</v>
      </c>
      <c r="E2" s="6" t="s">
        <v>509</v>
      </c>
      <c r="F2" s="6" t="s">
        <v>235</v>
      </c>
      <c r="G2" s="10" t="s">
        <v>210</v>
      </c>
      <c r="H2" s="10" t="n">
        <v>0</v>
      </c>
      <c r="I2" s="10" t="n">
        <v>0</v>
      </c>
      <c r="J2" s="11" t="s">
        <v>212</v>
      </c>
      <c r="K2" s="11" t="s">
        <v>87</v>
      </c>
      <c r="L2" s="11" t="s">
        <v>212</v>
      </c>
      <c r="M2" s="11" t="s">
        <v>87</v>
      </c>
      <c r="N2" s="6" t="s">
        <v>509</v>
      </c>
      <c r="O2" s="6" t="s">
        <v>510</v>
      </c>
    </row>
    <row r="3" customFormat="false" ht="23.25" hidden="false" customHeight="true" outlineLevel="0" collapsed="false">
      <c r="A3" s="6" t="s">
        <v>511</v>
      </c>
      <c r="B3" s="6" t="s">
        <v>507</v>
      </c>
      <c r="C3" s="6" t="s">
        <v>206</v>
      </c>
      <c r="D3" s="6" t="s">
        <v>512</v>
      </c>
      <c r="E3" s="6" t="s">
        <v>513</v>
      </c>
      <c r="F3" s="6" t="s">
        <v>209</v>
      </c>
      <c r="G3" s="10" t="s">
        <v>210</v>
      </c>
      <c r="H3" s="10" t="n">
        <v>0</v>
      </c>
      <c r="I3" s="10" t="n">
        <v>1</v>
      </c>
      <c r="J3" s="11" t="s">
        <v>211</v>
      </c>
      <c r="K3" s="11" t="s">
        <v>229</v>
      </c>
      <c r="L3" s="11" t="s">
        <v>211</v>
      </c>
      <c r="M3" s="11" t="s">
        <v>229</v>
      </c>
      <c r="N3" s="6" t="s">
        <v>577</v>
      </c>
      <c r="O3" s="6"/>
    </row>
    <row r="4" customFormat="false" ht="23.25" hidden="false" customHeight="true" outlineLevel="0" collapsed="false">
      <c r="A4" s="6" t="s">
        <v>532</v>
      </c>
      <c r="B4" s="6" t="s">
        <v>507</v>
      </c>
      <c r="C4" s="6" t="s">
        <v>287</v>
      </c>
      <c r="D4" s="6" t="s">
        <v>533</v>
      </c>
      <c r="E4" s="6" t="s">
        <v>534</v>
      </c>
      <c r="F4" s="6" t="s">
        <v>209</v>
      </c>
      <c r="G4" s="10" t="s">
        <v>210</v>
      </c>
      <c r="H4" s="10" t="n">
        <v>0</v>
      </c>
      <c r="I4" s="10" t="n">
        <v>0</v>
      </c>
      <c r="J4" s="11" t="s">
        <v>87</v>
      </c>
      <c r="K4" s="11" t="s">
        <v>87</v>
      </c>
      <c r="L4" s="11" t="s">
        <v>211</v>
      </c>
      <c r="M4" s="11" t="s">
        <v>87</v>
      </c>
      <c r="N4" s="6" t="s">
        <v>535</v>
      </c>
      <c r="O4" s="6" t="s">
        <v>536</v>
      </c>
    </row>
    <row r="5" customFormat="false" ht="15" hidden="false" customHeight="true" outlineLevel="0" collapsed="false">
      <c r="A5" s="6" t="s">
        <v>578</v>
      </c>
      <c r="B5" s="6" t="s">
        <v>579</v>
      </c>
      <c r="C5" s="6" t="s">
        <v>232</v>
      </c>
      <c r="D5" s="6" t="s">
        <v>580</v>
      </c>
      <c r="E5" s="6" t="s">
        <v>581</v>
      </c>
      <c r="F5" s="6" t="s">
        <v>209</v>
      </c>
      <c r="G5" s="10" t="s">
        <v>210</v>
      </c>
      <c r="H5" s="10" t="n">
        <v>0</v>
      </c>
      <c r="I5" s="10" t="n">
        <v>0</v>
      </c>
      <c r="J5" s="11" t="s">
        <v>212</v>
      </c>
      <c r="K5" s="11" t="s">
        <v>212</v>
      </c>
      <c r="L5" s="11" t="s">
        <v>212</v>
      </c>
      <c r="M5" s="11" t="s">
        <v>212</v>
      </c>
      <c r="N5" s="6" t="s">
        <v>582</v>
      </c>
      <c r="O5" s="6"/>
    </row>
    <row r="6" customFormat="false" ht="15" hidden="false" customHeight="true" outlineLevel="0" collapsed="false">
      <c r="A6" s="6" t="s">
        <v>583</v>
      </c>
      <c r="B6" s="6" t="s">
        <v>579</v>
      </c>
      <c r="C6" s="6" t="s">
        <v>232</v>
      </c>
      <c r="D6" s="6" t="s">
        <v>584</v>
      </c>
      <c r="E6" s="6" t="s">
        <v>585</v>
      </c>
      <c r="F6" s="6" t="s">
        <v>209</v>
      </c>
      <c r="G6" s="10" t="s">
        <v>210</v>
      </c>
      <c r="H6" s="10" t="n">
        <v>0</v>
      </c>
      <c r="I6" s="10" t="n">
        <v>0</v>
      </c>
      <c r="J6" s="11" t="s">
        <v>211</v>
      </c>
      <c r="K6" s="11" t="s">
        <v>87</v>
      </c>
      <c r="L6" s="11" t="s">
        <v>87</v>
      </c>
      <c r="M6" s="11" t="s">
        <v>87</v>
      </c>
      <c r="N6" s="6" t="s">
        <v>585</v>
      </c>
      <c r="O6" s="6"/>
    </row>
    <row r="7" customFormat="false" ht="15" hidden="false" customHeight="true" outlineLevel="0" collapsed="false">
      <c r="A7" s="6" t="s">
        <v>586</v>
      </c>
      <c r="B7" s="6" t="s">
        <v>579</v>
      </c>
      <c r="C7" s="6" t="s">
        <v>206</v>
      </c>
      <c r="D7" s="6" t="s">
        <v>587</v>
      </c>
      <c r="E7" s="6" t="s">
        <v>588</v>
      </c>
      <c r="F7" s="6" t="s">
        <v>209</v>
      </c>
      <c r="G7" s="10" t="s">
        <v>210</v>
      </c>
      <c r="H7" s="10" t="n">
        <v>1</v>
      </c>
      <c r="I7" s="10" t="n">
        <v>0</v>
      </c>
      <c r="J7" s="11" t="s">
        <v>211</v>
      </c>
      <c r="K7" s="11" t="s">
        <v>87</v>
      </c>
      <c r="L7" s="11" t="s">
        <v>229</v>
      </c>
      <c r="M7" s="11" t="s">
        <v>87</v>
      </c>
      <c r="N7" s="6" t="s">
        <v>589</v>
      </c>
      <c r="O7" s="6"/>
    </row>
    <row r="8" customFormat="false" ht="15" hidden="false" customHeight="true" outlineLevel="0" collapsed="false">
      <c r="A8" s="6" t="s">
        <v>590</v>
      </c>
      <c r="B8" s="6" t="s">
        <v>579</v>
      </c>
      <c r="C8" s="6" t="s">
        <v>287</v>
      </c>
      <c r="D8" s="6" t="s">
        <v>591</v>
      </c>
      <c r="E8" s="6" t="s">
        <v>592</v>
      </c>
      <c r="F8" s="6" t="s">
        <v>235</v>
      </c>
      <c r="G8" s="10" t="s">
        <v>210</v>
      </c>
      <c r="H8" s="10" t="n">
        <v>0</v>
      </c>
      <c r="I8" s="10" t="n">
        <v>0</v>
      </c>
      <c r="J8" s="11" t="s">
        <v>212</v>
      </c>
      <c r="K8" s="11" t="s">
        <v>212</v>
      </c>
      <c r="L8" s="11" t="s">
        <v>212</v>
      </c>
      <c r="M8" s="11" t="s">
        <v>87</v>
      </c>
      <c r="N8" s="6" t="s">
        <v>593</v>
      </c>
      <c r="O8" s="6"/>
    </row>
    <row r="9" customFormat="false" ht="15" hidden="false" customHeight="true" outlineLevel="0" collapsed="false">
      <c r="A9" s="6" t="s">
        <v>594</v>
      </c>
      <c r="B9" s="6" t="s">
        <v>579</v>
      </c>
      <c r="C9" s="6" t="s">
        <v>287</v>
      </c>
      <c r="D9" s="6" t="s">
        <v>595</v>
      </c>
      <c r="E9" s="6" t="s">
        <v>596</v>
      </c>
      <c r="F9" s="6" t="s">
        <v>235</v>
      </c>
      <c r="G9" s="10" t="s">
        <v>210</v>
      </c>
      <c r="H9" s="10" t="n">
        <v>0</v>
      </c>
      <c r="I9" s="10" t="n">
        <v>0</v>
      </c>
      <c r="J9" s="11" t="s">
        <v>212</v>
      </c>
      <c r="K9" s="11" t="s">
        <v>87</v>
      </c>
      <c r="L9" s="11" t="s">
        <v>212</v>
      </c>
      <c r="M9" s="11" t="s">
        <v>87</v>
      </c>
      <c r="N9" s="6" t="s">
        <v>597</v>
      </c>
      <c r="O9" s="6"/>
    </row>
    <row r="10" customFormat="false" ht="15" hidden="false" customHeight="true" outlineLevel="0" collapsed="false">
      <c r="A10" s="6" t="s">
        <v>598</v>
      </c>
      <c r="B10" s="6" t="s">
        <v>579</v>
      </c>
      <c r="C10" s="6" t="s">
        <v>287</v>
      </c>
      <c r="D10" s="6" t="s">
        <v>599</v>
      </c>
      <c r="E10" s="6" t="s">
        <v>600</v>
      </c>
      <c r="F10" s="6" t="s">
        <v>209</v>
      </c>
      <c r="G10" s="10" t="s">
        <v>210</v>
      </c>
      <c r="H10" s="10" t="n">
        <v>0</v>
      </c>
      <c r="I10" s="10" t="n">
        <v>0</v>
      </c>
      <c r="J10" s="11" t="s">
        <v>211</v>
      </c>
      <c r="K10" s="11" t="s">
        <v>87</v>
      </c>
      <c r="L10" s="11" t="s">
        <v>87</v>
      </c>
      <c r="M10" s="11" t="s">
        <v>87</v>
      </c>
      <c r="N10" s="6" t="s">
        <v>600</v>
      </c>
      <c r="O10" s="6"/>
    </row>
    <row r="11" customFormat="false" ht="23.25" hidden="false" customHeight="true" outlineLevel="0" collapsed="false">
      <c r="A11" s="6" t="s">
        <v>299</v>
      </c>
      <c r="B11" s="6" t="s">
        <v>300</v>
      </c>
      <c r="C11" s="6" t="s">
        <v>206</v>
      </c>
      <c r="D11" s="6" t="s">
        <v>301</v>
      </c>
      <c r="E11" s="6" t="s">
        <v>302</v>
      </c>
      <c r="F11" s="6" t="s">
        <v>209</v>
      </c>
      <c r="G11" s="10" t="s">
        <v>210</v>
      </c>
      <c r="H11" s="10" t="n">
        <v>-1</v>
      </c>
      <c r="I11" s="10" t="n">
        <v>0</v>
      </c>
      <c r="J11" s="11" t="s">
        <v>211</v>
      </c>
      <c r="K11" s="11" t="s">
        <v>211</v>
      </c>
      <c r="L11" s="11" t="s">
        <v>211</v>
      </c>
      <c r="M11" s="11" t="s">
        <v>212</v>
      </c>
      <c r="N11" s="6" t="s">
        <v>307</v>
      </c>
      <c r="O11" s="6" t="s">
        <v>304</v>
      </c>
    </row>
    <row r="12" customFormat="false" ht="15" hidden="false" customHeight="true" outlineLevel="0" collapsed="false">
      <c r="A12" s="6" t="s">
        <v>305</v>
      </c>
      <c r="B12" s="6" t="s">
        <v>300</v>
      </c>
      <c r="C12" s="6" t="s">
        <v>206</v>
      </c>
      <c r="D12" s="6" t="s">
        <v>306</v>
      </c>
      <c r="E12" s="6" t="s">
        <v>307</v>
      </c>
      <c r="F12" s="6" t="s">
        <v>209</v>
      </c>
      <c r="G12" s="10" t="s">
        <v>210</v>
      </c>
      <c r="H12" s="10" t="n">
        <v>0</v>
      </c>
      <c r="I12" s="10" t="n">
        <v>0</v>
      </c>
      <c r="J12" s="11" t="s">
        <v>229</v>
      </c>
      <c r="K12" s="11" t="s">
        <v>229</v>
      </c>
      <c r="L12" s="11" t="s">
        <v>229</v>
      </c>
      <c r="M12" s="11" t="s">
        <v>229</v>
      </c>
      <c r="N12" s="6" t="s">
        <v>542</v>
      </c>
      <c r="O12" s="6"/>
    </row>
    <row r="13" customFormat="false" ht="15" hidden="false" customHeight="true" outlineLevel="0" collapsed="false">
      <c r="A13" s="6" t="s">
        <v>309</v>
      </c>
      <c r="B13" s="6" t="s">
        <v>300</v>
      </c>
      <c r="C13" s="6" t="s">
        <v>232</v>
      </c>
      <c r="D13" s="6" t="s">
        <v>310</v>
      </c>
      <c r="E13" s="6" t="s">
        <v>311</v>
      </c>
      <c r="F13" s="6" t="s">
        <v>235</v>
      </c>
      <c r="G13" s="10" t="s">
        <v>210</v>
      </c>
      <c r="H13" s="10" t="n">
        <v>0</v>
      </c>
      <c r="I13" s="10" t="n">
        <v>0</v>
      </c>
      <c r="J13" s="11" t="s">
        <v>212</v>
      </c>
      <c r="K13" s="11" t="s">
        <v>87</v>
      </c>
      <c r="L13" s="11" t="s">
        <v>212</v>
      </c>
      <c r="M13" s="11" t="s">
        <v>87</v>
      </c>
      <c r="N13" s="6" t="s">
        <v>543</v>
      </c>
      <c r="O13" s="6"/>
    </row>
    <row r="14" customFormat="false" ht="15" hidden="false" customHeight="true" outlineLevel="0" collapsed="false">
      <c r="A14" s="6" t="s">
        <v>313</v>
      </c>
      <c r="B14" s="6" t="s">
        <v>300</v>
      </c>
      <c r="C14" s="6" t="s">
        <v>232</v>
      </c>
      <c r="D14" s="6" t="s">
        <v>314</v>
      </c>
      <c r="E14" s="6" t="s">
        <v>315</v>
      </c>
      <c r="F14" s="6" t="s">
        <v>235</v>
      </c>
      <c r="G14" s="10" t="s">
        <v>210</v>
      </c>
      <c r="H14" s="10" t="n">
        <v>0</v>
      </c>
      <c r="I14" s="10" t="n">
        <v>0</v>
      </c>
      <c r="J14" s="11" t="s">
        <v>212</v>
      </c>
      <c r="K14" s="11" t="s">
        <v>87</v>
      </c>
      <c r="L14" s="11" t="s">
        <v>212</v>
      </c>
      <c r="M14" s="11" t="s">
        <v>87</v>
      </c>
      <c r="N14" s="6" t="s">
        <v>315</v>
      </c>
      <c r="O14" s="6" t="s">
        <v>316</v>
      </c>
    </row>
    <row r="15" customFormat="false" ht="15" hidden="false" customHeight="true" outlineLevel="0" collapsed="false">
      <c r="A15" s="6" t="s">
        <v>317</v>
      </c>
      <c r="B15" s="6" t="s">
        <v>300</v>
      </c>
      <c r="C15" s="6" t="s">
        <v>206</v>
      </c>
      <c r="D15" s="6" t="s">
        <v>318</v>
      </c>
      <c r="E15" s="6" t="s">
        <v>315</v>
      </c>
      <c r="F15" s="6" t="s">
        <v>235</v>
      </c>
      <c r="G15" s="10" t="s">
        <v>210</v>
      </c>
      <c r="H15" s="10" t="n">
        <v>1</v>
      </c>
      <c r="I15" s="10" t="n">
        <v>0</v>
      </c>
      <c r="J15" s="11" t="s">
        <v>212</v>
      </c>
      <c r="K15" s="11" t="s">
        <v>87</v>
      </c>
      <c r="L15" s="11" t="s">
        <v>212</v>
      </c>
      <c r="M15" s="11" t="s">
        <v>87</v>
      </c>
      <c r="N15" s="6" t="s">
        <v>315</v>
      </c>
      <c r="O15" s="6" t="s">
        <v>316</v>
      </c>
    </row>
    <row r="16" customFormat="false" ht="15" hidden="false" customHeight="true" outlineLevel="0" collapsed="false">
      <c r="A16" s="6" t="s">
        <v>319</v>
      </c>
      <c r="B16" s="6" t="s">
        <v>300</v>
      </c>
      <c r="C16" s="6" t="s">
        <v>287</v>
      </c>
      <c r="D16" s="6" t="s">
        <v>320</v>
      </c>
      <c r="E16" s="6" t="s">
        <v>321</v>
      </c>
      <c r="F16" s="6" t="s">
        <v>235</v>
      </c>
      <c r="G16" s="10" t="s">
        <v>210</v>
      </c>
      <c r="H16" s="10" t="n">
        <v>0</v>
      </c>
      <c r="I16" s="10" t="n">
        <v>0</v>
      </c>
      <c r="J16" s="11" t="s">
        <v>212</v>
      </c>
      <c r="K16" s="11" t="s">
        <v>212</v>
      </c>
      <c r="L16" s="11" t="s">
        <v>212</v>
      </c>
      <c r="M16" s="11" t="s">
        <v>87</v>
      </c>
      <c r="N16" s="6" t="s">
        <v>543</v>
      </c>
      <c r="O16" s="6"/>
    </row>
    <row r="17" customFormat="false" ht="23.25" hidden="false" customHeight="true" outlineLevel="0" collapsed="false">
      <c r="A17" s="6" t="s">
        <v>323</v>
      </c>
      <c r="B17" s="6" t="s">
        <v>300</v>
      </c>
      <c r="C17" s="6" t="s">
        <v>206</v>
      </c>
      <c r="D17" s="6" t="s">
        <v>324</v>
      </c>
      <c r="E17" s="6" t="s">
        <v>325</v>
      </c>
      <c r="F17" s="6" t="s">
        <v>235</v>
      </c>
      <c r="G17" s="10" t="s">
        <v>210</v>
      </c>
      <c r="H17" s="10" t="n">
        <v>0</v>
      </c>
      <c r="I17" s="10" t="n">
        <v>0</v>
      </c>
      <c r="J17" s="11" t="s">
        <v>212</v>
      </c>
      <c r="K17" s="11" t="s">
        <v>212</v>
      </c>
      <c r="L17" s="11" t="s">
        <v>212</v>
      </c>
      <c r="M17" s="11" t="s">
        <v>87</v>
      </c>
      <c r="N17" s="6" t="s">
        <v>545</v>
      </c>
      <c r="O17" s="6" t="s">
        <v>327</v>
      </c>
    </row>
    <row r="18" customFormat="false" ht="15" hidden="false" customHeight="true" outlineLevel="0" collapsed="false">
      <c r="A18" s="6" t="s">
        <v>328</v>
      </c>
      <c r="B18" s="6" t="s">
        <v>300</v>
      </c>
      <c r="C18" s="6" t="s">
        <v>206</v>
      </c>
      <c r="D18" s="6" t="s">
        <v>329</v>
      </c>
      <c r="E18" s="6" t="s">
        <v>330</v>
      </c>
      <c r="F18" s="6" t="s">
        <v>235</v>
      </c>
      <c r="G18" s="10" t="s">
        <v>210</v>
      </c>
      <c r="H18" s="10" t="n">
        <v>0</v>
      </c>
      <c r="I18" s="10" t="n">
        <v>0</v>
      </c>
      <c r="J18" s="11" t="s">
        <v>212</v>
      </c>
      <c r="K18" s="11" t="s">
        <v>87</v>
      </c>
      <c r="L18" s="11" t="s">
        <v>212</v>
      </c>
      <c r="M18" s="11" t="s">
        <v>212</v>
      </c>
      <c r="N18" s="6" t="s">
        <v>601</v>
      </c>
      <c r="O18" s="6"/>
    </row>
    <row r="19" customFormat="false" ht="15" hidden="false" customHeight="true" outlineLevel="0" collapsed="false">
      <c r="A19" s="12" t="s">
        <v>332</v>
      </c>
      <c r="B19" s="6" t="s">
        <v>300</v>
      </c>
      <c r="C19" s="6" t="s">
        <v>206</v>
      </c>
      <c r="D19" s="6" t="s">
        <v>333</v>
      </c>
      <c r="E19" s="6" t="s">
        <v>334</v>
      </c>
      <c r="F19" s="12" t="s">
        <v>257</v>
      </c>
      <c r="G19" s="10" t="s">
        <v>258</v>
      </c>
      <c r="H19" s="10" t="n">
        <v>0</v>
      </c>
      <c r="I19" s="10" t="n">
        <v>0</v>
      </c>
      <c r="J19" s="11" t="s">
        <v>87</v>
      </c>
      <c r="K19" s="11" t="s">
        <v>87</v>
      </c>
      <c r="L19" s="11" t="s">
        <v>87</v>
      </c>
      <c r="M19" s="11" t="s">
        <v>87</v>
      </c>
      <c r="N19" s="6" t="s">
        <v>547</v>
      </c>
      <c r="O19" s="6" t="s">
        <v>336</v>
      </c>
    </row>
    <row r="20" customFormat="false" ht="23.25" hidden="false" customHeight="true" outlineLevel="0" collapsed="false">
      <c r="A20" s="12" t="s">
        <v>177</v>
      </c>
      <c r="B20" s="6" t="s">
        <v>300</v>
      </c>
      <c r="C20" s="6" t="s">
        <v>206</v>
      </c>
      <c r="D20" s="6" t="s">
        <v>337</v>
      </c>
      <c r="E20" s="6" t="s">
        <v>338</v>
      </c>
      <c r="F20" s="12" t="s">
        <v>257</v>
      </c>
      <c r="G20" s="10" t="s">
        <v>258</v>
      </c>
      <c r="H20" s="10" t="n">
        <v>0</v>
      </c>
      <c r="I20" s="10" t="n">
        <v>0</v>
      </c>
      <c r="J20" s="11" t="s">
        <v>87</v>
      </c>
      <c r="K20" s="11" t="s">
        <v>87</v>
      </c>
      <c r="L20" s="11" t="s">
        <v>87</v>
      </c>
      <c r="M20" s="11" t="s">
        <v>87</v>
      </c>
      <c r="N20" s="6" t="s">
        <v>602</v>
      </c>
      <c r="O20" s="6" t="s">
        <v>340</v>
      </c>
    </row>
    <row r="21" customFormat="false" ht="15" hidden="false" customHeight="true" outlineLevel="0" collapsed="false">
      <c r="A21" s="12" t="s">
        <v>341</v>
      </c>
      <c r="B21" s="6" t="s">
        <v>342</v>
      </c>
      <c r="C21" s="6" t="s">
        <v>232</v>
      </c>
      <c r="D21" s="6" t="s">
        <v>343</v>
      </c>
      <c r="E21" s="6" t="s">
        <v>344</v>
      </c>
      <c r="F21" s="12" t="s">
        <v>257</v>
      </c>
      <c r="G21" s="10" t="s">
        <v>258</v>
      </c>
      <c r="H21" s="10" t="n">
        <v>0</v>
      </c>
      <c r="I21" s="10" t="n">
        <v>0</v>
      </c>
      <c r="J21" s="11" t="s">
        <v>87</v>
      </c>
      <c r="K21" s="11" t="s">
        <v>87</v>
      </c>
      <c r="L21" s="11" t="s">
        <v>87</v>
      </c>
      <c r="M21" s="11" t="s">
        <v>87</v>
      </c>
      <c r="N21" s="6" t="s">
        <v>603</v>
      </c>
      <c r="O21" s="6" t="s">
        <v>346</v>
      </c>
    </row>
    <row r="22" customFormat="false" ht="15" hidden="false" customHeight="true" outlineLevel="0" collapsed="false">
      <c r="A22" s="12" t="s">
        <v>347</v>
      </c>
      <c r="B22" s="6" t="s">
        <v>342</v>
      </c>
      <c r="C22" s="6" t="s">
        <v>232</v>
      </c>
      <c r="D22" s="6" t="s">
        <v>348</v>
      </c>
      <c r="E22" s="6" t="s">
        <v>349</v>
      </c>
      <c r="F22" s="12" t="s">
        <v>257</v>
      </c>
      <c r="G22" s="10" t="s">
        <v>258</v>
      </c>
      <c r="H22" s="10" t="n">
        <v>0</v>
      </c>
      <c r="I22" s="10" t="n">
        <v>0</v>
      </c>
      <c r="J22" s="11" t="s">
        <v>87</v>
      </c>
      <c r="K22" s="11" t="s">
        <v>87</v>
      </c>
      <c r="L22" s="11" t="s">
        <v>87</v>
      </c>
      <c r="M22" s="11" t="s">
        <v>87</v>
      </c>
      <c r="N22" s="6" t="s">
        <v>604</v>
      </c>
      <c r="O22" s="6" t="s">
        <v>351</v>
      </c>
    </row>
    <row r="23" customFormat="false" ht="15" hidden="false" customHeight="true" outlineLevel="0" collapsed="false">
      <c r="A23" s="6" t="s">
        <v>352</v>
      </c>
      <c r="B23" s="6" t="s">
        <v>342</v>
      </c>
      <c r="C23" s="6" t="s">
        <v>206</v>
      </c>
      <c r="D23" s="6" t="s">
        <v>353</v>
      </c>
      <c r="E23" s="6" t="s">
        <v>354</v>
      </c>
      <c r="F23" s="6" t="s">
        <v>235</v>
      </c>
      <c r="G23" s="10" t="s">
        <v>210</v>
      </c>
      <c r="H23" s="10" t="n">
        <v>0</v>
      </c>
      <c r="I23" s="10" t="n">
        <v>0</v>
      </c>
      <c r="J23" s="11" t="s">
        <v>212</v>
      </c>
      <c r="K23" s="11" t="s">
        <v>212</v>
      </c>
      <c r="L23" s="11" t="s">
        <v>212</v>
      </c>
      <c r="M23" s="11" t="s">
        <v>87</v>
      </c>
      <c r="N23" s="6" t="s">
        <v>605</v>
      </c>
      <c r="O23" s="6"/>
    </row>
    <row r="24" customFormat="false" ht="23.25" hidden="false" customHeight="true" outlineLevel="0" collapsed="false">
      <c r="A24" s="6" t="s">
        <v>356</v>
      </c>
      <c r="B24" s="6" t="s">
        <v>342</v>
      </c>
      <c r="C24" s="6" t="s">
        <v>232</v>
      </c>
      <c r="D24" s="6" t="s">
        <v>357</v>
      </c>
      <c r="E24" s="6" t="s">
        <v>358</v>
      </c>
      <c r="F24" s="6" t="s">
        <v>235</v>
      </c>
      <c r="G24" s="10" t="s">
        <v>210</v>
      </c>
      <c r="H24" s="10" t="n">
        <v>0</v>
      </c>
      <c r="I24" s="10" t="n">
        <v>0</v>
      </c>
      <c r="J24" s="11" t="s">
        <v>212</v>
      </c>
      <c r="K24" s="11" t="s">
        <v>212</v>
      </c>
      <c r="L24" s="11" t="s">
        <v>212</v>
      </c>
      <c r="M24" s="11" t="s">
        <v>87</v>
      </c>
      <c r="N24" s="6" t="s">
        <v>606</v>
      </c>
      <c r="O24" s="6" t="s">
        <v>360</v>
      </c>
    </row>
    <row r="25" customFormat="false" ht="15" hidden="false" customHeight="true" outlineLevel="0" collapsed="false">
      <c r="A25" s="6" t="s">
        <v>361</v>
      </c>
      <c r="B25" s="6" t="s">
        <v>342</v>
      </c>
      <c r="C25" s="6" t="s">
        <v>206</v>
      </c>
      <c r="D25" s="6" t="s">
        <v>362</v>
      </c>
      <c r="E25" s="6" t="s">
        <v>160</v>
      </c>
      <c r="F25" s="6" t="s">
        <v>209</v>
      </c>
      <c r="G25" s="10" t="s">
        <v>210</v>
      </c>
      <c r="H25" s="10" t="n">
        <v>1</v>
      </c>
      <c r="I25" s="10" t="n">
        <v>0</v>
      </c>
      <c r="J25" s="11" t="s">
        <v>212</v>
      </c>
      <c r="K25" s="11" t="s">
        <v>212</v>
      </c>
      <c r="L25" s="11" t="s">
        <v>212</v>
      </c>
      <c r="M25" s="11" t="s">
        <v>212</v>
      </c>
      <c r="N25" s="6" t="s">
        <v>363</v>
      </c>
      <c r="O25" s="6"/>
    </row>
    <row r="26" customFormat="false" ht="15" hidden="false" customHeight="true" outlineLevel="0" collapsed="false">
      <c r="A26" s="12" t="s">
        <v>364</v>
      </c>
      <c r="B26" s="6" t="s">
        <v>342</v>
      </c>
      <c r="C26" s="6" t="s">
        <v>206</v>
      </c>
      <c r="D26" s="6" t="s">
        <v>365</v>
      </c>
      <c r="E26" s="6" t="s">
        <v>366</v>
      </c>
      <c r="F26" s="12" t="s">
        <v>257</v>
      </c>
      <c r="G26" s="10" t="s">
        <v>258</v>
      </c>
      <c r="H26" s="10" t="n">
        <v>0</v>
      </c>
      <c r="I26" s="10" t="n">
        <v>0</v>
      </c>
      <c r="J26" s="11" t="s">
        <v>87</v>
      </c>
      <c r="K26" s="11" t="s">
        <v>87</v>
      </c>
      <c r="L26" s="11" t="s">
        <v>87</v>
      </c>
      <c r="M26" s="11" t="s">
        <v>87</v>
      </c>
      <c r="N26" s="6" t="s">
        <v>607</v>
      </c>
      <c r="O26" s="6"/>
    </row>
    <row r="27" customFormat="false" ht="15" hidden="false" customHeight="true" outlineLevel="0" collapsed="false">
      <c r="A27" s="6" t="s">
        <v>367</v>
      </c>
      <c r="B27" s="6" t="s">
        <v>342</v>
      </c>
      <c r="C27" s="6" t="s">
        <v>206</v>
      </c>
      <c r="D27" s="6" t="s">
        <v>368</v>
      </c>
      <c r="E27" s="6" t="s">
        <v>369</v>
      </c>
      <c r="F27" s="6" t="s">
        <v>235</v>
      </c>
      <c r="G27" s="10" t="s">
        <v>210</v>
      </c>
      <c r="H27" s="10" t="n">
        <v>0</v>
      </c>
      <c r="I27" s="10" t="n">
        <v>0</v>
      </c>
      <c r="J27" s="11" t="s">
        <v>212</v>
      </c>
      <c r="K27" s="11" t="s">
        <v>212</v>
      </c>
      <c r="L27" s="11" t="s">
        <v>87</v>
      </c>
      <c r="M27" s="11" t="s">
        <v>87</v>
      </c>
      <c r="N27" s="6" t="s">
        <v>369</v>
      </c>
      <c r="O27" s="6"/>
    </row>
    <row r="28" customFormat="false" ht="23.25" hidden="false" customHeight="true" outlineLevel="0" collapsed="false">
      <c r="A28" s="12" t="s">
        <v>370</v>
      </c>
      <c r="B28" s="6" t="s">
        <v>342</v>
      </c>
      <c r="C28" s="6" t="s">
        <v>206</v>
      </c>
      <c r="D28" s="6" t="s">
        <v>371</v>
      </c>
      <c r="E28" s="6" t="s">
        <v>372</v>
      </c>
      <c r="F28" s="12" t="s">
        <v>257</v>
      </c>
      <c r="G28" s="10" t="s">
        <v>258</v>
      </c>
      <c r="H28" s="10" t="n">
        <v>0</v>
      </c>
      <c r="I28" s="10" t="n">
        <v>0</v>
      </c>
      <c r="J28" s="11" t="s">
        <v>87</v>
      </c>
      <c r="K28" s="11" t="s">
        <v>87</v>
      </c>
      <c r="L28" s="11" t="s">
        <v>87</v>
      </c>
      <c r="M28" s="11" t="s">
        <v>87</v>
      </c>
      <c r="N28" s="6" t="s">
        <v>554</v>
      </c>
      <c r="O28" s="6" t="s">
        <v>374</v>
      </c>
    </row>
    <row r="29" customFormat="false" ht="15" hidden="false" customHeight="true" outlineLevel="0" collapsed="false">
      <c r="A29" s="12" t="s">
        <v>375</v>
      </c>
      <c r="B29" s="6" t="s">
        <v>342</v>
      </c>
      <c r="C29" s="6" t="s">
        <v>232</v>
      </c>
      <c r="D29" s="6" t="s">
        <v>376</v>
      </c>
      <c r="E29" s="6" t="s">
        <v>256</v>
      </c>
      <c r="F29" s="12" t="s">
        <v>257</v>
      </c>
      <c r="G29" s="10" t="s">
        <v>258</v>
      </c>
      <c r="H29" s="10" t="n">
        <v>0</v>
      </c>
      <c r="I29" s="10" t="n">
        <v>0</v>
      </c>
      <c r="J29" s="11" t="s">
        <v>87</v>
      </c>
      <c r="K29" s="11" t="s">
        <v>87</v>
      </c>
      <c r="L29" s="11" t="s">
        <v>87</v>
      </c>
      <c r="M29" s="11" t="s">
        <v>87</v>
      </c>
      <c r="N29" s="6" t="s">
        <v>377</v>
      </c>
      <c r="O29" s="6" t="s">
        <v>378</v>
      </c>
    </row>
    <row r="30" customFormat="false" ht="15" hidden="false" customHeight="true" outlineLevel="0" collapsed="false">
      <c r="A30" s="12" t="s">
        <v>379</v>
      </c>
      <c r="B30" s="6" t="s">
        <v>342</v>
      </c>
      <c r="C30" s="6" t="s">
        <v>287</v>
      </c>
      <c r="D30" s="6" t="s">
        <v>380</v>
      </c>
      <c r="E30" s="6" t="s">
        <v>381</v>
      </c>
      <c r="F30" s="12" t="s">
        <v>257</v>
      </c>
      <c r="G30" s="10" t="s">
        <v>258</v>
      </c>
      <c r="H30" s="10" t="n">
        <v>0</v>
      </c>
      <c r="I30" s="10" t="n">
        <v>0</v>
      </c>
      <c r="J30" s="11" t="s">
        <v>87</v>
      </c>
      <c r="K30" s="11" t="s">
        <v>87</v>
      </c>
      <c r="L30" s="11" t="s">
        <v>87</v>
      </c>
      <c r="M30" s="11" t="s">
        <v>87</v>
      </c>
      <c r="N30" s="6" t="s">
        <v>382</v>
      </c>
      <c r="O30" s="6" t="s">
        <v>382</v>
      </c>
    </row>
    <row r="31" customFormat="false" ht="15" hidden="false" customHeight="true" outlineLevel="0" collapsed="false">
      <c r="A31" s="12" t="s">
        <v>383</v>
      </c>
      <c r="B31" s="6" t="s">
        <v>342</v>
      </c>
      <c r="C31" s="6" t="s">
        <v>232</v>
      </c>
      <c r="D31" s="6" t="s">
        <v>384</v>
      </c>
      <c r="E31" s="6" t="s">
        <v>385</v>
      </c>
      <c r="F31" s="12" t="s">
        <v>257</v>
      </c>
      <c r="G31" s="10" t="s">
        <v>258</v>
      </c>
      <c r="H31" s="10" t="n">
        <v>0</v>
      </c>
      <c r="I31" s="10" t="n">
        <v>0</v>
      </c>
      <c r="J31" s="11" t="s">
        <v>87</v>
      </c>
      <c r="K31" s="11" t="s">
        <v>87</v>
      </c>
      <c r="L31" s="11" t="s">
        <v>87</v>
      </c>
      <c r="M31" s="11" t="s">
        <v>87</v>
      </c>
      <c r="N31" s="6" t="s">
        <v>382</v>
      </c>
      <c r="O31" s="6" t="s">
        <v>386</v>
      </c>
    </row>
    <row r="32" customFormat="false" ht="23.25" hidden="false" customHeight="true" outlineLevel="0" collapsed="false">
      <c r="A32" s="12" t="s">
        <v>387</v>
      </c>
      <c r="B32" s="6" t="s">
        <v>342</v>
      </c>
      <c r="C32" s="6" t="s">
        <v>232</v>
      </c>
      <c r="D32" s="6" t="s">
        <v>388</v>
      </c>
      <c r="E32" s="6" t="s">
        <v>389</v>
      </c>
      <c r="F32" s="12" t="s">
        <v>257</v>
      </c>
      <c r="G32" s="10" t="s">
        <v>258</v>
      </c>
      <c r="H32" s="10" t="n">
        <v>0</v>
      </c>
      <c r="I32" s="10" t="n">
        <v>0</v>
      </c>
      <c r="J32" s="11" t="s">
        <v>87</v>
      </c>
      <c r="K32" s="11" t="s">
        <v>87</v>
      </c>
      <c r="L32" s="11" t="s">
        <v>87</v>
      </c>
      <c r="M32" s="11" t="s">
        <v>87</v>
      </c>
      <c r="N32" s="6" t="s">
        <v>604</v>
      </c>
      <c r="O32" s="6" t="s">
        <v>391</v>
      </c>
    </row>
    <row r="33" customFormat="false" ht="15" hidden="false" customHeight="true" outlineLevel="0" collapsed="false">
      <c r="A33" s="12" t="s">
        <v>392</v>
      </c>
      <c r="B33" s="6" t="s">
        <v>342</v>
      </c>
      <c r="C33" s="6" t="s">
        <v>232</v>
      </c>
      <c r="D33" s="6" t="s">
        <v>393</v>
      </c>
      <c r="E33" s="6" t="s">
        <v>394</v>
      </c>
      <c r="F33" s="12" t="s">
        <v>257</v>
      </c>
      <c r="G33" s="10" t="s">
        <v>258</v>
      </c>
      <c r="H33" s="10" t="n">
        <v>0</v>
      </c>
      <c r="I33" s="10" t="n">
        <v>0</v>
      </c>
      <c r="J33" s="11" t="s">
        <v>87</v>
      </c>
      <c r="K33" s="11" t="s">
        <v>87</v>
      </c>
      <c r="L33" s="11" t="s">
        <v>87</v>
      </c>
      <c r="M33" s="11" t="s">
        <v>87</v>
      </c>
      <c r="N33" s="6" t="s">
        <v>394</v>
      </c>
      <c r="O33" s="6" t="s">
        <v>395</v>
      </c>
    </row>
    <row r="34" customFormat="false" ht="23.25" hidden="false" customHeight="true" outlineLevel="0" collapsed="false">
      <c r="A34" s="12" t="s">
        <v>396</v>
      </c>
      <c r="B34" s="6" t="s">
        <v>342</v>
      </c>
      <c r="C34" s="6" t="s">
        <v>232</v>
      </c>
      <c r="D34" s="6" t="s">
        <v>397</v>
      </c>
      <c r="E34" s="6" t="s">
        <v>398</v>
      </c>
      <c r="F34" s="12" t="s">
        <v>257</v>
      </c>
      <c r="G34" s="10" t="s">
        <v>258</v>
      </c>
      <c r="H34" s="10" t="n">
        <v>0</v>
      </c>
      <c r="I34" s="10" t="n">
        <v>0</v>
      </c>
      <c r="J34" s="11" t="s">
        <v>87</v>
      </c>
      <c r="K34" s="11" t="s">
        <v>87</v>
      </c>
      <c r="L34" s="11" t="s">
        <v>87</v>
      </c>
      <c r="M34" s="11" t="s">
        <v>87</v>
      </c>
      <c r="N34" s="6" t="s">
        <v>399</v>
      </c>
      <c r="O34" s="6" t="s">
        <v>399</v>
      </c>
    </row>
    <row r="35" customFormat="false" ht="23.25" hidden="false" customHeight="true" outlineLevel="0" collapsed="false">
      <c r="A35" s="12" t="s">
        <v>400</v>
      </c>
      <c r="B35" s="6" t="s">
        <v>342</v>
      </c>
      <c r="C35" s="6" t="s">
        <v>232</v>
      </c>
      <c r="D35" s="6" t="s">
        <v>401</v>
      </c>
      <c r="E35" s="6" t="s">
        <v>402</v>
      </c>
      <c r="F35" s="12" t="s">
        <v>257</v>
      </c>
      <c r="G35" s="10" t="s">
        <v>258</v>
      </c>
      <c r="H35" s="10" t="n">
        <v>0</v>
      </c>
      <c r="I35" s="10" t="n">
        <v>0</v>
      </c>
      <c r="J35" s="11" t="s">
        <v>87</v>
      </c>
      <c r="K35" s="11" t="s">
        <v>87</v>
      </c>
      <c r="L35" s="11" t="s">
        <v>87</v>
      </c>
      <c r="M35" s="11" t="s">
        <v>87</v>
      </c>
      <c r="N35" s="6" t="s">
        <v>608</v>
      </c>
      <c r="O35" s="6" t="s">
        <v>403</v>
      </c>
    </row>
    <row r="36" customFormat="false" ht="15" hidden="false" customHeight="true" outlineLevel="0" collapsed="false">
      <c r="A36" s="6" t="s">
        <v>404</v>
      </c>
      <c r="B36" s="6" t="s">
        <v>405</v>
      </c>
      <c r="C36" s="6" t="s">
        <v>232</v>
      </c>
      <c r="D36" s="6" t="s">
        <v>406</v>
      </c>
      <c r="E36" s="6" t="s">
        <v>407</v>
      </c>
      <c r="F36" s="6" t="s">
        <v>209</v>
      </c>
      <c r="G36" s="10" t="s">
        <v>210</v>
      </c>
      <c r="H36" s="10" t="n">
        <v>0</v>
      </c>
      <c r="I36" s="10" t="n">
        <v>0</v>
      </c>
      <c r="J36" s="11" t="s">
        <v>211</v>
      </c>
      <c r="K36" s="11" t="s">
        <v>211</v>
      </c>
      <c r="L36" s="11" t="s">
        <v>211</v>
      </c>
      <c r="M36" s="11" t="s">
        <v>211</v>
      </c>
      <c r="N36" s="6" t="s">
        <v>407</v>
      </c>
      <c r="O36" s="6"/>
    </row>
    <row r="37" customFormat="false" ht="15" hidden="false" customHeight="true" outlineLevel="0" collapsed="false">
      <c r="A37" s="6" t="s">
        <v>409</v>
      </c>
      <c r="B37" s="6" t="s">
        <v>405</v>
      </c>
      <c r="C37" s="6" t="s">
        <v>232</v>
      </c>
      <c r="D37" s="6" t="s">
        <v>410</v>
      </c>
      <c r="E37" s="6" t="s">
        <v>411</v>
      </c>
      <c r="F37" s="6" t="s">
        <v>209</v>
      </c>
      <c r="G37" s="10" t="s">
        <v>210</v>
      </c>
      <c r="H37" s="10" t="n">
        <v>0</v>
      </c>
      <c r="I37" s="10" t="n">
        <v>0</v>
      </c>
      <c r="J37" s="11" t="s">
        <v>211</v>
      </c>
      <c r="K37" s="11" t="s">
        <v>87</v>
      </c>
      <c r="L37" s="11" t="s">
        <v>212</v>
      </c>
      <c r="M37" s="11" t="s">
        <v>87</v>
      </c>
      <c r="N37" s="6" t="s">
        <v>609</v>
      </c>
      <c r="O37" s="6"/>
    </row>
    <row r="38" customFormat="false" ht="15" hidden="false" customHeight="true" outlineLevel="0" collapsed="false">
      <c r="A38" s="6" t="s">
        <v>413</v>
      </c>
      <c r="B38" s="6" t="s">
        <v>405</v>
      </c>
      <c r="C38" s="6" t="s">
        <v>206</v>
      </c>
      <c r="D38" s="6" t="s">
        <v>414</v>
      </c>
      <c r="E38" s="6" t="s">
        <v>415</v>
      </c>
      <c r="F38" s="6" t="s">
        <v>209</v>
      </c>
      <c r="G38" s="10" t="s">
        <v>210</v>
      </c>
      <c r="H38" s="10" t="n">
        <v>1</v>
      </c>
      <c r="I38" s="10" t="n">
        <v>0</v>
      </c>
      <c r="J38" s="11" t="s">
        <v>87</v>
      </c>
      <c r="K38" s="11" t="s">
        <v>87</v>
      </c>
      <c r="L38" s="11" t="s">
        <v>87</v>
      </c>
      <c r="M38" s="11" t="s">
        <v>211</v>
      </c>
      <c r="N38" s="6" t="s">
        <v>415</v>
      </c>
      <c r="O38" s="6"/>
    </row>
    <row r="39" customFormat="false" ht="15" hidden="false" customHeight="true" outlineLevel="0" collapsed="false">
      <c r="A39" s="6" t="s">
        <v>417</v>
      </c>
      <c r="B39" s="6" t="s">
        <v>405</v>
      </c>
      <c r="C39" s="6" t="s">
        <v>206</v>
      </c>
      <c r="D39" s="6" t="s">
        <v>418</v>
      </c>
      <c r="E39" s="6" t="s">
        <v>415</v>
      </c>
      <c r="F39" s="6" t="s">
        <v>209</v>
      </c>
      <c r="G39" s="10" t="s">
        <v>210</v>
      </c>
      <c r="H39" s="10" t="n">
        <v>-1</v>
      </c>
      <c r="I39" s="10" t="n">
        <v>0</v>
      </c>
      <c r="J39" s="11" t="s">
        <v>87</v>
      </c>
      <c r="K39" s="11" t="s">
        <v>87</v>
      </c>
      <c r="L39" s="11" t="s">
        <v>87</v>
      </c>
      <c r="M39" s="11" t="s">
        <v>211</v>
      </c>
      <c r="N39" s="6" t="s">
        <v>415</v>
      </c>
      <c r="O39" s="6"/>
    </row>
    <row r="40" customFormat="false" ht="15" hidden="false" customHeight="true" outlineLevel="0" collapsed="false">
      <c r="A40" s="6" t="s">
        <v>420</v>
      </c>
      <c r="B40" s="6" t="s">
        <v>405</v>
      </c>
      <c r="C40" s="6" t="s">
        <v>206</v>
      </c>
      <c r="D40" s="6" t="s">
        <v>421</v>
      </c>
      <c r="E40" s="6" t="s">
        <v>415</v>
      </c>
      <c r="F40" s="6" t="s">
        <v>209</v>
      </c>
      <c r="G40" s="10" t="s">
        <v>210</v>
      </c>
      <c r="H40" s="10" t="n">
        <v>-1</v>
      </c>
      <c r="I40" s="10" t="n">
        <v>0</v>
      </c>
      <c r="J40" s="11" t="s">
        <v>87</v>
      </c>
      <c r="K40" s="11" t="s">
        <v>87</v>
      </c>
      <c r="L40" s="11" t="s">
        <v>87</v>
      </c>
      <c r="M40" s="11" t="s">
        <v>211</v>
      </c>
      <c r="N40" s="6" t="s">
        <v>415</v>
      </c>
      <c r="O40" s="6"/>
    </row>
    <row r="41" customFormat="false" ht="23.25" hidden="false" customHeight="true" outlineLevel="0" collapsed="false">
      <c r="A41" s="12" t="s">
        <v>422</v>
      </c>
      <c r="B41" s="6" t="s">
        <v>405</v>
      </c>
      <c r="C41" s="6" t="s">
        <v>232</v>
      </c>
      <c r="D41" s="6" t="s">
        <v>423</v>
      </c>
      <c r="E41" s="6" t="s">
        <v>424</v>
      </c>
      <c r="F41" s="12" t="s">
        <v>257</v>
      </c>
      <c r="G41" s="10" t="s">
        <v>258</v>
      </c>
      <c r="H41" s="10" t="n">
        <v>0</v>
      </c>
      <c r="I41" s="10" t="n">
        <v>0</v>
      </c>
      <c r="J41" s="11" t="s">
        <v>87</v>
      </c>
      <c r="K41" s="11" t="s">
        <v>87</v>
      </c>
      <c r="L41" s="11" t="s">
        <v>87</v>
      </c>
      <c r="M41" s="11" t="s">
        <v>87</v>
      </c>
      <c r="N41" s="6" t="s">
        <v>610</v>
      </c>
      <c r="O41" s="6"/>
    </row>
    <row r="42" customFormat="false" ht="15" hidden="false" customHeight="true" outlineLevel="0" collapsed="false">
      <c r="A42" s="6" t="s">
        <v>425</v>
      </c>
      <c r="B42" s="6" t="s">
        <v>405</v>
      </c>
      <c r="C42" s="6" t="s">
        <v>206</v>
      </c>
      <c r="D42" s="6" t="s">
        <v>426</v>
      </c>
      <c r="E42" s="6" t="s">
        <v>427</v>
      </c>
      <c r="F42" s="6" t="s">
        <v>209</v>
      </c>
      <c r="G42" s="10" t="s">
        <v>210</v>
      </c>
      <c r="H42" s="10" t="n">
        <v>0</v>
      </c>
      <c r="I42" s="10" t="n">
        <v>0</v>
      </c>
      <c r="J42" s="11" t="s">
        <v>87</v>
      </c>
      <c r="K42" s="11" t="s">
        <v>211</v>
      </c>
      <c r="L42" s="11" t="s">
        <v>87</v>
      </c>
      <c r="M42" s="11" t="s">
        <v>87</v>
      </c>
      <c r="N42" s="6" t="s">
        <v>611</v>
      </c>
      <c r="O42" s="6"/>
    </row>
    <row r="43" customFormat="false" ht="15" hidden="false" customHeight="true" outlineLevel="0" collapsed="false">
      <c r="A43" s="6" t="s">
        <v>429</v>
      </c>
      <c r="B43" s="6" t="s">
        <v>405</v>
      </c>
      <c r="C43" s="6" t="s">
        <v>232</v>
      </c>
      <c r="D43" s="6" t="s">
        <v>430</v>
      </c>
      <c r="E43" s="6" t="s">
        <v>431</v>
      </c>
      <c r="F43" s="6" t="s">
        <v>209</v>
      </c>
      <c r="G43" s="10" t="s">
        <v>210</v>
      </c>
      <c r="H43" s="10" t="n">
        <v>0</v>
      </c>
      <c r="I43" s="10" t="n">
        <v>0</v>
      </c>
      <c r="J43" s="11" t="s">
        <v>212</v>
      </c>
      <c r="K43" s="11" t="s">
        <v>211</v>
      </c>
      <c r="L43" s="11" t="s">
        <v>212</v>
      </c>
      <c r="M43" s="11" t="s">
        <v>211</v>
      </c>
      <c r="N43" s="6" t="s">
        <v>612</v>
      </c>
      <c r="O43" s="6"/>
    </row>
    <row r="44" customFormat="false" ht="15" hidden="false" customHeight="true" outlineLevel="0" collapsed="false">
      <c r="A44" s="6" t="s">
        <v>432</v>
      </c>
      <c r="B44" s="6" t="s">
        <v>405</v>
      </c>
      <c r="C44" s="6" t="s">
        <v>232</v>
      </c>
      <c r="D44" s="6" t="s">
        <v>433</v>
      </c>
      <c r="E44" s="6" t="s">
        <v>434</v>
      </c>
      <c r="F44" s="6" t="s">
        <v>235</v>
      </c>
      <c r="G44" s="10" t="s">
        <v>210</v>
      </c>
      <c r="H44" s="10" t="n">
        <v>0</v>
      </c>
      <c r="I44" s="10" t="n">
        <v>0</v>
      </c>
      <c r="J44" s="11" t="s">
        <v>87</v>
      </c>
      <c r="K44" s="11" t="s">
        <v>212</v>
      </c>
      <c r="L44" s="11" t="s">
        <v>87</v>
      </c>
      <c r="M44" s="11" t="s">
        <v>87</v>
      </c>
      <c r="N44" s="6" t="s">
        <v>613</v>
      </c>
      <c r="O44" s="6"/>
    </row>
    <row r="45" customFormat="false" ht="15" hidden="false" customHeight="true" outlineLevel="0" collapsed="false">
      <c r="A45" s="6" t="s">
        <v>435</v>
      </c>
      <c r="B45" s="6" t="s">
        <v>405</v>
      </c>
      <c r="C45" s="6" t="s">
        <v>287</v>
      </c>
      <c r="D45" s="6" t="s">
        <v>436</v>
      </c>
      <c r="E45" s="6" t="s">
        <v>437</v>
      </c>
      <c r="F45" s="6" t="s">
        <v>209</v>
      </c>
      <c r="G45" s="10" t="s">
        <v>210</v>
      </c>
      <c r="H45" s="10" t="n">
        <v>0</v>
      </c>
      <c r="I45" s="10" t="n">
        <v>0</v>
      </c>
      <c r="J45" s="11" t="s">
        <v>87</v>
      </c>
      <c r="K45" s="11" t="s">
        <v>212</v>
      </c>
      <c r="L45" s="11" t="s">
        <v>87</v>
      </c>
      <c r="M45" s="11" t="s">
        <v>211</v>
      </c>
      <c r="N45" s="6" t="s">
        <v>614</v>
      </c>
      <c r="O45" s="6"/>
    </row>
    <row r="46" customFormat="false" ht="23.25" hidden="false" customHeight="true" outlineLevel="0" collapsed="false">
      <c r="A46" s="12" t="s">
        <v>438</v>
      </c>
      <c r="B46" s="6" t="s">
        <v>405</v>
      </c>
      <c r="C46" s="6" t="s">
        <v>287</v>
      </c>
      <c r="D46" s="6" t="s">
        <v>439</v>
      </c>
      <c r="E46" s="6" t="s">
        <v>440</v>
      </c>
      <c r="F46" s="12" t="s">
        <v>257</v>
      </c>
      <c r="G46" s="10" t="s">
        <v>258</v>
      </c>
      <c r="H46" s="10" t="n">
        <v>0</v>
      </c>
      <c r="I46" s="10" t="n">
        <v>0</v>
      </c>
      <c r="J46" s="11" t="s">
        <v>87</v>
      </c>
      <c r="K46" s="11" t="s">
        <v>87</v>
      </c>
      <c r="L46" s="11" t="s">
        <v>87</v>
      </c>
      <c r="M46" s="11" t="s">
        <v>87</v>
      </c>
      <c r="N46" s="6" t="s">
        <v>604</v>
      </c>
      <c r="O46" s="6"/>
    </row>
    <row r="47" customFormat="false" ht="15" hidden="false" customHeight="true" outlineLevel="0" collapsed="false">
      <c r="A47" s="12" t="s">
        <v>441</v>
      </c>
      <c r="B47" s="6" t="s">
        <v>405</v>
      </c>
      <c r="C47" s="6" t="s">
        <v>287</v>
      </c>
      <c r="D47" s="6" t="s">
        <v>442</v>
      </c>
      <c r="E47" s="6" t="s">
        <v>443</v>
      </c>
      <c r="F47" s="12" t="s">
        <v>257</v>
      </c>
      <c r="G47" s="10" t="s">
        <v>258</v>
      </c>
      <c r="H47" s="10" t="n">
        <v>0</v>
      </c>
      <c r="I47" s="10" t="n">
        <v>0</v>
      </c>
      <c r="J47" s="11" t="s">
        <v>87</v>
      </c>
      <c r="K47" s="11" t="s">
        <v>87</v>
      </c>
      <c r="L47" s="11" t="s">
        <v>87</v>
      </c>
      <c r="M47" s="11" t="s">
        <v>87</v>
      </c>
      <c r="N47" s="6" t="s">
        <v>615</v>
      </c>
      <c r="O47" s="6"/>
    </row>
    <row r="48" customFormat="false" ht="15" hidden="false" customHeight="true" outlineLevel="0" collapsed="false">
      <c r="A48" s="6" t="s">
        <v>444</v>
      </c>
      <c r="B48" s="6" t="s">
        <v>405</v>
      </c>
      <c r="C48" s="6" t="s">
        <v>206</v>
      </c>
      <c r="D48" s="6" t="s">
        <v>445</v>
      </c>
      <c r="E48" s="6" t="s">
        <v>446</v>
      </c>
      <c r="F48" s="6" t="s">
        <v>235</v>
      </c>
      <c r="G48" s="10" t="s">
        <v>210</v>
      </c>
      <c r="H48" s="10" t="n">
        <v>0</v>
      </c>
      <c r="I48" s="10" t="n">
        <v>0</v>
      </c>
      <c r="J48" s="11" t="s">
        <v>229</v>
      </c>
      <c r="K48" s="11" t="s">
        <v>229</v>
      </c>
      <c r="L48" s="11" t="s">
        <v>229</v>
      </c>
      <c r="M48" s="11" t="s">
        <v>229</v>
      </c>
      <c r="N48" s="6" t="s">
        <v>616</v>
      </c>
      <c r="O48" s="6"/>
    </row>
    <row r="49" customFormat="false" ht="15" hidden="false" customHeight="true" outlineLevel="0" collapsed="false">
      <c r="A49" s="12" t="s">
        <v>447</v>
      </c>
      <c r="B49" s="6" t="s">
        <v>405</v>
      </c>
      <c r="C49" s="6" t="s">
        <v>232</v>
      </c>
      <c r="D49" s="6" t="s">
        <v>448</v>
      </c>
      <c r="E49" s="6" t="s">
        <v>449</v>
      </c>
      <c r="F49" s="12" t="s">
        <v>257</v>
      </c>
      <c r="G49" s="10" t="s">
        <v>258</v>
      </c>
      <c r="H49" s="10" t="n">
        <v>0</v>
      </c>
      <c r="I49" s="10" t="n">
        <v>0</v>
      </c>
      <c r="J49" s="11" t="s">
        <v>87</v>
      </c>
      <c r="K49" s="11" t="s">
        <v>87</v>
      </c>
      <c r="L49" s="11" t="s">
        <v>87</v>
      </c>
      <c r="M49" s="11" t="s">
        <v>87</v>
      </c>
      <c r="N49" s="6" t="s">
        <v>604</v>
      </c>
      <c r="O49" s="6" t="s">
        <v>450</v>
      </c>
    </row>
    <row r="50" customFormat="false" ht="15" hidden="false" customHeight="true" outlineLevel="0" collapsed="false">
      <c r="A50" s="12" t="s">
        <v>451</v>
      </c>
      <c r="B50" s="6" t="s">
        <v>405</v>
      </c>
      <c r="C50" s="6" t="s">
        <v>287</v>
      </c>
      <c r="D50" s="6" t="s">
        <v>452</v>
      </c>
      <c r="E50" s="6" t="s">
        <v>453</v>
      </c>
      <c r="F50" s="12" t="s">
        <v>257</v>
      </c>
      <c r="G50" s="10" t="s">
        <v>258</v>
      </c>
      <c r="H50" s="10" t="n">
        <v>0</v>
      </c>
      <c r="I50" s="10" t="n">
        <v>0</v>
      </c>
      <c r="J50" s="11" t="s">
        <v>87</v>
      </c>
      <c r="K50" s="11" t="s">
        <v>87</v>
      </c>
      <c r="L50" s="11" t="s">
        <v>87</v>
      </c>
      <c r="M50" s="11" t="s">
        <v>87</v>
      </c>
      <c r="N50" s="6" t="s">
        <v>604</v>
      </c>
      <c r="O50" s="6"/>
    </row>
    <row r="51" customFormat="false" ht="23.25" hidden="false" customHeight="true" outlineLevel="0" collapsed="false">
      <c r="A51" s="12" t="s">
        <v>454</v>
      </c>
      <c r="B51" s="6" t="s">
        <v>455</v>
      </c>
      <c r="C51" s="6" t="s">
        <v>206</v>
      </c>
      <c r="D51" s="6" t="s">
        <v>456</v>
      </c>
      <c r="E51" s="6" t="s">
        <v>457</v>
      </c>
      <c r="F51" s="12" t="s">
        <v>257</v>
      </c>
      <c r="G51" s="10" t="s">
        <v>258</v>
      </c>
      <c r="H51" s="10" t="n">
        <v>0</v>
      </c>
      <c r="I51" s="10" t="n">
        <v>0</v>
      </c>
      <c r="J51" s="11" t="s">
        <v>87</v>
      </c>
      <c r="K51" s="11" t="s">
        <v>87</v>
      </c>
      <c r="L51" s="11" t="s">
        <v>87</v>
      </c>
      <c r="M51" s="11" t="s">
        <v>87</v>
      </c>
      <c r="N51" s="6" t="s">
        <v>617</v>
      </c>
      <c r="O51" s="6" t="s">
        <v>459</v>
      </c>
    </row>
    <row r="52" customFormat="false" ht="15" hidden="false" customHeight="true" outlineLevel="0" collapsed="false">
      <c r="A52" s="12" t="s">
        <v>460</v>
      </c>
      <c r="B52" s="6" t="s">
        <v>455</v>
      </c>
      <c r="C52" s="6" t="s">
        <v>206</v>
      </c>
      <c r="D52" s="6" t="s">
        <v>461</v>
      </c>
      <c r="E52" s="6" t="s">
        <v>462</v>
      </c>
      <c r="F52" s="12" t="s">
        <v>257</v>
      </c>
      <c r="G52" s="10" t="s">
        <v>258</v>
      </c>
      <c r="H52" s="10" t="n">
        <v>0</v>
      </c>
      <c r="I52" s="10" t="n">
        <v>0</v>
      </c>
      <c r="J52" s="11" t="s">
        <v>87</v>
      </c>
      <c r="K52" s="11" t="s">
        <v>87</v>
      </c>
      <c r="L52" s="11" t="s">
        <v>87</v>
      </c>
      <c r="M52" s="11" t="s">
        <v>87</v>
      </c>
      <c r="N52" s="6" t="s">
        <v>618</v>
      </c>
      <c r="O52" s="6" t="s">
        <v>464</v>
      </c>
    </row>
    <row r="53" customFormat="false" ht="15" hidden="false" customHeight="true" outlineLevel="0" collapsed="false">
      <c r="A53" s="6" t="s">
        <v>465</v>
      </c>
      <c r="B53" s="6" t="s">
        <v>455</v>
      </c>
      <c r="C53" s="6" t="s">
        <v>206</v>
      </c>
      <c r="D53" s="6" t="s">
        <v>466</v>
      </c>
      <c r="E53" s="6" t="s">
        <v>467</v>
      </c>
      <c r="F53" s="6" t="s">
        <v>209</v>
      </c>
      <c r="G53" s="10" t="s">
        <v>210</v>
      </c>
      <c r="H53" s="10" t="n">
        <v>1</v>
      </c>
      <c r="I53" s="10" t="n">
        <v>0</v>
      </c>
      <c r="J53" s="11" t="s">
        <v>87</v>
      </c>
      <c r="K53" s="11" t="s">
        <v>211</v>
      </c>
      <c r="L53" s="11" t="s">
        <v>87</v>
      </c>
      <c r="M53" s="11" t="s">
        <v>87</v>
      </c>
      <c r="N53" s="6" t="s">
        <v>570</v>
      </c>
      <c r="O53" s="6" t="s">
        <v>464</v>
      </c>
    </row>
    <row r="54" customFormat="false" ht="15" hidden="false" customHeight="true" outlineLevel="0" collapsed="false">
      <c r="A54" s="12" t="s">
        <v>469</v>
      </c>
      <c r="B54" s="6" t="s">
        <v>455</v>
      </c>
      <c r="C54" s="6" t="s">
        <v>206</v>
      </c>
      <c r="D54" s="6" t="s">
        <v>470</v>
      </c>
      <c r="E54" s="6" t="s">
        <v>471</v>
      </c>
      <c r="F54" s="12" t="s">
        <v>257</v>
      </c>
      <c r="G54" s="10" t="s">
        <v>258</v>
      </c>
      <c r="H54" s="10" t="n">
        <v>0</v>
      </c>
      <c r="I54" s="10" t="n">
        <v>0</v>
      </c>
      <c r="J54" s="11" t="s">
        <v>87</v>
      </c>
      <c r="K54" s="11" t="s">
        <v>87</v>
      </c>
      <c r="L54" s="11" t="s">
        <v>87</v>
      </c>
      <c r="M54" s="11" t="s">
        <v>87</v>
      </c>
      <c r="N54" s="6" t="s">
        <v>604</v>
      </c>
      <c r="O54" s="6" t="s">
        <v>464</v>
      </c>
    </row>
    <row r="55" customFormat="false" ht="15" hidden="false" customHeight="true" outlineLevel="0" collapsed="false">
      <c r="A55" s="12" t="s">
        <v>473</v>
      </c>
      <c r="B55" s="6" t="s">
        <v>455</v>
      </c>
      <c r="C55" s="6" t="s">
        <v>206</v>
      </c>
      <c r="D55" s="6" t="s">
        <v>474</v>
      </c>
      <c r="E55" s="6" t="s">
        <v>475</v>
      </c>
      <c r="F55" s="12" t="s">
        <v>257</v>
      </c>
      <c r="G55" s="10" t="s">
        <v>258</v>
      </c>
      <c r="H55" s="10" t="n">
        <v>0</v>
      </c>
      <c r="I55" s="10" t="n">
        <v>0</v>
      </c>
      <c r="J55" s="11" t="s">
        <v>87</v>
      </c>
      <c r="K55" s="11" t="s">
        <v>87</v>
      </c>
      <c r="L55" s="11" t="s">
        <v>87</v>
      </c>
      <c r="M55" s="11" t="s">
        <v>87</v>
      </c>
      <c r="N55" s="6" t="s">
        <v>619</v>
      </c>
      <c r="O55" s="6" t="s">
        <v>464</v>
      </c>
    </row>
    <row r="56" customFormat="false" ht="15" hidden="false" customHeight="true" outlineLevel="0" collapsed="false">
      <c r="A56" s="6" t="s">
        <v>477</v>
      </c>
      <c r="B56" s="6" t="s">
        <v>455</v>
      </c>
      <c r="C56" s="6" t="s">
        <v>206</v>
      </c>
      <c r="D56" s="6" t="s">
        <v>478</v>
      </c>
      <c r="E56" s="6" t="s">
        <v>479</v>
      </c>
      <c r="F56" s="6" t="s">
        <v>209</v>
      </c>
      <c r="G56" s="10" t="s">
        <v>210</v>
      </c>
      <c r="H56" s="10" t="n">
        <v>0</v>
      </c>
      <c r="I56" s="10" t="n">
        <v>0</v>
      </c>
      <c r="J56" s="11" t="s">
        <v>87</v>
      </c>
      <c r="K56" s="11" t="s">
        <v>87</v>
      </c>
      <c r="L56" s="11" t="s">
        <v>87</v>
      </c>
      <c r="M56" s="11" t="s">
        <v>211</v>
      </c>
      <c r="N56" s="6" t="s">
        <v>620</v>
      </c>
      <c r="O56" s="6" t="s">
        <v>464</v>
      </c>
    </row>
    <row r="57" customFormat="false" ht="15" hidden="false" customHeight="true" outlineLevel="0" collapsed="false">
      <c r="A57" s="6" t="s">
        <v>481</v>
      </c>
      <c r="B57" s="6" t="s">
        <v>455</v>
      </c>
      <c r="C57" s="6" t="s">
        <v>206</v>
      </c>
      <c r="D57" s="6" t="s">
        <v>482</v>
      </c>
      <c r="E57" s="6" t="s">
        <v>483</v>
      </c>
      <c r="F57" s="6" t="s">
        <v>235</v>
      </c>
      <c r="G57" s="10" t="s">
        <v>210</v>
      </c>
      <c r="H57" s="10" t="n">
        <v>0</v>
      </c>
      <c r="I57" s="10" t="n">
        <v>0</v>
      </c>
      <c r="J57" s="11" t="s">
        <v>87</v>
      </c>
      <c r="K57" s="11" t="s">
        <v>212</v>
      </c>
      <c r="L57" s="11" t="s">
        <v>87</v>
      </c>
      <c r="M57" s="11" t="s">
        <v>87</v>
      </c>
      <c r="N57" s="6" t="s">
        <v>621</v>
      </c>
      <c r="O57" s="6" t="s">
        <v>464</v>
      </c>
    </row>
    <row r="58" customFormat="false" ht="23.25" hidden="false" customHeight="true" outlineLevel="0" collapsed="false">
      <c r="A58" s="12" t="s">
        <v>484</v>
      </c>
      <c r="B58" s="6" t="s">
        <v>485</v>
      </c>
      <c r="C58" s="6" t="s">
        <v>206</v>
      </c>
      <c r="D58" s="6" t="s">
        <v>486</v>
      </c>
      <c r="E58" s="6" t="s">
        <v>487</v>
      </c>
      <c r="F58" s="12" t="s">
        <v>257</v>
      </c>
      <c r="G58" s="10" t="s">
        <v>258</v>
      </c>
      <c r="H58" s="10" t="n">
        <v>0</v>
      </c>
      <c r="I58" s="10" t="n">
        <v>0</v>
      </c>
      <c r="J58" s="11" t="s">
        <v>87</v>
      </c>
      <c r="K58" s="11" t="s">
        <v>87</v>
      </c>
      <c r="L58" s="11" t="s">
        <v>87</v>
      </c>
      <c r="M58" s="11" t="s">
        <v>87</v>
      </c>
      <c r="N58" s="6" t="s">
        <v>574</v>
      </c>
      <c r="O58" s="6"/>
    </row>
    <row r="59" customFormat="false" ht="15" hidden="false" customHeight="true" outlineLevel="0" collapsed="false">
      <c r="A59" s="6" t="s">
        <v>489</v>
      </c>
      <c r="B59" s="6" t="s">
        <v>485</v>
      </c>
      <c r="C59" s="6" t="s">
        <v>206</v>
      </c>
      <c r="D59" s="6" t="s">
        <v>490</v>
      </c>
      <c r="E59" s="6" t="s">
        <v>491</v>
      </c>
      <c r="F59" s="6" t="s">
        <v>235</v>
      </c>
      <c r="G59" s="10" t="s">
        <v>210</v>
      </c>
      <c r="H59" s="10" t="n">
        <v>0</v>
      </c>
      <c r="I59" s="10" t="n">
        <v>0</v>
      </c>
      <c r="J59" s="11" t="s">
        <v>212</v>
      </c>
      <c r="K59" s="11" t="s">
        <v>212</v>
      </c>
      <c r="L59" s="11" t="s">
        <v>87</v>
      </c>
      <c r="M59" s="11" t="s">
        <v>212</v>
      </c>
      <c r="N59" s="6" t="s">
        <v>622</v>
      </c>
      <c r="O59" s="6"/>
    </row>
    <row r="60" customFormat="false" ht="15" hidden="false" customHeight="true" outlineLevel="0" collapsed="false">
      <c r="A60" s="12" t="s">
        <v>492</v>
      </c>
      <c r="B60" s="6" t="s">
        <v>485</v>
      </c>
      <c r="C60" s="6" t="s">
        <v>206</v>
      </c>
      <c r="D60" s="6" t="s">
        <v>493</v>
      </c>
      <c r="E60" s="6" t="s">
        <v>494</v>
      </c>
      <c r="F60" s="12" t="s">
        <v>257</v>
      </c>
      <c r="G60" s="10" t="s">
        <v>258</v>
      </c>
      <c r="H60" s="10" t="n">
        <v>0</v>
      </c>
      <c r="I60" s="10" t="n">
        <v>0</v>
      </c>
      <c r="J60" s="11" t="s">
        <v>87</v>
      </c>
      <c r="K60" s="11" t="s">
        <v>87</v>
      </c>
      <c r="L60" s="11" t="s">
        <v>87</v>
      </c>
      <c r="M60" s="11" t="s">
        <v>87</v>
      </c>
      <c r="N60" s="6" t="s">
        <v>494</v>
      </c>
      <c r="O60" s="6"/>
    </row>
    <row r="61" customFormat="false" ht="34.5" hidden="false" customHeight="true" outlineLevel="0" collapsed="false">
      <c r="A61" s="6" t="s">
        <v>495</v>
      </c>
      <c r="B61" s="6" t="s">
        <v>496</v>
      </c>
      <c r="C61" s="6" t="s">
        <v>206</v>
      </c>
      <c r="D61" s="6" t="s">
        <v>497</v>
      </c>
      <c r="E61" s="6" t="s">
        <v>498</v>
      </c>
      <c r="F61" s="6" t="s">
        <v>209</v>
      </c>
      <c r="G61" s="10" t="s">
        <v>210</v>
      </c>
      <c r="H61" s="10" t="n">
        <v>1</v>
      </c>
      <c r="I61" s="10" t="n">
        <v>0</v>
      </c>
      <c r="J61" s="11" t="s">
        <v>212</v>
      </c>
      <c r="K61" s="11" t="s">
        <v>212</v>
      </c>
      <c r="L61" s="11" t="s">
        <v>212</v>
      </c>
      <c r="M61" s="11" t="s">
        <v>212</v>
      </c>
      <c r="N61" s="6" t="s">
        <v>575</v>
      </c>
      <c r="O61" s="6" t="s">
        <v>500</v>
      </c>
    </row>
    <row r="62" customFormat="false" ht="34.5" hidden="false" customHeight="true" outlineLevel="0" collapsed="false">
      <c r="A62" s="6" t="s">
        <v>501</v>
      </c>
      <c r="B62" s="6" t="s">
        <v>496</v>
      </c>
      <c r="C62" s="6" t="s">
        <v>206</v>
      </c>
      <c r="D62" s="6" t="s">
        <v>502</v>
      </c>
      <c r="E62" s="6" t="s">
        <v>503</v>
      </c>
      <c r="F62" s="6" t="s">
        <v>235</v>
      </c>
      <c r="G62" s="10" t="s">
        <v>210</v>
      </c>
      <c r="H62" s="10" t="n">
        <v>1</v>
      </c>
      <c r="I62" s="10" t="n">
        <v>0</v>
      </c>
      <c r="J62" s="11" t="s">
        <v>212</v>
      </c>
      <c r="K62" s="11" t="s">
        <v>212</v>
      </c>
      <c r="L62" s="11" t="s">
        <v>212</v>
      </c>
      <c r="M62" s="11" t="s">
        <v>87</v>
      </c>
      <c r="N62" s="6" t="s">
        <v>503</v>
      </c>
      <c r="O62" s="6" t="s">
        <v>505</v>
      </c>
    </row>
  </sheetData>
  <autoFilter ref="A1:O62"/>
  <dataValidations count="4">
    <dataValidation allowBlank="false" errorStyle="stop" operator="between" showDropDown="false" showErrorMessage="false" showInputMessage="false" sqref="J2:M62" type="list">
      <formula1>"B,F,S,-"</formula1>
      <formula2>0</formula2>
    </dataValidation>
    <dataValidation allowBlank="false" errorStyle="stop" operator="between" showDropDown="false" showErrorMessage="false" showInputMessage="false" sqref="G2:G62" type="list">
      <formula1>"Y,N"</formula1>
      <formula2>0</formula2>
    </dataValidation>
    <dataValidation allowBlank="false" errorStyle="stop" operator="between" showDropDown="false" showErrorMessage="false" showInputMessage="false" sqref="F2:F62" type="list">
      <formula1>"Include,Test,Exclude"</formula1>
      <formula2>0</formula2>
    </dataValidation>
    <dataValidation allowBlank="false" errorStyle="stop" operator="between" showDropDown="false" showErrorMessage="false" showInputMessage="false" sqref="H2:I62" type="list">
      <formula1>"-1,0,1"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8"/>
    <col collapsed="false" customWidth="true" hidden="false" outlineLevel="0" max="4" min="3" style="1" width="12"/>
    <col collapsed="false" customWidth="true" hidden="false" outlineLevel="0" max="5" min="5" style="1" width="11"/>
    <col collapsed="false" customWidth="true" hidden="false" outlineLevel="0" max="8" min="6" style="1" width="10"/>
    <col collapsed="false" customWidth="true" hidden="false" outlineLevel="0" max="9" min="9" style="1" width="11"/>
    <col collapsed="false" customWidth="true" hidden="false" outlineLevel="0" max="10" min="10" style="1" width="9"/>
    <col collapsed="false" customWidth="true" hidden="false" outlineLevel="0" max="11" min="11" style="1" width="8"/>
    <col collapsed="false" customWidth="true" hidden="false" outlineLevel="0" max="12" min="12" style="1" width="11"/>
    <col collapsed="false" customWidth="true" hidden="false" outlineLevel="0" max="13" min="13" style="1" width="9"/>
    <col collapsed="false" customWidth="true" hidden="false" outlineLevel="0" max="14" min="14" style="1" width="8"/>
    <col collapsed="false" customWidth="true" hidden="false" outlineLevel="0" max="15" min="15" style="1" width="11"/>
    <col collapsed="false" customWidth="true" hidden="false" outlineLevel="0" max="16" min="16" style="1" width="9"/>
    <col collapsed="false" customWidth="true" hidden="false" outlineLevel="0" max="17" min="17" style="1" width="60"/>
  </cols>
  <sheetData>
    <row r="1" customFormat="false" ht="30" hidden="false" customHeight="true" outlineLevel="0" collapsed="false">
      <c r="A1" s="5" t="s">
        <v>26</v>
      </c>
      <c r="B1" s="5" t="s">
        <v>27</v>
      </c>
      <c r="C1" s="5" t="s">
        <v>623</v>
      </c>
      <c r="D1" s="5" t="s">
        <v>30</v>
      </c>
      <c r="E1" s="5" t="s">
        <v>624</v>
      </c>
      <c r="F1" s="5" t="s">
        <v>31</v>
      </c>
      <c r="G1" s="5" t="s">
        <v>625</v>
      </c>
      <c r="H1" s="5" t="s">
        <v>626</v>
      </c>
      <c r="I1" s="5" t="s">
        <v>627</v>
      </c>
      <c r="J1" s="5" t="s">
        <v>628</v>
      </c>
      <c r="K1" s="5" t="s">
        <v>629</v>
      </c>
      <c r="L1" s="5" t="s">
        <v>630</v>
      </c>
      <c r="M1" s="5" t="s">
        <v>631</v>
      </c>
      <c r="N1" s="5" t="s">
        <v>632</v>
      </c>
      <c r="O1" s="5" t="s">
        <v>633</v>
      </c>
      <c r="P1" s="5" t="s">
        <v>634</v>
      </c>
      <c r="Q1" s="5" t="s">
        <v>32</v>
      </c>
    </row>
    <row r="2" customFormat="false" ht="15" hidden="false" customHeight="true" outlineLevel="0" collapsed="false">
      <c r="A2" s="6" t="s">
        <v>33</v>
      </c>
      <c r="B2" s="6" t="s">
        <v>34</v>
      </c>
      <c r="C2" s="10" t="s">
        <v>635</v>
      </c>
      <c r="D2" s="10" t="s">
        <v>636</v>
      </c>
      <c r="E2" s="10" t="s">
        <v>210</v>
      </c>
      <c r="F2" s="10" t="n">
        <v>0.999</v>
      </c>
      <c r="G2" s="10" t="s">
        <v>637</v>
      </c>
      <c r="H2" s="10" t="s">
        <v>637</v>
      </c>
      <c r="I2" s="10" t="n">
        <v>0</v>
      </c>
      <c r="J2" s="10" t="n">
        <v>4</v>
      </c>
      <c r="K2" s="10" t="n">
        <v>0.05</v>
      </c>
      <c r="L2" s="10" t="n">
        <v>50</v>
      </c>
      <c r="M2" s="10" t="n">
        <v>3</v>
      </c>
      <c r="N2" s="10" t="n">
        <v>0.05</v>
      </c>
      <c r="O2" s="10" t="n">
        <v>100</v>
      </c>
      <c r="P2" s="10" t="n">
        <v>1.5</v>
      </c>
      <c r="Q2" s="6" t="s">
        <v>638</v>
      </c>
    </row>
    <row r="3" customFormat="false" ht="15" hidden="false" customHeight="true" outlineLevel="0" collapsed="false">
      <c r="A3" s="6" t="s">
        <v>33</v>
      </c>
      <c r="B3" s="6" t="s">
        <v>35</v>
      </c>
      <c r="C3" s="10" t="s">
        <v>635</v>
      </c>
      <c r="D3" s="10" t="s">
        <v>636</v>
      </c>
      <c r="E3" s="10" t="s">
        <v>210</v>
      </c>
      <c r="F3" s="10" t="n">
        <v>0.999</v>
      </c>
      <c r="G3" s="10" t="s">
        <v>637</v>
      </c>
      <c r="H3" s="10" t="s">
        <v>637</v>
      </c>
      <c r="I3" s="10" t="n">
        <v>0</v>
      </c>
      <c r="J3" s="10" t="n">
        <v>4</v>
      </c>
      <c r="K3" s="10" t="n">
        <v>0.05</v>
      </c>
      <c r="L3" s="10" t="n">
        <v>50</v>
      </c>
      <c r="M3" s="10" t="n">
        <v>3</v>
      </c>
      <c r="N3" s="10" t="n">
        <v>0.05</v>
      </c>
      <c r="O3" s="10" t="n">
        <v>100</v>
      </c>
      <c r="P3" s="10" t="n">
        <v>1.5</v>
      </c>
      <c r="Q3" s="6" t="s">
        <v>639</v>
      </c>
    </row>
    <row r="4" customFormat="false" ht="34.5" hidden="false" customHeight="true" outlineLevel="0" collapsed="false">
      <c r="A4" s="6" t="s">
        <v>33</v>
      </c>
      <c r="B4" s="6" t="s">
        <v>36</v>
      </c>
      <c r="C4" s="10" t="s">
        <v>635</v>
      </c>
      <c r="D4" s="10" t="s">
        <v>636</v>
      </c>
      <c r="E4" s="10" t="s">
        <v>210</v>
      </c>
      <c r="F4" s="10" t="n">
        <v>0.995</v>
      </c>
      <c r="G4" s="10" t="s">
        <v>637</v>
      </c>
      <c r="H4" s="10" t="s">
        <v>637</v>
      </c>
      <c r="I4" s="10" t="n">
        <v>1</v>
      </c>
      <c r="J4" s="10" t="n">
        <v>3</v>
      </c>
      <c r="K4" s="10" t="n">
        <v>0.05</v>
      </c>
      <c r="L4" s="10" t="n">
        <v>100</v>
      </c>
      <c r="M4" s="10" t="n">
        <v>2</v>
      </c>
      <c r="N4" s="10" t="n">
        <v>0.05</v>
      </c>
      <c r="O4" s="10" t="n">
        <v>100</v>
      </c>
      <c r="P4" s="10" t="n">
        <v>1.6</v>
      </c>
      <c r="Q4" s="6" t="s">
        <v>640</v>
      </c>
    </row>
    <row r="5" customFormat="false" ht="15" hidden="false" customHeight="true" outlineLevel="0" collapsed="false">
      <c r="A5" s="6" t="s">
        <v>33</v>
      </c>
      <c r="B5" s="6" t="s">
        <v>37</v>
      </c>
      <c r="C5" s="10" t="s">
        <v>635</v>
      </c>
      <c r="D5" s="10" t="s">
        <v>636</v>
      </c>
      <c r="E5" s="10" t="s">
        <v>210</v>
      </c>
      <c r="F5" s="10" t="n">
        <v>0.999</v>
      </c>
      <c r="G5" s="10" t="s">
        <v>637</v>
      </c>
      <c r="H5" s="10" t="s">
        <v>641</v>
      </c>
      <c r="I5" s="10" t="n">
        <v>0</v>
      </c>
      <c r="J5" s="10" t="n">
        <v>3</v>
      </c>
      <c r="K5" s="10" t="n">
        <v>0.05</v>
      </c>
      <c r="L5" s="10" t="n">
        <v>50</v>
      </c>
      <c r="M5" s="10" t="n">
        <v>3</v>
      </c>
      <c r="N5" s="10" t="n">
        <v>0.05</v>
      </c>
      <c r="O5" s="10" t="n">
        <v>100</v>
      </c>
      <c r="P5" s="10" t="n">
        <v>1.5</v>
      </c>
      <c r="Q5" s="6" t="s">
        <v>642</v>
      </c>
    </row>
    <row r="6" customFormat="false" ht="15" hidden="false" customHeight="true" outlineLevel="0" collapsed="false">
      <c r="A6" s="6" t="s">
        <v>33</v>
      </c>
      <c r="B6" s="6" t="s">
        <v>38</v>
      </c>
      <c r="C6" s="10" t="s">
        <v>635</v>
      </c>
      <c r="D6" s="10" t="s">
        <v>636</v>
      </c>
      <c r="E6" s="10" t="s">
        <v>210</v>
      </c>
      <c r="F6" s="10" t="n">
        <v>0.999</v>
      </c>
      <c r="G6" s="10" t="s">
        <v>637</v>
      </c>
      <c r="H6" s="10" t="s">
        <v>641</v>
      </c>
      <c r="I6" s="10" t="n">
        <v>0</v>
      </c>
      <c r="J6" s="10" t="n">
        <v>3</v>
      </c>
      <c r="K6" s="10" t="n">
        <v>0.05</v>
      </c>
      <c r="L6" s="10" t="n">
        <v>50</v>
      </c>
      <c r="M6" s="10" t="n">
        <v>3</v>
      </c>
      <c r="N6" s="10" t="n">
        <v>0.05</v>
      </c>
      <c r="O6" s="10" t="n">
        <v>100</v>
      </c>
      <c r="P6" s="10" t="n">
        <v>1.5</v>
      </c>
      <c r="Q6" s="6" t="s">
        <v>643</v>
      </c>
    </row>
    <row r="7" customFormat="false" ht="15" hidden="false" customHeight="true" outlineLevel="0" collapsed="false">
      <c r="A7" s="6" t="s">
        <v>39</v>
      </c>
      <c r="B7" s="6" t="s">
        <v>40</v>
      </c>
      <c r="C7" s="10" t="s">
        <v>635</v>
      </c>
      <c r="D7" s="10" t="s">
        <v>636</v>
      </c>
      <c r="E7" s="10" t="s">
        <v>210</v>
      </c>
      <c r="F7" s="10" t="n">
        <v>0.999</v>
      </c>
      <c r="G7" s="10" t="s">
        <v>637</v>
      </c>
      <c r="H7" s="10" t="s">
        <v>641</v>
      </c>
      <c r="I7" s="10" t="n">
        <v>0</v>
      </c>
      <c r="J7" s="10" t="n">
        <v>3</v>
      </c>
      <c r="K7" s="10" t="n">
        <v>0.05</v>
      </c>
      <c r="L7" s="10" t="n">
        <v>50</v>
      </c>
      <c r="M7" s="10" t="n">
        <v>3</v>
      </c>
      <c r="N7" s="10" t="n">
        <v>0.05</v>
      </c>
      <c r="O7" s="10" t="n">
        <v>100</v>
      </c>
      <c r="P7" s="10" t="n">
        <v>1.5</v>
      </c>
      <c r="Q7" s="6" t="s">
        <v>644</v>
      </c>
    </row>
    <row r="8" customFormat="false" ht="15" hidden="false" customHeight="true" outlineLevel="0" collapsed="false">
      <c r="A8" s="6" t="s">
        <v>39</v>
      </c>
      <c r="B8" s="6" t="s">
        <v>41</v>
      </c>
      <c r="C8" s="10" t="s">
        <v>635</v>
      </c>
      <c r="D8" s="10" t="s">
        <v>636</v>
      </c>
      <c r="E8" s="10" t="s">
        <v>210</v>
      </c>
      <c r="F8" s="10" t="n">
        <v>0.995</v>
      </c>
      <c r="G8" s="10" t="s">
        <v>637</v>
      </c>
      <c r="H8" s="10" t="s">
        <v>641</v>
      </c>
      <c r="I8" s="10" t="n">
        <v>0</v>
      </c>
      <c r="J8" s="10" t="n">
        <v>3</v>
      </c>
      <c r="K8" s="10" t="n">
        <v>0.05</v>
      </c>
      <c r="L8" s="10" t="n">
        <v>30</v>
      </c>
      <c r="M8" s="10" t="n">
        <v>2</v>
      </c>
      <c r="N8" s="10" t="n">
        <v>0.05</v>
      </c>
      <c r="O8" s="10" t="n">
        <v>100</v>
      </c>
      <c r="P8" s="10" t="n">
        <v>1.6</v>
      </c>
      <c r="Q8" s="6" t="s">
        <v>645</v>
      </c>
    </row>
    <row r="9" customFormat="false" ht="15" hidden="false" customHeight="true" outlineLevel="0" collapsed="false">
      <c r="A9" s="6" t="s">
        <v>39</v>
      </c>
      <c r="B9" s="6" t="s">
        <v>42</v>
      </c>
      <c r="C9" s="10" t="s">
        <v>635</v>
      </c>
      <c r="D9" s="10" t="s">
        <v>636</v>
      </c>
      <c r="E9" s="10" t="s">
        <v>210</v>
      </c>
      <c r="F9" s="10" t="n">
        <v>0.999</v>
      </c>
      <c r="G9" s="10" t="s">
        <v>637</v>
      </c>
      <c r="H9" s="10" t="s">
        <v>641</v>
      </c>
      <c r="I9" s="10" t="n">
        <v>0</v>
      </c>
      <c r="J9" s="10" t="n">
        <v>4</v>
      </c>
      <c r="K9" s="10" t="n">
        <v>0.05</v>
      </c>
      <c r="L9" s="10" t="n">
        <v>50</v>
      </c>
      <c r="M9" s="10" t="n">
        <v>3</v>
      </c>
      <c r="N9" s="10" t="n">
        <v>0.05</v>
      </c>
      <c r="O9" s="10" t="n">
        <v>100</v>
      </c>
      <c r="P9" s="10" t="n">
        <v>1.5</v>
      </c>
      <c r="Q9" s="6" t="s">
        <v>646</v>
      </c>
    </row>
    <row r="10" customFormat="false" ht="23.25" hidden="false" customHeight="true" outlineLevel="0" collapsed="false">
      <c r="A10" s="6" t="s">
        <v>39</v>
      </c>
      <c r="B10" s="6" t="s">
        <v>43</v>
      </c>
      <c r="C10" s="10" t="s">
        <v>635</v>
      </c>
      <c r="D10" s="10" t="s">
        <v>636</v>
      </c>
      <c r="E10" s="10" t="s">
        <v>210</v>
      </c>
      <c r="F10" s="10" t="n">
        <v>0.995</v>
      </c>
      <c r="G10" s="10" t="s">
        <v>637</v>
      </c>
      <c r="H10" s="10" t="s">
        <v>641</v>
      </c>
      <c r="I10" s="10" t="n">
        <v>1</v>
      </c>
      <c r="J10" s="10" t="n">
        <v>3</v>
      </c>
      <c r="K10" s="10" t="n">
        <v>0.05</v>
      </c>
      <c r="L10" s="10" t="n">
        <v>30</v>
      </c>
      <c r="M10" s="10" t="n">
        <v>2</v>
      </c>
      <c r="N10" s="10" t="n">
        <v>0.05</v>
      </c>
      <c r="O10" s="10" t="n">
        <v>100</v>
      </c>
      <c r="P10" s="10" t="n">
        <v>1.6</v>
      </c>
      <c r="Q10" s="6" t="s">
        <v>647</v>
      </c>
    </row>
    <row r="11" customFormat="false" ht="15" hidden="false" customHeight="true" outlineLevel="0" collapsed="false">
      <c r="A11" s="6" t="s">
        <v>39</v>
      </c>
      <c r="B11" s="6" t="s">
        <v>44</v>
      </c>
      <c r="C11" s="10" t="s">
        <v>635</v>
      </c>
      <c r="D11" s="10" t="s">
        <v>636</v>
      </c>
      <c r="E11" s="10" t="s">
        <v>210</v>
      </c>
      <c r="F11" s="10" t="n">
        <v>0.99</v>
      </c>
      <c r="G11" s="10" t="s">
        <v>637</v>
      </c>
      <c r="H11" s="10" t="s">
        <v>641</v>
      </c>
      <c r="I11" s="10" t="n">
        <v>0</v>
      </c>
      <c r="J11" s="10" t="n">
        <v>3</v>
      </c>
      <c r="K11" s="10" t="n">
        <v>0.05</v>
      </c>
      <c r="L11" s="10" t="n">
        <v>30</v>
      </c>
      <c r="M11" s="10" t="n">
        <v>2</v>
      </c>
      <c r="N11" s="10" t="n">
        <v>0.05</v>
      </c>
      <c r="O11" s="10" t="n">
        <v>100</v>
      </c>
      <c r="P11" s="10" t="n">
        <v>1.7</v>
      </c>
      <c r="Q11" s="6" t="s">
        <v>648</v>
      </c>
    </row>
    <row r="12" customFormat="false" ht="15" hidden="false" customHeight="true" outlineLevel="0" collapsed="false">
      <c r="A12" s="6" t="s">
        <v>39</v>
      </c>
      <c r="B12" s="6" t="s">
        <v>45</v>
      </c>
      <c r="C12" s="10" t="s">
        <v>635</v>
      </c>
      <c r="D12" s="10" t="s">
        <v>636</v>
      </c>
      <c r="E12" s="10" t="s">
        <v>210</v>
      </c>
      <c r="F12" s="10" t="n">
        <v>0.999</v>
      </c>
      <c r="G12" s="10" t="s">
        <v>637</v>
      </c>
      <c r="H12" s="10" t="s">
        <v>641</v>
      </c>
      <c r="I12" s="10" t="n">
        <v>0</v>
      </c>
      <c r="J12" s="10" t="n">
        <v>3</v>
      </c>
      <c r="K12" s="10" t="n">
        <v>0.05</v>
      </c>
      <c r="L12" s="10" t="n">
        <v>30</v>
      </c>
      <c r="M12" s="10" t="n">
        <v>3</v>
      </c>
      <c r="N12" s="10" t="n">
        <v>0.05</v>
      </c>
      <c r="O12" s="10" t="n">
        <v>100</v>
      </c>
      <c r="P12" s="10" t="n">
        <v>1.5</v>
      </c>
      <c r="Q12" s="6" t="s">
        <v>649</v>
      </c>
    </row>
    <row r="13" customFormat="false" ht="15" hidden="false" customHeight="true" outlineLevel="0" collapsed="false">
      <c r="A13" s="6" t="s">
        <v>46</v>
      </c>
      <c r="B13" s="6" t="s">
        <v>37</v>
      </c>
      <c r="C13" s="10" t="s">
        <v>635</v>
      </c>
      <c r="D13" s="10" t="s">
        <v>636</v>
      </c>
      <c r="E13" s="10" t="s">
        <v>210</v>
      </c>
      <c r="F13" s="10" t="n">
        <v>0.999</v>
      </c>
      <c r="G13" s="10" t="s">
        <v>637</v>
      </c>
      <c r="H13" s="10" t="s">
        <v>641</v>
      </c>
      <c r="I13" s="10" t="n">
        <v>0</v>
      </c>
      <c r="J13" s="10" t="n">
        <v>4</v>
      </c>
      <c r="K13" s="10" t="n">
        <v>0.05</v>
      </c>
      <c r="L13" s="10" t="n">
        <v>50</v>
      </c>
      <c r="M13" s="10" t="n">
        <v>3</v>
      </c>
      <c r="N13" s="10" t="n">
        <v>0.05</v>
      </c>
      <c r="O13" s="10" t="n">
        <v>100</v>
      </c>
      <c r="P13" s="10" t="n">
        <v>1.5</v>
      </c>
      <c r="Q13" s="6" t="s">
        <v>650</v>
      </c>
    </row>
    <row r="14" customFormat="false" ht="15" hidden="false" customHeight="true" outlineLevel="0" collapsed="false">
      <c r="A14" s="6" t="s">
        <v>46</v>
      </c>
      <c r="B14" s="6" t="s">
        <v>42</v>
      </c>
      <c r="C14" s="10" t="s">
        <v>635</v>
      </c>
      <c r="D14" s="10" t="s">
        <v>636</v>
      </c>
      <c r="E14" s="10" t="s">
        <v>210</v>
      </c>
      <c r="F14" s="10" t="n">
        <v>0.999</v>
      </c>
      <c r="G14" s="10" t="s">
        <v>637</v>
      </c>
      <c r="H14" s="10" t="s">
        <v>641</v>
      </c>
      <c r="I14" s="10" t="n">
        <v>0</v>
      </c>
      <c r="J14" s="10" t="n">
        <v>3</v>
      </c>
      <c r="K14" s="10" t="n">
        <v>0.05</v>
      </c>
      <c r="L14" s="10" t="n">
        <v>50</v>
      </c>
      <c r="M14" s="10" t="n">
        <v>3</v>
      </c>
      <c r="N14" s="10" t="n">
        <v>0.05</v>
      </c>
      <c r="O14" s="10" t="n">
        <v>100</v>
      </c>
      <c r="P14" s="10" t="n">
        <v>1.5</v>
      </c>
      <c r="Q14" s="6" t="s">
        <v>651</v>
      </c>
    </row>
    <row r="15" customFormat="false" ht="15" hidden="false" customHeight="true" outlineLevel="0" collapsed="false">
      <c r="A15" s="6" t="s">
        <v>46</v>
      </c>
      <c r="B15" s="6" t="s">
        <v>45</v>
      </c>
      <c r="C15" s="10" t="s">
        <v>635</v>
      </c>
      <c r="D15" s="10" t="s">
        <v>636</v>
      </c>
      <c r="E15" s="10" t="s">
        <v>210</v>
      </c>
      <c r="F15" s="10" t="n">
        <v>0.999</v>
      </c>
      <c r="G15" s="10" t="s">
        <v>637</v>
      </c>
      <c r="H15" s="10" t="s">
        <v>641</v>
      </c>
      <c r="I15" s="10" t="n">
        <v>0</v>
      </c>
      <c r="J15" s="10" t="n">
        <v>3</v>
      </c>
      <c r="K15" s="10" t="n">
        <v>0.05</v>
      </c>
      <c r="L15" s="10" t="n">
        <v>50</v>
      </c>
      <c r="M15" s="10" t="n">
        <v>3</v>
      </c>
      <c r="N15" s="10" t="n">
        <v>0.05</v>
      </c>
      <c r="O15" s="10" t="n">
        <v>100</v>
      </c>
      <c r="P15" s="10" t="n">
        <v>1.5</v>
      </c>
      <c r="Q15" s="6" t="s">
        <v>652</v>
      </c>
    </row>
    <row r="16" customFormat="false" ht="15" hidden="false" customHeight="true" outlineLevel="0" collapsed="false">
      <c r="A16" s="6" t="s">
        <v>46</v>
      </c>
      <c r="B16" s="6" t="s">
        <v>41</v>
      </c>
      <c r="C16" s="10" t="s">
        <v>635</v>
      </c>
      <c r="D16" s="10" t="s">
        <v>636</v>
      </c>
      <c r="E16" s="10" t="s">
        <v>210</v>
      </c>
      <c r="F16" s="10" t="n">
        <v>0.995</v>
      </c>
      <c r="G16" s="10" t="s">
        <v>637</v>
      </c>
      <c r="H16" s="10" t="s">
        <v>641</v>
      </c>
      <c r="I16" s="10" t="n">
        <v>0</v>
      </c>
      <c r="J16" s="10" t="n">
        <v>3</v>
      </c>
      <c r="K16" s="10" t="n">
        <v>0.05</v>
      </c>
      <c r="L16" s="10" t="n">
        <v>30</v>
      </c>
      <c r="M16" s="10" t="n">
        <v>2</v>
      </c>
      <c r="N16" s="10" t="n">
        <v>0.05</v>
      </c>
      <c r="O16" s="10" t="n">
        <v>100</v>
      </c>
      <c r="P16" s="10" t="n">
        <v>1.6</v>
      </c>
      <c r="Q16" s="6" t="s">
        <v>653</v>
      </c>
    </row>
    <row r="18" customFormat="false" ht="15" hidden="false" customHeight="true" outlineLevel="0" collapsed="false">
      <c r="A18" s="13" t="s">
        <v>654</v>
      </c>
    </row>
    <row r="19" customFormat="false" ht="15" hidden="false" customHeight="true" outlineLevel="0" collapsed="false">
      <c r="A19" s="9" t="s">
        <v>655</v>
      </c>
    </row>
    <row r="20" customFormat="false" ht="15" hidden="false" customHeight="true" outlineLevel="0" collapsed="false">
      <c r="A20" s="9" t="s">
        <v>656</v>
      </c>
    </row>
    <row r="21" customFormat="false" ht="15" hidden="false" customHeight="true" outlineLevel="0" collapsed="false">
      <c r="A21" s="9" t="s">
        <v>657</v>
      </c>
    </row>
    <row r="22" customFormat="false" ht="15" hidden="false" customHeight="true" outlineLevel="0" collapsed="false">
      <c r="A22" s="9" t="s">
        <v>658</v>
      </c>
    </row>
  </sheetData>
  <dataValidations count="4">
    <dataValidation allowBlank="false" errorStyle="stop" operator="between" showDropDown="false" showErrorMessage="false" showInputMessage="false" sqref="E2:E16" type="list">
      <formula1>"Y,N"</formula1>
      <formula2>0</formula2>
    </dataValidation>
    <dataValidation allowBlank="false" errorStyle="stop" operator="between" showDropDown="false" showErrorMessage="false" showInputMessage="false" sqref="G2:G16" type="list">
      <formula1>"estimate,none"</formula1>
      <formula2>0</formula2>
    </dataValidation>
    <dataValidation allowBlank="false" errorStyle="stop" operator="between" showDropDown="false" showErrorMessage="false" showInputMessage="false" sqref="H2:H16" type="list">
      <formula1>"estimate,none"</formula1>
      <formula2>0</formula2>
    </dataValidation>
    <dataValidation allowBlank="false" errorStyle="stop" operator="between" showDropDown="false" showErrorMessage="false" showInputMessage="false" sqref="D2:D16" type="list">
      <formula1>"auto,gamma_gbm,gamma_glm,mean"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14" t="s">
        <v>659</v>
      </c>
      <c r="B1" s="14" t="s">
        <v>660</v>
      </c>
      <c r="C1" s="14" t="s">
        <v>661</v>
      </c>
      <c r="D1" s="14" t="s">
        <v>662</v>
      </c>
    </row>
    <row r="2" customFormat="false" ht="15" hidden="false" customHeight="false" outlineLevel="0" collapsed="false">
      <c r="A2" s="6" t="s">
        <v>663</v>
      </c>
      <c r="B2" s="6" t="s">
        <v>664</v>
      </c>
      <c r="C2" s="10" t="s">
        <v>665</v>
      </c>
      <c r="D2" s="6" t="s">
        <v>666</v>
      </c>
    </row>
    <row r="3" customFormat="false" ht="15" hidden="false" customHeight="false" outlineLevel="0" collapsed="false">
      <c r="A3" s="6" t="s">
        <v>663</v>
      </c>
      <c r="B3" s="6" t="s">
        <v>667</v>
      </c>
      <c r="C3" s="10" t="s">
        <v>668</v>
      </c>
      <c r="D3" s="6" t="s">
        <v>669</v>
      </c>
    </row>
    <row r="4" customFormat="false" ht="15" hidden="false" customHeight="false" outlineLevel="0" collapsed="false">
      <c r="A4" s="6" t="s">
        <v>663</v>
      </c>
      <c r="B4" s="6" t="s">
        <v>670</v>
      </c>
      <c r="C4" s="10" t="s">
        <v>671</v>
      </c>
      <c r="D4" s="6" t="s">
        <v>672</v>
      </c>
    </row>
    <row r="5" customFormat="false" ht="15" hidden="false" customHeight="false" outlineLevel="0" collapsed="false">
      <c r="A5" s="6" t="s">
        <v>663</v>
      </c>
      <c r="B5" s="6" t="s">
        <v>673</v>
      </c>
      <c r="C5" s="10" t="s">
        <v>674</v>
      </c>
      <c r="D5" s="6"/>
    </row>
    <row r="6" customFormat="false" ht="15" hidden="false" customHeight="false" outlineLevel="0" collapsed="false">
      <c r="A6" s="6" t="s">
        <v>663</v>
      </c>
      <c r="B6" s="6" t="s">
        <v>675</v>
      </c>
      <c r="C6" s="10" t="s">
        <v>676</v>
      </c>
      <c r="D6" s="6"/>
    </row>
    <row r="7" customFormat="false" ht="15" hidden="false" customHeight="false" outlineLevel="0" collapsed="false">
      <c r="A7" s="6" t="s">
        <v>663</v>
      </c>
      <c r="B7" s="6" t="s">
        <v>677</v>
      </c>
      <c r="C7" s="10" t="s">
        <v>678</v>
      </c>
      <c r="D7" s="6" t="s">
        <v>679</v>
      </c>
    </row>
    <row r="8" customFormat="false" ht="15" hidden="false" customHeight="false" outlineLevel="0" collapsed="false">
      <c r="A8" s="6" t="s">
        <v>680</v>
      </c>
      <c r="B8" s="6" t="s">
        <v>664</v>
      </c>
      <c r="C8" s="10" t="s">
        <v>681</v>
      </c>
      <c r="D8" s="6" t="s">
        <v>682</v>
      </c>
    </row>
    <row r="9" customFormat="false" ht="15" hidden="false" customHeight="false" outlineLevel="0" collapsed="false">
      <c r="A9" s="6" t="s">
        <v>680</v>
      </c>
      <c r="B9" s="6" t="s">
        <v>667</v>
      </c>
      <c r="C9" s="10" t="s">
        <v>683</v>
      </c>
      <c r="D9" s="6"/>
    </row>
    <row r="10" customFormat="false" ht="15" hidden="false" customHeight="false" outlineLevel="0" collapsed="false">
      <c r="A10" s="6" t="s">
        <v>680</v>
      </c>
      <c r="B10" s="6" t="s">
        <v>670</v>
      </c>
      <c r="C10" s="10" t="s">
        <v>684</v>
      </c>
      <c r="D10" s="6" t="s">
        <v>685</v>
      </c>
    </row>
    <row r="11" customFormat="false" ht="15" hidden="false" customHeight="false" outlineLevel="0" collapsed="false">
      <c r="A11" s="6" t="s">
        <v>680</v>
      </c>
      <c r="B11" s="6" t="s">
        <v>673</v>
      </c>
      <c r="C11" s="10" t="s">
        <v>686</v>
      </c>
      <c r="D11" s="6"/>
    </row>
    <row r="12" customFormat="false" ht="15" hidden="false" customHeight="false" outlineLevel="0" collapsed="false">
      <c r="A12" s="6" t="s">
        <v>680</v>
      </c>
      <c r="B12" s="6" t="s">
        <v>675</v>
      </c>
      <c r="C12" s="10" t="s">
        <v>674</v>
      </c>
      <c r="D12" s="6"/>
    </row>
    <row r="13" customFormat="false" ht="15" hidden="false" customHeight="false" outlineLevel="0" collapsed="false">
      <c r="A13" s="6" t="s">
        <v>680</v>
      </c>
      <c r="B13" s="6" t="s">
        <v>677</v>
      </c>
      <c r="C13" s="10" t="s">
        <v>687</v>
      </c>
      <c r="D13" s="6"/>
    </row>
    <row r="14" customFormat="false" ht="15" hidden="false" customHeight="false" outlineLevel="0" collapsed="false">
      <c r="A14" s="6" t="s">
        <v>688</v>
      </c>
      <c r="B14" s="6" t="s">
        <v>664</v>
      </c>
      <c r="C14" s="10" t="s">
        <v>689</v>
      </c>
      <c r="D14" s="6"/>
    </row>
    <row r="15" customFormat="false" ht="15" hidden="false" customHeight="false" outlineLevel="0" collapsed="false">
      <c r="A15" s="6" t="s">
        <v>688</v>
      </c>
      <c r="B15" s="6" t="s">
        <v>667</v>
      </c>
      <c r="C15" s="10" t="s">
        <v>668</v>
      </c>
      <c r="D15" s="6"/>
    </row>
    <row r="16" customFormat="false" ht="15" hidden="false" customHeight="false" outlineLevel="0" collapsed="false">
      <c r="A16" s="6" t="s">
        <v>688</v>
      </c>
      <c r="B16" s="6" t="s">
        <v>670</v>
      </c>
      <c r="C16" s="10" t="s">
        <v>690</v>
      </c>
      <c r="D16" s="6"/>
    </row>
    <row r="17" customFormat="false" ht="15" hidden="false" customHeight="false" outlineLevel="0" collapsed="false">
      <c r="A17" s="6" t="s">
        <v>688</v>
      </c>
      <c r="B17" s="6" t="s">
        <v>673</v>
      </c>
      <c r="C17" s="10" t="s">
        <v>674</v>
      </c>
      <c r="D17" s="6"/>
    </row>
    <row r="18" customFormat="false" ht="15" hidden="false" customHeight="false" outlineLevel="0" collapsed="false">
      <c r="A18" s="6" t="s">
        <v>688</v>
      </c>
      <c r="B18" s="6" t="s">
        <v>675</v>
      </c>
      <c r="C18" s="10" t="s">
        <v>676</v>
      </c>
      <c r="D18" s="6"/>
    </row>
    <row r="19" customFormat="false" ht="15" hidden="false" customHeight="false" outlineLevel="0" collapsed="false">
      <c r="A19" s="6" t="s">
        <v>688</v>
      </c>
      <c r="B19" s="6" t="s">
        <v>677</v>
      </c>
      <c r="C19" s="10" t="s">
        <v>678</v>
      </c>
      <c r="D19" s="6"/>
    </row>
    <row r="20" customFormat="false" ht="15" hidden="false" customHeight="false" outlineLevel="0" collapsed="false">
      <c r="A20" s="6" t="s">
        <v>688</v>
      </c>
      <c r="B20" s="6" t="s">
        <v>634</v>
      </c>
      <c r="C20" s="10" t="s">
        <v>691</v>
      </c>
      <c r="D20" s="6" t="s">
        <v>692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8"/>
    <col collapsed="false" customWidth="true" hidden="false" outlineLevel="0" max="3" min="3" style="1" width="26"/>
    <col collapsed="false" customWidth="true" hidden="false" outlineLevel="0" max="4" min="4" style="1" width="44"/>
    <col collapsed="false" customWidth="true" hidden="false" outlineLevel="0" max="5" min="5" style="1" width="60"/>
  </cols>
  <sheetData>
    <row r="1" customFormat="false" ht="30" hidden="false" customHeight="true" outlineLevel="0" collapsed="false">
      <c r="A1" s="5" t="s">
        <v>26</v>
      </c>
      <c r="B1" s="5" t="s">
        <v>27</v>
      </c>
      <c r="C1" s="5" t="s">
        <v>194</v>
      </c>
      <c r="D1" s="5" t="s">
        <v>661</v>
      </c>
      <c r="E1" s="5" t="s">
        <v>32</v>
      </c>
    </row>
    <row r="2" customFormat="false" ht="15" hidden="false" customHeight="true" outlineLevel="0" collapsed="false">
      <c r="A2" s="10" t="s">
        <v>33</v>
      </c>
      <c r="B2" s="10" t="s">
        <v>34</v>
      </c>
      <c r="C2" s="10" t="s">
        <v>270</v>
      </c>
      <c r="D2" s="10" t="s">
        <v>693</v>
      </c>
      <c r="E2" s="6" t="s">
        <v>694</v>
      </c>
    </row>
    <row r="3" customFormat="false" ht="23.25" hidden="false" customHeight="true" outlineLevel="0" collapsed="false">
      <c r="A3" s="10" t="s">
        <v>33</v>
      </c>
      <c r="B3" s="10" t="s">
        <v>38</v>
      </c>
      <c r="C3" s="10" t="s">
        <v>270</v>
      </c>
      <c r="D3" s="10" t="s">
        <v>693</v>
      </c>
      <c r="E3" s="6" t="s">
        <v>695</v>
      </c>
    </row>
    <row r="4" customFormat="false" ht="15" hidden="false" customHeight="true" outlineLevel="0" collapsed="false">
      <c r="A4" s="10" t="s">
        <v>33</v>
      </c>
      <c r="B4" s="10" t="s">
        <v>37</v>
      </c>
      <c r="C4" s="10" t="s">
        <v>270</v>
      </c>
      <c r="D4" s="10" t="s">
        <v>696</v>
      </c>
      <c r="E4" s="6" t="s">
        <v>697</v>
      </c>
    </row>
    <row r="5" customFormat="false" ht="15" hidden="false" customHeight="true" outlineLevel="0" collapsed="false">
      <c r="A5" s="10" t="s">
        <v>39</v>
      </c>
      <c r="B5" s="10" t="s">
        <v>45</v>
      </c>
      <c r="C5" s="10" t="s">
        <v>532</v>
      </c>
      <c r="D5" s="10" t="s">
        <v>698</v>
      </c>
      <c r="E5" s="6" t="s">
        <v>699</v>
      </c>
    </row>
    <row r="6" customFormat="false" ht="15" hidden="false" customHeight="true" outlineLevel="0" collapsed="false">
      <c r="A6" s="10" t="s">
        <v>46</v>
      </c>
      <c r="B6" s="10" t="s">
        <v>45</v>
      </c>
      <c r="C6" s="10" t="s">
        <v>532</v>
      </c>
      <c r="D6" s="10" t="s">
        <v>698</v>
      </c>
      <c r="E6" s="6" t="s">
        <v>699</v>
      </c>
    </row>
    <row r="8" customFormat="false" ht="15" hidden="false" customHeight="true" outlineLevel="0" collapsed="false">
      <c r="A8" s="9" t="s">
        <v>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2"/>
    <col collapsed="false" customWidth="true" hidden="false" outlineLevel="0" max="3" min="3" style="1" width="80"/>
  </cols>
  <sheetData>
    <row r="1" customFormat="false" ht="30" hidden="false" customHeight="true" outlineLevel="0" collapsed="false">
      <c r="A1" s="5" t="s">
        <v>701</v>
      </c>
      <c r="B1" s="5" t="s">
        <v>702</v>
      </c>
      <c r="C1" s="5" t="s">
        <v>662</v>
      </c>
    </row>
    <row r="2" customFormat="false" ht="15" hidden="false" customHeight="true" outlineLevel="0" collapsed="false">
      <c r="A2" s="6" t="s">
        <v>703</v>
      </c>
      <c r="B2" s="10" t="s">
        <v>704</v>
      </c>
      <c r="C2" s="6" t="s">
        <v>705</v>
      </c>
    </row>
    <row r="3" customFormat="false" ht="15" hidden="false" customHeight="true" outlineLevel="0" collapsed="false">
      <c r="A3" s="6" t="s">
        <v>706</v>
      </c>
      <c r="B3" s="10" t="s">
        <v>707</v>
      </c>
      <c r="C3" s="6" t="s">
        <v>708</v>
      </c>
    </row>
    <row r="4" customFormat="false" ht="15" hidden="false" customHeight="true" outlineLevel="0" collapsed="false">
      <c r="A4" s="6" t="s">
        <v>709</v>
      </c>
      <c r="B4" s="10" t="s">
        <v>710</v>
      </c>
      <c r="C4" s="6" t="s">
        <v>711</v>
      </c>
    </row>
    <row r="5" customFormat="false" ht="15" hidden="false" customHeight="true" outlineLevel="0" collapsed="false">
      <c r="A5" s="6" t="s">
        <v>712</v>
      </c>
      <c r="B5" s="10" t="s">
        <v>713</v>
      </c>
      <c r="C5" s="6" t="s">
        <v>714</v>
      </c>
    </row>
    <row r="6" customFormat="false" ht="15" hidden="false" customHeight="true" outlineLevel="0" collapsed="false">
      <c r="A6" s="6" t="s">
        <v>715</v>
      </c>
      <c r="B6" s="10" t="s">
        <v>716</v>
      </c>
      <c r="C6" s="6" t="s">
        <v>717</v>
      </c>
    </row>
    <row r="7" customFormat="false" ht="15" hidden="false" customHeight="true" outlineLevel="0" collapsed="false">
      <c r="A7" s="6" t="s">
        <v>718</v>
      </c>
      <c r="B7" s="10" t="s">
        <v>719</v>
      </c>
      <c r="C7" s="6" t="s">
        <v>720</v>
      </c>
    </row>
    <row r="8" customFormat="false" ht="15" hidden="false" customHeight="true" outlineLevel="0" collapsed="false">
      <c r="A8" s="6" t="s">
        <v>721</v>
      </c>
      <c r="B8" s="10" t="s">
        <v>722</v>
      </c>
      <c r="C8" s="6" t="s">
        <v>723</v>
      </c>
    </row>
    <row r="9" customFormat="false" ht="15" hidden="false" customHeight="true" outlineLevel="0" collapsed="false">
      <c r="A9" s="6" t="s">
        <v>724</v>
      </c>
      <c r="B9" s="10" t="s">
        <v>725</v>
      </c>
      <c r="C9" s="6" t="s">
        <v>726</v>
      </c>
    </row>
    <row r="10" customFormat="false" ht="15" hidden="false" customHeight="true" outlineLevel="0" collapsed="false">
      <c r="A10" s="6" t="s">
        <v>727</v>
      </c>
      <c r="B10" s="10" t="s">
        <v>636</v>
      </c>
      <c r="C10" s="6" t="s">
        <v>728</v>
      </c>
    </row>
    <row r="11" customFormat="false" ht="15" hidden="false" customHeight="true" outlineLevel="0" collapsed="false">
      <c r="A11" s="6" t="s">
        <v>729</v>
      </c>
      <c r="B11" s="10" t="s">
        <v>210</v>
      </c>
      <c r="C11" s="6" t="s">
        <v>730</v>
      </c>
    </row>
    <row r="12" customFormat="false" ht="15" hidden="false" customHeight="true" outlineLevel="0" collapsed="false">
      <c r="A12" s="6" t="s">
        <v>731</v>
      </c>
      <c r="B12" s="10" t="s">
        <v>210</v>
      </c>
      <c r="C12" s="6" t="s">
        <v>732</v>
      </c>
    </row>
    <row r="13" customFormat="false" ht="15" hidden="false" customHeight="true" outlineLevel="0" collapsed="false">
      <c r="A13" s="6" t="s">
        <v>733</v>
      </c>
      <c r="B13" s="10" t="s">
        <v>734</v>
      </c>
      <c r="C13" s="6" t="s">
        <v>735</v>
      </c>
    </row>
    <row r="14" customFormat="false" ht="15" hidden="false" customHeight="true" outlineLevel="0" collapsed="false">
      <c r="A14" s="6" t="s">
        <v>736</v>
      </c>
      <c r="B14" s="10" t="s">
        <v>737</v>
      </c>
      <c r="C14" s="6"/>
    </row>
    <row r="15" customFormat="false" ht="15" hidden="false" customHeight="true" outlineLevel="0" collapsed="false">
      <c r="A15" s="6" t="s">
        <v>738</v>
      </c>
      <c r="B15" s="10" t="s">
        <v>719</v>
      </c>
      <c r="C15" s="6" t="s">
        <v>739</v>
      </c>
    </row>
    <row r="16" customFormat="false" ht="15" hidden="false" customHeight="true" outlineLevel="0" collapsed="false">
      <c r="A16" s="6" t="s">
        <v>673</v>
      </c>
      <c r="B16" s="10" t="s">
        <v>740</v>
      </c>
      <c r="C16" s="6" t="s">
        <v>741</v>
      </c>
    </row>
    <row r="17" customFormat="false" ht="15" hidden="false" customHeight="true" outlineLevel="0" collapsed="false">
      <c r="A17" s="6" t="s">
        <v>675</v>
      </c>
      <c r="B17" s="10" t="s">
        <v>740</v>
      </c>
      <c r="C17" s="6" t="s">
        <v>742</v>
      </c>
    </row>
    <row r="18" customFormat="false" ht="15" hidden="false" customHeight="true" outlineLevel="0" collapsed="false">
      <c r="A18" s="6" t="s">
        <v>677</v>
      </c>
      <c r="B18" s="10" t="s">
        <v>743</v>
      </c>
      <c r="C18" s="6" t="s">
        <v>744</v>
      </c>
    </row>
    <row r="19" customFormat="false" ht="15" hidden="false" customHeight="true" outlineLevel="0" collapsed="false">
      <c r="A19" s="6" t="s">
        <v>745</v>
      </c>
      <c r="B19" s="10" t="s">
        <v>746</v>
      </c>
      <c r="C19" s="6" t="s">
        <v>747</v>
      </c>
    </row>
    <row r="20" customFormat="false" ht="23.25" hidden="false" customHeight="true" outlineLevel="0" collapsed="false">
      <c r="A20" s="6" t="s">
        <v>748</v>
      </c>
      <c r="B20" s="10" t="s">
        <v>749</v>
      </c>
      <c r="C20" s="6" t="s">
        <v>750</v>
      </c>
    </row>
    <row r="21" customFormat="false" ht="15" hidden="false" customHeight="true" outlineLevel="0" collapsed="false">
      <c r="A21" s="6" t="s">
        <v>751</v>
      </c>
      <c r="B21" s="10" t="s">
        <v>752</v>
      </c>
      <c r="C21" s="6" t="s">
        <v>753</v>
      </c>
    </row>
    <row r="22" customFormat="false" ht="15" hidden="false" customHeight="true" outlineLevel="0" collapsed="false">
      <c r="A22" s="6" t="s">
        <v>754</v>
      </c>
      <c r="B22" s="10" t="s">
        <v>755</v>
      </c>
      <c r="C22" s="6" t="s">
        <v>756</v>
      </c>
    </row>
    <row r="23" customFormat="false" ht="23.85" hidden="false" customHeight="false" outlineLevel="0" collapsed="false">
      <c r="A23" s="6" t="s">
        <v>757</v>
      </c>
      <c r="B23" s="10" t="s">
        <v>758</v>
      </c>
      <c r="C23" s="6" t="s">
        <v>759</v>
      </c>
    </row>
    <row r="24" customFormat="false" ht="23.85" hidden="false" customHeight="false" outlineLevel="0" collapsed="false">
      <c r="A24" s="6" t="s">
        <v>760</v>
      </c>
      <c r="B24" s="10" t="s">
        <v>743</v>
      </c>
      <c r="C24" s="6" t="s">
        <v>761</v>
      </c>
    </row>
    <row r="25" customFormat="false" ht="15" hidden="false" customHeight="false" outlineLevel="0" collapsed="false">
      <c r="A25" s="6" t="s">
        <v>762</v>
      </c>
      <c r="B25" s="10" t="s">
        <v>704</v>
      </c>
      <c r="C25" s="6" t="s">
        <v>763</v>
      </c>
    </row>
    <row r="26" customFormat="false" ht="15" hidden="false" customHeight="false" outlineLevel="0" collapsed="false">
      <c r="A26" s="6" t="s">
        <v>764</v>
      </c>
      <c r="B26" s="10" t="s">
        <v>765</v>
      </c>
      <c r="C26" s="6" t="s">
        <v>766</v>
      </c>
    </row>
    <row r="27" customFormat="false" ht="15" hidden="false" customHeight="false" outlineLevel="0" collapsed="false">
      <c r="A27" s="6" t="s">
        <v>767</v>
      </c>
      <c r="B27" s="10" t="s">
        <v>768</v>
      </c>
      <c r="C27" s="6" t="s">
        <v>769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2"/>
    <col collapsed="false" customWidth="true" hidden="false" outlineLevel="0" max="3" min="3" style="1" width="46"/>
    <col collapsed="false" customWidth="true" hidden="false" outlineLevel="0" max="4" min="4" style="1" width="34"/>
    <col collapsed="false" customWidth="true" hidden="false" outlineLevel="0" max="7" min="5" style="1" width="11"/>
    <col collapsed="false" customWidth="true" hidden="false" outlineLevel="0" max="8" min="8" style="1" width="44"/>
  </cols>
  <sheetData>
    <row r="1" customFormat="false" ht="30" hidden="false" customHeight="true" outlineLevel="0" collapsed="false">
      <c r="A1" s="5" t="s">
        <v>194</v>
      </c>
      <c r="B1" s="5" t="s">
        <v>195</v>
      </c>
      <c r="C1" s="5" t="s">
        <v>197</v>
      </c>
      <c r="D1" s="5" t="s">
        <v>198</v>
      </c>
      <c r="E1" s="5" t="s">
        <v>33</v>
      </c>
      <c r="F1" s="5" t="s">
        <v>39</v>
      </c>
      <c r="G1" s="5" t="s">
        <v>46</v>
      </c>
      <c r="H1" s="5" t="s">
        <v>203</v>
      </c>
    </row>
    <row r="2" customFormat="false" ht="15" hidden="false" customHeight="true" outlineLevel="0" collapsed="false">
      <c r="A2" s="6" t="s">
        <v>770</v>
      </c>
      <c r="B2" s="6" t="s">
        <v>300</v>
      </c>
      <c r="C2" s="6" t="s">
        <v>771</v>
      </c>
      <c r="D2" s="6" t="s">
        <v>772</v>
      </c>
      <c r="E2" s="6" t="s">
        <v>773</v>
      </c>
      <c r="F2" s="6" t="s">
        <v>773</v>
      </c>
      <c r="G2" s="6" t="s">
        <v>773</v>
      </c>
      <c r="H2" s="6" t="s">
        <v>774</v>
      </c>
    </row>
    <row r="3" customFormat="false" ht="23.25" hidden="false" customHeight="true" outlineLevel="0" collapsed="false">
      <c r="A3" s="6" t="s">
        <v>775</v>
      </c>
      <c r="B3" s="6" t="s">
        <v>300</v>
      </c>
      <c r="C3" s="6" t="s">
        <v>776</v>
      </c>
      <c r="D3" s="6" t="s">
        <v>777</v>
      </c>
      <c r="E3" s="6" t="s">
        <v>773</v>
      </c>
      <c r="F3" s="6" t="s">
        <v>773</v>
      </c>
      <c r="G3" s="6" t="s">
        <v>773</v>
      </c>
      <c r="H3" s="6" t="s">
        <v>774</v>
      </c>
    </row>
    <row r="4" customFormat="false" ht="15" hidden="false" customHeight="true" outlineLevel="0" collapsed="false">
      <c r="A4" s="6" t="s">
        <v>778</v>
      </c>
      <c r="B4" s="6" t="s">
        <v>300</v>
      </c>
      <c r="C4" s="6" t="s">
        <v>779</v>
      </c>
      <c r="D4" s="6" t="s">
        <v>780</v>
      </c>
      <c r="E4" s="6" t="s">
        <v>773</v>
      </c>
      <c r="F4" s="6" t="s">
        <v>773</v>
      </c>
      <c r="G4" s="6" t="s">
        <v>773</v>
      </c>
      <c r="H4" s="6" t="s">
        <v>774</v>
      </c>
    </row>
    <row r="5" customFormat="false" ht="15" hidden="false" customHeight="true" outlineLevel="0" collapsed="false">
      <c r="A5" s="6" t="s">
        <v>781</v>
      </c>
      <c r="B5" s="6" t="s">
        <v>300</v>
      </c>
      <c r="C5" s="6" t="s">
        <v>782</v>
      </c>
      <c r="D5" s="6" t="s">
        <v>783</v>
      </c>
      <c r="E5" s="6" t="s">
        <v>773</v>
      </c>
      <c r="F5" s="6" t="s">
        <v>773</v>
      </c>
      <c r="G5" s="6" t="s">
        <v>773</v>
      </c>
      <c r="H5" s="6" t="s">
        <v>774</v>
      </c>
    </row>
    <row r="6" customFormat="false" ht="15" hidden="false" customHeight="true" outlineLevel="0" collapsed="false">
      <c r="A6" s="6" t="s">
        <v>784</v>
      </c>
      <c r="B6" s="6" t="s">
        <v>300</v>
      </c>
      <c r="C6" s="6" t="s">
        <v>785</v>
      </c>
      <c r="D6" s="6" t="s">
        <v>786</v>
      </c>
      <c r="E6" s="6" t="s">
        <v>773</v>
      </c>
      <c r="F6" s="6" t="s">
        <v>773</v>
      </c>
      <c r="G6" s="6" t="s">
        <v>773</v>
      </c>
      <c r="H6" s="6" t="s">
        <v>787</v>
      </c>
    </row>
    <row r="7" customFormat="false" ht="15" hidden="false" customHeight="true" outlineLevel="0" collapsed="false">
      <c r="A7" s="6" t="s">
        <v>788</v>
      </c>
      <c r="B7" s="6" t="s">
        <v>300</v>
      </c>
      <c r="C7" s="6" t="s">
        <v>789</v>
      </c>
      <c r="D7" s="6" t="s">
        <v>790</v>
      </c>
      <c r="E7" s="6" t="s">
        <v>773</v>
      </c>
      <c r="F7" s="6" t="s">
        <v>773</v>
      </c>
      <c r="G7" s="6" t="s">
        <v>773</v>
      </c>
      <c r="H7" s="6" t="s">
        <v>791</v>
      </c>
    </row>
    <row r="8" customFormat="false" ht="15" hidden="false" customHeight="true" outlineLevel="0" collapsed="false">
      <c r="A8" s="6" t="s">
        <v>792</v>
      </c>
      <c r="B8" s="6" t="s">
        <v>793</v>
      </c>
      <c r="C8" s="6" t="s">
        <v>794</v>
      </c>
      <c r="D8" s="6" t="s">
        <v>795</v>
      </c>
      <c r="E8" s="6" t="s">
        <v>773</v>
      </c>
      <c r="F8" s="6" t="s">
        <v>773</v>
      </c>
      <c r="G8" s="6" t="s">
        <v>773</v>
      </c>
      <c r="H8" s="6" t="s">
        <v>796</v>
      </c>
    </row>
    <row r="9" customFormat="false" ht="15" hidden="false" customHeight="true" outlineLevel="0" collapsed="false">
      <c r="A9" s="6" t="s">
        <v>797</v>
      </c>
      <c r="B9" s="6" t="s">
        <v>300</v>
      </c>
      <c r="C9" s="6" t="s">
        <v>798</v>
      </c>
      <c r="D9" s="6" t="s">
        <v>795</v>
      </c>
      <c r="E9" s="6" t="s">
        <v>773</v>
      </c>
      <c r="F9" s="6" t="s">
        <v>773</v>
      </c>
      <c r="G9" s="6" t="s">
        <v>773</v>
      </c>
      <c r="H9" s="6" t="s">
        <v>799</v>
      </c>
    </row>
    <row r="10" customFormat="false" ht="15" hidden="false" customHeight="true" outlineLevel="0" collapsed="false">
      <c r="A10" s="6" t="s">
        <v>800</v>
      </c>
      <c r="B10" s="6" t="s">
        <v>342</v>
      </c>
      <c r="C10" s="6" t="s">
        <v>801</v>
      </c>
      <c r="D10" s="6" t="s">
        <v>381</v>
      </c>
      <c r="E10" s="6" t="s">
        <v>773</v>
      </c>
      <c r="F10" s="6" t="s">
        <v>773</v>
      </c>
      <c r="G10" s="6" t="s">
        <v>773</v>
      </c>
      <c r="H10" s="6" t="s">
        <v>802</v>
      </c>
    </row>
    <row r="11" customFormat="false" ht="15" hidden="false" customHeight="true" outlineLevel="0" collapsed="false">
      <c r="A11" s="6" t="s">
        <v>803</v>
      </c>
      <c r="B11" s="6" t="s">
        <v>342</v>
      </c>
      <c r="C11" s="6" t="s">
        <v>804</v>
      </c>
      <c r="D11" s="6" t="s">
        <v>805</v>
      </c>
      <c r="E11" s="6" t="s">
        <v>773</v>
      </c>
      <c r="F11" s="6" t="s">
        <v>773</v>
      </c>
      <c r="G11" s="6" t="s">
        <v>773</v>
      </c>
      <c r="H11" s="6" t="s">
        <v>806</v>
      </c>
    </row>
    <row r="12" customFormat="false" ht="15" hidden="false" customHeight="true" outlineLevel="0" collapsed="false">
      <c r="A12" s="6" t="s">
        <v>807</v>
      </c>
      <c r="B12" s="6" t="s">
        <v>808</v>
      </c>
      <c r="C12" s="6" t="s">
        <v>809</v>
      </c>
      <c r="D12" s="6" t="s">
        <v>772</v>
      </c>
      <c r="E12" s="6" t="s">
        <v>773</v>
      </c>
      <c r="F12" s="6" t="s">
        <v>773</v>
      </c>
      <c r="G12" s="6" t="s">
        <v>773</v>
      </c>
      <c r="H12" s="6" t="s">
        <v>87</v>
      </c>
    </row>
    <row r="13" customFormat="false" ht="15" hidden="false" customHeight="true" outlineLevel="0" collapsed="false">
      <c r="A13" s="6" t="s">
        <v>27</v>
      </c>
      <c r="B13" s="6" t="s">
        <v>808</v>
      </c>
      <c r="C13" s="6" t="s">
        <v>810</v>
      </c>
      <c r="D13" s="6" t="s">
        <v>811</v>
      </c>
      <c r="E13" s="6" t="s">
        <v>773</v>
      </c>
      <c r="F13" s="6" t="s">
        <v>773</v>
      </c>
      <c r="G13" s="6" t="s">
        <v>773</v>
      </c>
      <c r="H13" s="6" t="s">
        <v>87</v>
      </c>
    </row>
    <row r="14" customFormat="false" ht="15" hidden="false" customHeight="true" outlineLevel="0" collapsed="false">
      <c r="A14" s="6" t="s">
        <v>812</v>
      </c>
      <c r="B14" s="6" t="s">
        <v>808</v>
      </c>
      <c r="C14" s="6" t="s">
        <v>813</v>
      </c>
      <c r="D14" s="6" t="s">
        <v>814</v>
      </c>
      <c r="E14" s="6" t="s">
        <v>773</v>
      </c>
      <c r="F14" s="6" t="s">
        <v>773</v>
      </c>
      <c r="G14" s="6" t="s">
        <v>773</v>
      </c>
      <c r="H14" s="6" t="s">
        <v>87</v>
      </c>
    </row>
    <row r="15" customFormat="false" ht="23.25" hidden="false" customHeight="true" outlineLevel="0" collapsed="false">
      <c r="A15" s="6" t="s">
        <v>815</v>
      </c>
      <c r="B15" s="6" t="s">
        <v>808</v>
      </c>
      <c r="C15" s="6" t="s">
        <v>816</v>
      </c>
      <c r="D15" s="6" t="s">
        <v>817</v>
      </c>
      <c r="E15" s="6" t="s">
        <v>773</v>
      </c>
      <c r="F15" s="6" t="s">
        <v>773</v>
      </c>
      <c r="G15" s="6" t="s">
        <v>773</v>
      </c>
      <c r="H15" s="6" t="s">
        <v>87</v>
      </c>
    </row>
    <row r="16" customFormat="false" ht="23.25" hidden="false" customHeight="true" outlineLevel="0" collapsed="false">
      <c r="A16" s="6" t="s">
        <v>55</v>
      </c>
      <c r="B16" s="6" t="s">
        <v>808</v>
      </c>
      <c r="C16" s="6" t="s">
        <v>818</v>
      </c>
      <c r="D16" s="6" t="s">
        <v>819</v>
      </c>
      <c r="E16" s="6" t="s">
        <v>773</v>
      </c>
      <c r="F16" s="6" t="s">
        <v>773</v>
      </c>
      <c r="G16" s="6" t="s">
        <v>773</v>
      </c>
      <c r="H16" s="6" t="s">
        <v>87</v>
      </c>
    </row>
    <row r="17" customFormat="false" ht="15" hidden="false" customHeight="true" outlineLevel="0" collapsed="false">
      <c r="A17" s="6" t="s">
        <v>820</v>
      </c>
      <c r="B17" s="6" t="s">
        <v>808</v>
      </c>
      <c r="C17" s="6" t="s">
        <v>821</v>
      </c>
      <c r="D17" s="6" t="s">
        <v>822</v>
      </c>
      <c r="E17" s="6" t="s">
        <v>773</v>
      </c>
      <c r="F17" s="6" t="s">
        <v>773</v>
      </c>
      <c r="G17" s="6" t="s">
        <v>773</v>
      </c>
      <c r="H17" s="6" t="s">
        <v>87</v>
      </c>
    </row>
    <row r="18" customFormat="false" ht="15" hidden="false" customHeight="true" outlineLevel="0" collapsed="false">
      <c r="A18" s="6" t="s">
        <v>823</v>
      </c>
      <c r="B18" s="6" t="s">
        <v>808</v>
      </c>
      <c r="C18" s="6" t="s">
        <v>824</v>
      </c>
      <c r="D18" s="6" t="s">
        <v>825</v>
      </c>
      <c r="E18" s="6" t="s">
        <v>773</v>
      </c>
      <c r="F18" s="6" t="s">
        <v>773</v>
      </c>
      <c r="G18" s="6" t="s">
        <v>773</v>
      </c>
      <c r="H18" s="6" t="s">
        <v>87</v>
      </c>
    </row>
    <row r="19" customFormat="false" ht="15" hidden="false" customHeight="true" outlineLevel="0" collapsed="false">
      <c r="A19" s="6" t="s">
        <v>826</v>
      </c>
      <c r="B19" s="6" t="s">
        <v>808</v>
      </c>
      <c r="C19" s="6" t="s">
        <v>827</v>
      </c>
      <c r="D19" s="6" t="s">
        <v>828</v>
      </c>
      <c r="E19" s="6" t="s">
        <v>773</v>
      </c>
      <c r="F19" s="6" t="s">
        <v>773</v>
      </c>
      <c r="G19" s="6" t="s">
        <v>773</v>
      </c>
      <c r="H19" s="6" t="s">
        <v>87</v>
      </c>
    </row>
    <row r="20" customFormat="false" ht="15" hidden="false" customHeight="true" outlineLevel="0" collapsed="false">
      <c r="A20" s="6" t="s">
        <v>829</v>
      </c>
      <c r="B20" s="6" t="s">
        <v>808</v>
      </c>
      <c r="C20" s="6" t="s">
        <v>830</v>
      </c>
      <c r="D20" s="6" t="s">
        <v>831</v>
      </c>
      <c r="E20" s="6" t="s">
        <v>773</v>
      </c>
      <c r="F20" s="6" t="s">
        <v>773</v>
      </c>
      <c r="G20" s="6" t="s">
        <v>773</v>
      </c>
      <c r="H20" s="6" t="s">
        <v>832</v>
      </c>
    </row>
    <row r="21" customFormat="false" ht="15" hidden="false" customHeight="true" outlineLevel="0" collapsed="false">
      <c r="A21" s="6" t="s">
        <v>204</v>
      </c>
      <c r="B21" s="6" t="s">
        <v>205</v>
      </c>
      <c r="C21" s="6" t="s">
        <v>207</v>
      </c>
      <c r="D21" s="6" t="s">
        <v>208</v>
      </c>
      <c r="E21" s="15" t="str">
        <f aca="false">IFERROR(INDEX(Features_Motor!$F:$F,MATCH($A21,Features_Motor!$A:$A,0)),"n/a")</f>
        <v>Include</v>
      </c>
      <c r="F21" s="15" t="str">
        <f aca="false">IFERROR(INDEX(Features_Buildings!$F:$F,MATCH($A21,Features_Buildings!$A:$A,0)),"n/a")</f>
        <v>n/a</v>
      </c>
      <c r="G21" s="15" t="str">
        <f aca="false">IFERROR(INDEX(Features_Contents!$F:$F,MATCH($A21,Features_Contents!$A:$A,0)),"n/a")</f>
        <v>n/a</v>
      </c>
      <c r="H21" s="6"/>
    </row>
    <row r="22" customFormat="false" ht="15" hidden="false" customHeight="true" outlineLevel="0" collapsed="false">
      <c r="A22" s="6" t="s">
        <v>214</v>
      </c>
      <c r="B22" s="6" t="s">
        <v>205</v>
      </c>
      <c r="C22" s="6" t="s">
        <v>215</v>
      </c>
      <c r="D22" s="6" t="s">
        <v>216</v>
      </c>
      <c r="E22" s="15" t="str">
        <f aca="false">IFERROR(INDEX(Features_Motor!$F:$F,MATCH($A22,Features_Motor!$A:$A,0)),"n/a")</f>
        <v>Include</v>
      </c>
      <c r="F22" s="15" t="str">
        <f aca="false">IFERROR(INDEX(Features_Buildings!$F:$F,MATCH($A22,Features_Buildings!$A:$A,0)),"n/a")</f>
        <v>n/a</v>
      </c>
      <c r="G22" s="15" t="str">
        <f aca="false">IFERROR(INDEX(Features_Contents!$F:$F,MATCH($A22,Features_Contents!$A:$A,0)),"n/a")</f>
        <v>n/a</v>
      </c>
      <c r="H22" s="6"/>
    </row>
    <row r="23" customFormat="false" ht="15" hidden="false" customHeight="true" outlineLevel="0" collapsed="false">
      <c r="A23" s="6" t="s">
        <v>218</v>
      </c>
      <c r="B23" s="6" t="s">
        <v>205</v>
      </c>
      <c r="C23" s="6" t="s">
        <v>219</v>
      </c>
      <c r="D23" s="6" t="s">
        <v>220</v>
      </c>
      <c r="E23" s="15" t="str">
        <f aca="false">IFERROR(INDEX(Features_Motor!$F:$F,MATCH($A23,Features_Motor!$A:$A,0)),"n/a")</f>
        <v>Include</v>
      </c>
      <c r="F23" s="15" t="str">
        <f aca="false">IFERROR(INDEX(Features_Buildings!$F:$F,MATCH($A23,Features_Buildings!$A:$A,0)),"n/a")</f>
        <v>n/a</v>
      </c>
      <c r="G23" s="15" t="str">
        <f aca="false">IFERROR(INDEX(Features_Contents!$F:$F,MATCH($A23,Features_Contents!$A:$A,0)),"n/a")</f>
        <v>n/a</v>
      </c>
      <c r="H23" s="6"/>
    </row>
    <row r="24" customFormat="false" ht="15" hidden="false" customHeight="true" outlineLevel="0" collapsed="false">
      <c r="A24" s="6" t="s">
        <v>222</v>
      </c>
      <c r="B24" s="6" t="s">
        <v>205</v>
      </c>
      <c r="C24" s="6" t="s">
        <v>223</v>
      </c>
      <c r="D24" s="6" t="s">
        <v>224</v>
      </c>
      <c r="E24" s="15" t="str">
        <f aca="false">IFERROR(INDEX(Features_Motor!$F:$F,MATCH($A24,Features_Motor!$A:$A,0)),"n/a")</f>
        <v>Include</v>
      </c>
      <c r="F24" s="15" t="str">
        <f aca="false">IFERROR(INDEX(Features_Buildings!$F:$F,MATCH($A24,Features_Buildings!$A:$A,0)),"n/a")</f>
        <v>n/a</v>
      </c>
      <c r="G24" s="15" t="str">
        <f aca="false">IFERROR(INDEX(Features_Contents!$F:$F,MATCH($A24,Features_Contents!$A:$A,0)),"n/a")</f>
        <v>n/a</v>
      </c>
      <c r="H24" s="6"/>
    </row>
    <row r="25" customFormat="false" ht="15" hidden="false" customHeight="true" outlineLevel="0" collapsed="false">
      <c r="A25" s="6" t="s">
        <v>226</v>
      </c>
      <c r="B25" s="6" t="s">
        <v>205</v>
      </c>
      <c r="C25" s="6" t="s">
        <v>227</v>
      </c>
      <c r="D25" s="6" t="s">
        <v>228</v>
      </c>
      <c r="E25" s="15" t="str">
        <f aca="false">IFERROR(INDEX(Features_Motor!$F:$F,MATCH($A25,Features_Motor!$A:$A,0)),"n/a")</f>
        <v>Include</v>
      </c>
      <c r="F25" s="15" t="str">
        <f aca="false">IFERROR(INDEX(Features_Buildings!$F:$F,MATCH($A25,Features_Buildings!$A:$A,0)),"n/a")</f>
        <v>n/a</v>
      </c>
      <c r="G25" s="15" t="str">
        <f aca="false">IFERROR(INDEX(Features_Contents!$F:$F,MATCH($A25,Features_Contents!$A:$A,0)),"n/a")</f>
        <v>n/a</v>
      </c>
      <c r="H25" s="6"/>
    </row>
    <row r="26" customFormat="false" ht="23.25" hidden="false" customHeight="true" outlineLevel="0" collapsed="false">
      <c r="A26" s="6" t="s">
        <v>231</v>
      </c>
      <c r="B26" s="6" t="s">
        <v>205</v>
      </c>
      <c r="C26" s="6" t="s">
        <v>233</v>
      </c>
      <c r="D26" s="6" t="s">
        <v>234</v>
      </c>
      <c r="E26" s="15" t="str">
        <f aca="false">IFERROR(INDEX(Features_Motor!$F:$F,MATCH($A26,Features_Motor!$A:$A,0)),"n/a")</f>
        <v>Test</v>
      </c>
      <c r="F26" s="15" t="str">
        <f aca="false">IFERROR(INDEX(Features_Buildings!$F:$F,MATCH($A26,Features_Buildings!$A:$A,0)),"n/a")</f>
        <v>n/a</v>
      </c>
      <c r="G26" s="15" t="str">
        <f aca="false">IFERROR(INDEX(Features_Contents!$F:$F,MATCH($A26,Features_Contents!$A:$A,0)),"n/a")</f>
        <v>n/a</v>
      </c>
      <c r="H26" s="6" t="s">
        <v>237</v>
      </c>
    </row>
    <row r="27" customFormat="false" ht="15" hidden="false" customHeight="true" outlineLevel="0" collapsed="false">
      <c r="A27" s="6" t="s">
        <v>238</v>
      </c>
      <c r="B27" s="6" t="s">
        <v>205</v>
      </c>
      <c r="C27" s="6" t="s">
        <v>239</v>
      </c>
      <c r="D27" s="6" t="s">
        <v>240</v>
      </c>
      <c r="E27" s="15" t="str">
        <f aca="false">IFERROR(INDEX(Features_Motor!$F:$F,MATCH($A27,Features_Motor!$A:$A,0)),"n/a")</f>
        <v>Include</v>
      </c>
      <c r="F27" s="15" t="str">
        <f aca="false">IFERROR(INDEX(Features_Buildings!$F:$F,MATCH($A27,Features_Buildings!$A:$A,0)),"n/a")</f>
        <v>n/a</v>
      </c>
      <c r="G27" s="15" t="str">
        <f aca="false">IFERROR(INDEX(Features_Contents!$F:$F,MATCH($A27,Features_Contents!$A:$A,0)),"n/a")</f>
        <v>n/a</v>
      </c>
      <c r="H27" s="6"/>
    </row>
    <row r="28" customFormat="false" ht="15" hidden="false" customHeight="true" outlineLevel="0" collapsed="false">
      <c r="A28" s="6" t="s">
        <v>242</v>
      </c>
      <c r="B28" s="6" t="s">
        <v>205</v>
      </c>
      <c r="C28" s="6" t="s">
        <v>243</v>
      </c>
      <c r="D28" s="6" t="s">
        <v>244</v>
      </c>
      <c r="E28" s="15" t="str">
        <f aca="false">IFERROR(INDEX(Features_Motor!$F:$F,MATCH($A28,Features_Motor!$A:$A,0)),"n/a")</f>
        <v>Include</v>
      </c>
      <c r="F28" s="15" t="str">
        <f aca="false">IFERROR(INDEX(Features_Buildings!$F:$F,MATCH($A28,Features_Buildings!$A:$A,0)),"n/a")</f>
        <v>n/a</v>
      </c>
      <c r="G28" s="15" t="str">
        <f aca="false">IFERROR(INDEX(Features_Contents!$F:$F,MATCH($A28,Features_Contents!$A:$A,0)),"n/a")</f>
        <v>n/a</v>
      </c>
      <c r="H28" s="6"/>
    </row>
    <row r="29" customFormat="false" ht="15" hidden="false" customHeight="true" outlineLevel="0" collapsed="false">
      <c r="A29" s="6" t="s">
        <v>246</v>
      </c>
      <c r="B29" s="6" t="s">
        <v>205</v>
      </c>
      <c r="C29" s="6" t="s">
        <v>247</v>
      </c>
      <c r="D29" s="6" t="s">
        <v>248</v>
      </c>
      <c r="E29" s="15" t="str">
        <f aca="false">IFERROR(INDEX(Features_Motor!$F:$F,MATCH($A29,Features_Motor!$A:$A,0)),"n/a")</f>
        <v>Test</v>
      </c>
      <c r="F29" s="15" t="str">
        <f aca="false">IFERROR(INDEX(Features_Buildings!$F:$F,MATCH($A29,Features_Buildings!$A:$A,0)),"n/a")</f>
        <v>n/a</v>
      </c>
      <c r="G29" s="15" t="str">
        <f aca="false">IFERROR(INDEX(Features_Contents!$F:$F,MATCH($A29,Features_Contents!$A:$A,0)),"n/a")</f>
        <v>n/a</v>
      </c>
      <c r="H29" s="6"/>
    </row>
    <row r="30" customFormat="false" ht="15" hidden="false" customHeight="true" outlineLevel="0" collapsed="false">
      <c r="A30" s="6" t="s">
        <v>250</v>
      </c>
      <c r="B30" s="6" t="s">
        <v>205</v>
      </c>
      <c r="C30" s="6" t="s">
        <v>251</v>
      </c>
      <c r="D30" s="6" t="s">
        <v>252</v>
      </c>
      <c r="E30" s="15" t="str">
        <f aca="false">IFERROR(INDEX(Features_Motor!$F:$F,MATCH($A30,Features_Motor!$A:$A,0)),"n/a")</f>
        <v>Test</v>
      </c>
      <c r="F30" s="15" t="str">
        <f aca="false">IFERROR(INDEX(Features_Buildings!$F:$F,MATCH($A30,Features_Buildings!$A:$A,0)),"n/a")</f>
        <v>n/a</v>
      </c>
      <c r="G30" s="15" t="str">
        <f aca="false">IFERROR(INDEX(Features_Contents!$F:$F,MATCH($A30,Features_Contents!$A:$A,0)),"n/a")</f>
        <v>n/a</v>
      </c>
      <c r="H30" s="6"/>
    </row>
    <row r="31" customFormat="false" ht="23.25" hidden="false" customHeight="true" outlineLevel="0" collapsed="false">
      <c r="A31" s="6" t="s">
        <v>254</v>
      </c>
      <c r="B31" s="6" t="s">
        <v>205</v>
      </c>
      <c r="C31" s="6" t="s">
        <v>255</v>
      </c>
      <c r="D31" s="6" t="s">
        <v>256</v>
      </c>
      <c r="E31" s="15" t="str">
        <f aca="false">IFERROR(INDEX(Features_Motor!$F:$F,MATCH($A31,Features_Motor!$A:$A,0)),"n/a")</f>
        <v>Exclude</v>
      </c>
      <c r="F31" s="15" t="str">
        <f aca="false">IFERROR(INDEX(Features_Buildings!$F:$F,MATCH($A31,Features_Buildings!$A:$A,0)),"n/a")</f>
        <v>n/a</v>
      </c>
      <c r="G31" s="15" t="str">
        <f aca="false">IFERROR(INDEX(Features_Contents!$F:$F,MATCH($A31,Features_Contents!$A:$A,0)),"n/a")</f>
        <v>n/a</v>
      </c>
      <c r="H31" s="6" t="s">
        <v>260</v>
      </c>
    </row>
    <row r="32" customFormat="false" ht="15" hidden="false" customHeight="true" outlineLevel="0" collapsed="false">
      <c r="A32" s="6" t="s">
        <v>261</v>
      </c>
      <c r="B32" s="6" t="s">
        <v>205</v>
      </c>
      <c r="C32" s="6" t="s">
        <v>262</v>
      </c>
      <c r="D32" s="6" t="s">
        <v>263</v>
      </c>
      <c r="E32" s="15" t="str">
        <f aca="false">IFERROR(INDEX(Features_Motor!$F:$F,MATCH($A32,Features_Motor!$A:$A,0)),"n/a")</f>
        <v>Test</v>
      </c>
      <c r="F32" s="15" t="str">
        <f aca="false">IFERROR(INDEX(Features_Buildings!$F:$F,MATCH($A32,Features_Buildings!$A:$A,0)),"n/a")</f>
        <v>n/a</v>
      </c>
      <c r="G32" s="15" t="str">
        <f aca="false">IFERROR(INDEX(Features_Contents!$F:$F,MATCH($A32,Features_Contents!$A:$A,0)),"n/a")</f>
        <v>n/a</v>
      </c>
      <c r="H32" s="6"/>
    </row>
    <row r="33" customFormat="false" ht="15" hidden="false" customHeight="true" outlineLevel="0" collapsed="false">
      <c r="A33" s="6" t="s">
        <v>265</v>
      </c>
      <c r="B33" s="6" t="s">
        <v>205</v>
      </c>
      <c r="C33" s="6" t="s">
        <v>267</v>
      </c>
      <c r="D33" s="6" t="s">
        <v>268</v>
      </c>
      <c r="E33" s="15" t="str">
        <f aca="false">IFERROR(INDEX(Features_Motor!$F:$F,MATCH($A33,Features_Motor!$A:$A,0)),"n/a")</f>
        <v>Include</v>
      </c>
      <c r="F33" s="15" t="str">
        <f aca="false">IFERROR(INDEX(Features_Buildings!$F:$F,MATCH($A33,Features_Buildings!$A:$A,0)),"n/a")</f>
        <v>n/a</v>
      </c>
      <c r="G33" s="15" t="str">
        <f aca="false">IFERROR(INDEX(Features_Contents!$F:$F,MATCH($A33,Features_Contents!$A:$A,0)),"n/a")</f>
        <v>n/a</v>
      </c>
      <c r="H33" s="6"/>
    </row>
    <row r="34" customFormat="false" ht="23.25" hidden="false" customHeight="true" outlineLevel="0" collapsed="false">
      <c r="A34" s="6" t="s">
        <v>270</v>
      </c>
      <c r="B34" s="6" t="s">
        <v>205</v>
      </c>
      <c r="C34" s="6" t="s">
        <v>271</v>
      </c>
      <c r="D34" s="6" t="s">
        <v>272</v>
      </c>
      <c r="E34" s="15" t="str">
        <f aca="false">IFERROR(INDEX(Features_Motor!$F:$F,MATCH($A34,Features_Motor!$A:$A,0)),"n/a")</f>
        <v>Include</v>
      </c>
      <c r="F34" s="15" t="str">
        <f aca="false">IFERROR(INDEX(Features_Buildings!$F:$F,MATCH($A34,Features_Buildings!$A:$A,0)),"n/a")</f>
        <v>n/a</v>
      </c>
      <c r="G34" s="15" t="str">
        <f aca="false">IFERROR(INDEX(Features_Contents!$F:$F,MATCH($A34,Features_Contents!$A:$A,0)),"n/a")</f>
        <v>n/a</v>
      </c>
      <c r="H34" s="6" t="s">
        <v>274</v>
      </c>
    </row>
    <row r="35" customFormat="false" ht="15" hidden="false" customHeight="true" outlineLevel="0" collapsed="false">
      <c r="A35" s="6" t="s">
        <v>275</v>
      </c>
      <c r="B35" s="6" t="s">
        <v>205</v>
      </c>
      <c r="C35" s="6" t="s">
        <v>276</v>
      </c>
      <c r="D35" s="6" t="s">
        <v>277</v>
      </c>
      <c r="E35" s="15" t="str">
        <f aca="false">IFERROR(INDEX(Features_Motor!$F:$F,MATCH($A35,Features_Motor!$A:$A,0)),"n/a")</f>
        <v>Include</v>
      </c>
      <c r="F35" s="15" t="str">
        <f aca="false">IFERROR(INDEX(Features_Buildings!$F:$F,MATCH($A35,Features_Buildings!$A:$A,0)),"n/a")</f>
        <v>n/a</v>
      </c>
      <c r="G35" s="15" t="str">
        <f aca="false">IFERROR(INDEX(Features_Contents!$F:$F,MATCH($A35,Features_Contents!$A:$A,0)),"n/a")</f>
        <v>n/a</v>
      </c>
      <c r="H35" s="6"/>
    </row>
    <row r="36" customFormat="false" ht="15" hidden="false" customHeight="true" outlineLevel="0" collapsed="false">
      <c r="A36" s="6" t="s">
        <v>279</v>
      </c>
      <c r="B36" s="6" t="s">
        <v>205</v>
      </c>
      <c r="C36" s="6" t="s">
        <v>280</v>
      </c>
      <c r="D36" s="6" t="s">
        <v>281</v>
      </c>
      <c r="E36" s="15" t="str">
        <f aca="false">IFERROR(INDEX(Features_Motor!$F:$F,MATCH($A36,Features_Motor!$A:$A,0)),"n/a")</f>
        <v>Include</v>
      </c>
      <c r="F36" s="15" t="str">
        <f aca="false">IFERROR(INDEX(Features_Buildings!$F:$F,MATCH($A36,Features_Buildings!$A:$A,0)),"n/a")</f>
        <v>n/a</v>
      </c>
      <c r="G36" s="15" t="str">
        <f aca="false">IFERROR(INDEX(Features_Contents!$F:$F,MATCH($A36,Features_Contents!$A:$A,0)),"n/a")</f>
        <v>n/a</v>
      </c>
      <c r="H36" s="6"/>
    </row>
    <row r="37" customFormat="false" ht="15" hidden="false" customHeight="true" outlineLevel="0" collapsed="false">
      <c r="A37" s="6" t="s">
        <v>283</v>
      </c>
      <c r="B37" s="6" t="s">
        <v>205</v>
      </c>
      <c r="C37" s="6" t="s">
        <v>284</v>
      </c>
      <c r="D37" s="6" t="s">
        <v>285</v>
      </c>
      <c r="E37" s="15" t="str">
        <f aca="false">IFERROR(INDEX(Features_Motor!$F:$F,MATCH($A37,Features_Motor!$A:$A,0)),"n/a")</f>
        <v>Include</v>
      </c>
      <c r="F37" s="15" t="str">
        <f aca="false">IFERROR(INDEX(Features_Buildings!$F:$F,MATCH($A37,Features_Buildings!$A:$A,0)),"n/a")</f>
        <v>n/a</v>
      </c>
      <c r="G37" s="15" t="str">
        <f aca="false">IFERROR(INDEX(Features_Contents!$F:$F,MATCH($A37,Features_Contents!$A:$A,0)),"n/a")</f>
        <v>n/a</v>
      </c>
      <c r="H37" s="6"/>
    </row>
    <row r="38" customFormat="false" ht="15" hidden="false" customHeight="true" outlineLevel="0" collapsed="false">
      <c r="A38" s="6" t="s">
        <v>286</v>
      </c>
      <c r="B38" s="6" t="s">
        <v>205</v>
      </c>
      <c r="C38" s="6" t="s">
        <v>288</v>
      </c>
      <c r="D38" s="6" t="s">
        <v>208</v>
      </c>
      <c r="E38" s="15" t="str">
        <f aca="false">IFERROR(INDEX(Features_Motor!$F:$F,MATCH($A38,Features_Motor!$A:$A,0)),"n/a")</f>
        <v>Include</v>
      </c>
      <c r="F38" s="15" t="str">
        <f aca="false">IFERROR(INDEX(Features_Buildings!$F:$F,MATCH($A38,Features_Buildings!$A:$A,0)),"n/a")</f>
        <v>n/a</v>
      </c>
      <c r="G38" s="15" t="str">
        <f aca="false">IFERROR(INDEX(Features_Contents!$F:$F,MATCH($A38,Features_Contents!$A:$A,0)),"n/a")</f>
        <v>n/a</v>
      </c>
      <c r="H38" s="6"/>
    </row>
    <row r="39" customFormat="false" ht="15" hidden="false" customHeight="true" outlineLevel="0" collapsed="false">
      <c r="A39" s="6" t="s">
        <v>290</v>
      </c>
      <c r="B39" s="6" t="s">
        <v>205</v>
      </c>
      <c r="C39" s="6" t="s">
        <v>291</v>
      </c>
      <c r="D39" s="6" t="s">
        <v>292</v>
      </c>
      <c r="E39" s="15" t="str">
        <f aca="false">IFERROR(INDEX(Features_Motor!$F:$F,MATCH($A39,Features_Motor!$A:$A,0)),"n/a")</f>
        <v>Test</v>
      </c>
      <c r="F39" s="15" t="str">
        <f aca="false">IFERROR(INDEX(Features_Buildings!$F:$F,MATCH($A39,Features_Buildings!$A:$A,0)),"n/a")</f>
        <v>n/a</v>
      </c>
      <c r="G39" s="15" t="str">
        <f aca="false">IFERROR(INDEX(Features_Contents!$F:$F,MATCH($A39,Features_Contents!$A:$A,0)),"n/a")</f>
        <v>n/a</v>
      </c>
      <c r="H39" s="6"/>
    </row>
    <row r="40" customFormat="false" ht="15" hidden="false" customHeight="true" outlineLevel="0" collapsed="false">
      <c r="A40" s="6" t="s">
        <v>294</v>
      </c>
      <c r="B40" s="6" t="s">
        <v>205</v>
      </c>
      <c r="C40" s="6" t="s">
        <v>295</v>
      </c>
      <c r="D40" s="6" t="s">
        <v>296</v>
      </c>
      <c r="E40" s="15" t="str">
        <f aca="false">IFERROR(INDEX(Features_Motor!$F:$F,MATCH($A40,Features_Motor!$A:$A,0)),"n/a")</f>
        <v>Test</v>
      </c>
      <c r="F40" s="15" t="str">
        <f aca="false">IFERROR(INDEX(Features_Buildings!$F:$F,MATCH($A40,Features_Buildings!$A:$A,0)),"n/a")</f>
        <v>n/a</v>
      </c>
      <c r="G40" s="15" t="str">
        <f aca="false">IFERROR(INDEX(Features_Contents!$F:$F,MATCH($A40,Features_Contents!$A:$A,0)),"n/a")</f>
        <v>n/a</v>
      </c>
      <c r="H40" s="6" t="s">
        <v>298</v>
      </c>
    </row>
    <row r="41" customFormat="false" ht="23.25" hidden="false" customHeight="true" outlineLevel="0" collapsed="false">
      <c r="A41" s="6" t="s">
        <v>506</v>
      </c>
      <c r="B41" s="6" t="s">
        <v>507</v>
      </c>
      <c r="C41" s="6" t="s">
        <v>508</v>
      </c>
      <c r="D41" s="6" t="s">
        <v>509</v>
      </c>
      <c r="E41" s="15" t="str">
        <f aca="false">IFERROR(INDEX(Features_Motor!$F:$F,MATCH($A41,Features_Motor!$A:$A,0)),"n/a")</f>
        <v>n/a</v>
      </c>
      <c r="F41" s="15" t="str">
        <f aca="false">IFERROR(INDEX(Features_Buildings!$F:$F,MATCH($A41,Features_Buildings!$A:$A,0)),"n/a")</f>
        <v>Test</v>
      </c>
      <c r="G41" s="15" t="str">
        <f aca="false">IFERROR(INDEX(Features_Contents!$F:$F,MATCH($A41,Features_Contents!$A:$A,0)),"n/a")</f>
        <v>Test</v>
      </c>
      <c r="H41" s="6" t="s">
        <v>510</v>
      </c>
    </row>
    <row r="42" customFormat="false" ht="15" hidden="false" customHeight="true" outlineLevel="0" collapsed="false">
      <c r="A42" s="6" t="s">
        <v>511</v>
      </c>
      <c r="B42" s="6" t="s">
        <v>507</v>
      </c>
      <c r="C42" s="6" t="s">
        <v>512</v>
      </c>
      <c r="D42" s="6" t="s">
        <v>513</v>
      </c>
      <c r="E42" s="15" t="str">
        <f aca="false">IFERROR(INDEX(Features_Motor!$F:$F,MATCH($A42,Features_Motor!$A:$A,0)),"n/a")</f>
        <v>n/a</v>
      </c>
      <c r="F42" s="15" t="str">
        <f aca="false">IFERROR(INDEX(Features_Buildings!$F:$F,MATCH($A42,Features_Buildings!$A:$A,0)),"n/a")</f>
        <v>Include</v>
      </c>
      <c r="G42" s="15" t="str">
        <f aca="false">IFERROR(INDEX(Features_Contents!$F:$F,MATCH($A42,Features_Contents!$A:$A,0)),"n/a")</f>
        <v>Include</v>
      </c>
      <c r="H42" s="6"/>
    </row>
    <row r="43" customFormat="false" ht="15" hidden="false" customHeight="true" outlineLevel="0" collapsed="false">
      <c r="A43" s="6" t="s">
        <v>143</v>
      </c>
      <c r="B43" s="6" t="s">
        <v>515</v>
      </c>
      <c r="C43" s="6" t="s">
        <v>516</v>
      </c>
      <c r="D43" s="6" t="s">
        <v>517</v>
      </c>
      <c r="E43" s="15" t="str">
        <f aca="false">IFERROR(INDEX(Features_Motor!$F:$F,MATCH($A43,Features_Motor!$A:$A,0)),"n/a")</f>
        <v>n/a</v>
      </c>
      <c r="F43" s="15" t="str">
        <f aca="false">IFERROR(INDEX(Features_Buildings!$F:$F,MATCH($A43,Features_Buildings!$A:$A,0)),"n/a")</f>
        <v>Include</v>
      </c>
      <c r="G43" s="15" t="str">
        <f aca="false">IFERROR(INDEX(Features_Contents!$F:$F,MATCH($A43,Features_Contents!$A:$A,0)),"n/a")</f>
        <v>n/a</v>
      </c>
      <c r="H43" s="6" t="s">
        <v>519</v>
      </c>
    </row>
    <row r="44" customFormat="false" ht="15" hidden="false" customHeight="true" outlineLevel="0" collapsed="false">
      <c r="A44" s="6" t="s">
        <v>520</v>
      </c>
      <c r="B44" s="6" t="s">
        <v>515</v>
      </c>
      <c r="C44" s="6" t="s">
        <v>521</v>
      </c>
      <c r="D44" s="6" t="s">
        <v>522</v>
      </c>
      <c r="E44" s="15" t="str">
        <f aca="false">IFERROR(INDEX(Features_Motor!$F:$F,MATCH($A44,Features_Motor!$A:$A,0)),"n/a")</f>
        <v>n/a</v>
      </c>
      <c r="F44" s="15" t="str">
        <f aca="false">IFERROR(INDEX(Features_Buildings!$F:$F,MATCH($A44,Features_Buildings!$A:$A,0)),"n/a")</f>
        <v>Include</v>
      </c>
      <c r="G44" s="15" t="str">
        <f aca="false">IFERROR(INDEX(Features_Contents!$F:$F,MATCH($A44,Features_Contents!$A:$A,0)),"n/a")</f>
        <v>n/a</v>
      </c>
      <c r="H44" s="6"/>
    </row>
    <row r="45" customFormat="false" ht="15" hidden="false" customHeight="true" outlineLevel="0" collapsed="false">
      <c r="A45" s="6" t="s">
        <v>524</v>
      </c>
      <c r="B45" s="6" t="s">
        <v>515</v>
      </c>
      <c r="C45" s="6" t="s">
        <v>525</v>
      </c>
      <c r="D45" s="6" t="s">
        <v>526</v>
      </c>
      <c r="E45" s="15" t="str">
        <f aca="false">IFERROR(INDEX(Features_Motor!$F:$F,MATCH($A45,Features_Motor!$A:$A,0)),"n/a")</f>
        <v>n/a</v>
      </c>
      <c r="F45" s="15" t="str">
        <f aca="false">IFERROR(INDEX(Features_Buildings!$F:$F,MATCH($A45,Features_Buildings!$A:$A,0)),"n/a")</f>
        <v>Include</v>
      </c>
      <c r="G45" s="15" t="str">
        <f aca="false">IFERROR(INDEX(Features_Contents!$F:$F,MATCH($A45,Features_Contents!$A:$A,0)),"n/a")</f>
        <v>n/a</v>
      </c>
      <c r="H45" s="6"/>
    </row>
    <row r="46" customFormat="false" ht="15" hidden="false" customHeight="true" outlineLevel="0" collapsed="false">
      <c r="A46" s="6" t="s">
        <v>528</v>
      </c>
      <c r="B46" s="6" t="s">
        <v>515</v>
      </c>
      <c r="C46" s="6" t="s">
        <v>529</v>
      </c>
      <c r="D46" s="6" t="s">
        <v>530</v>
      </c>
      <c r="E46" s="15" t="str">
        <f aca="false">IFERROR(INDEX(Features_Motor!$F:$F,MATCH($A46,Features_Motor!$A:$A,0)),"n/a")</f>
        <v>n/a</v>
      </c>
      <c r="F46" s="15" t="str">
        <f aca="false">IFERROR(INDEX(Features_Buildings!$F:$F,MATCH($A46,Features_Buildings!$A:$A,0)),"n/a")</f>
        <v>Include</v>
      </c>
      <c r="G46" s="15" t="str">
        <f aca="false">IFERROR(INDEX(Features_Contents!$F:$F,MATCH($A46,Features_Contents!$A:$A,0)),"n/a")</f>
        <v>n/a</v>
      </c>
      <c r="H46" s="6"/>
    </row>
    <row r="47" customFormat="false" ht="23.25" hidden="false" customHeight="true" outlineLevel="0" collapsed="false">
      <c r="A47" s="6" t="s">
        <v>532</v>
      </c>
      <c r="B47" s="6" t="s">
        <v>507</v>
      </c>
      <c r="C47" s="6" t="s">
        <v>533</v>
      </c>
      <c r="D47" s="6" t="s">
        <v>534</v>
      </c>
      <c r="E47" s="15" t="str">
        <f aca="false">IFERROR(INDEX(Features_Motor!$F:$F,MATCH($A47,Features_Motor!$A:$A,0)),"n/a")</f>
        <v>n/a</v>
      </c>
      <c r="F47" s="15" t="str">
        <f aca="false">IFERROR(INDEX(Features_Buildings!$F:$F,MATCH($A47,Features_Buildings!$A:$A,0)),"n/a")</f>
        <v>Include</v>
      </c>
      <c r="G47" s="15" t="str">
        <f aca="false">IFERROR(INDEX(Features_Contents!$F:$F,MATCH($A47,Features_Contents!$A:$A,0)),"n/a")</f>
        <v>Include</v>
      </c>
      <c r="H47" s="6" t="s">
        <v>536</v>
      </c>
    </row>
    <row r="48" customFormat="false" ht="15" hidden="false" customHeight="true" outlineLevel="0" collapsed="false">
      <c r="A48" s="6" t="s">
        <v>537</v>
      </c>
      <c r="B48" s="6" t="s">
        <v>515</v>
      </c>
      <c r="C48" s="6" t="s">
        <v>538</v>
      </c>
      <c r="D48" s="6" t="s">
        <v>539</v>
      </c>
      <c r="E48" s="15" t="str">
        <f aca="false">IFERROR(INDEX(Features_Motor!$F:$F,MATCH($A48,Features_Motor!$A:$A,0)),"n/a")</f>
        <v>n/a</v>
      </c>
      <c r="F48" s="15" t="str">
        <f aca="false">IFERROR(INDEX(Features_Buildings!$F:$F,MATCH($A48,Features_Buildings!$A:$A,0)),"n/a")</f>
        <v>Exclude</v>
      </c>
      <c r="G48" s="15" t="str">
        <f aca="false">IFERROR(INDEX(Features_Contents!$F:$F,MATCH($A48,Features_Contents!$A:$A,0)),"n/a")</f>
        <v>n/a</v>
      </c>
      <c r="H48" s="6" t="s">
        <v>540</v>
      </c>
    </row>
    <row r="49" customFormat="false" ht="15" hidden="false" customHeight="true" outlineLevel="0" collapsed="false">
      <c r="A49" s="6" t="s">
        <v>578</v>
      </c>
      <c r="B49" s="6" t="s">
        <v>579</v>
      </c>
      <c r="C49" s="6" t="s">
        <v>580</v>
      </c>
      <c r="D49" s="6" t="s">
        <v>581</v>
      </c>
      <c r="E49" s="15" t="str">
        <f aca="false">IFERROR(INDEX(Features_Motor!$F:$F,MATCH($A49,Features_Motor!$A:$A,0)),"n/a")</f>
        <v>n/a</v>
      </c>
      <c r="F49" s="15" t="str">
        <f aca="false">IFERROR(INDEX(Features_Buildings!$F:$F,MATCH($A49,Features_Buildings!$A:$A,0)),"n/a")</f>
        <v>n/a</v>
      </c>
      <c r="G49" s="15" t="str">
        <f aca="false">IFERROR(INDEX(Features_Contents!$F:$F,MATCH($A49,Features_Contents!$A:$A,0)),"n/a")</f>
        <v>Include</v>
      </c>
      <c r="H49" s="6"/>
    </row>
    <row r="50" customFormat="false" ht="15" hidden="false" customHeight="true" outlineLevel="0" collapsed="false">
      <c r="A50" s="6" t="s">
        <v>583</v>
      </c>
      <c r="B50" s="6" t="s">
        <v>579</v>
      </c>
      <c r="C50" s="6" t="s">
        <v>584</v>
      </c>
      <c r="D50" s="6" t="s">
        <v>585</v>
      </c>
      <c r="E50" s="15" t="str">
        <f aca="false">IFERROR(INDEX(Features_Motor!$F:$F,MATCH($A50,Features_Motor!$A:$A,0)),"n/a")</f>
        <v>n/a</v>
      </c>
      <c r="F50" s="15" t="str">
        <f aca="false">IFERROR(INDEX(Features_Buildings!$F:$F,MATCH($A50,Features_Buildings!$A:$A,0)),"n/a")</f>
        <v>n/a</v>
      </c>
      <c r="G50" s="15" t="str">
        <f aca="false">IFERROR(INDEX(Features_Contents!$F:$F,MATCH($A50,Features_Contents!$A:$A,0)),"n/a")</f>
        <v>Include</v>
      </c>
      <c r="H50" s="6"/>
    </row>
    <row r="51" customFormat="false" ht="15" hidden="false" customHeight="true" outlineLevel="0" collapsed="false">
      <c r="A51" s="6" t="s">
        <v>586</v>
      </c>
      <c r="B51" s="6" t="s">
        <v>579</v>
      </c>
      <c r="C51" s="6" t="s">
        <v>587</v>
      </c>
      <c r="D51" s="6" t="s">
        <v>588</v>
      </c>
      <c r="E51" s="15" t="str">
        <f aca="false">IFERROR(INDEX(Features_Motor!$F:$F,MATCH($A51,Features_Motor!$A:$A,0)),"n/a")</f>
        <v>n/a</v>
      </c>
      <c r="F51" s="15" t="str">
        <f aca="false">IFERROR(INDEX(Features_Buildings!$F:$F,MATCH($A51,Features_Buildings!$A:$A,0)),"n/a")</f>
        <v>n/a</v>
      </c>
      <c r="G51" s="15" t="str">
        <f aca="false">IFERROR(INDEX(Features_Contents!$F:$F,MATCH($A51,Features_Contents!$A:$A,0)),"n/a")</f>
        <v>Include</v>
      </c>
      <c r="H51" s="6"/>
    </row>
    <row r="52" customFormat="false" ht="15" hidden="false" customHeight="true" outlineLevel="0" collapsed="false">
      <c r="A52" s="6" t="s">
        <v>590</v>
      </c>
      <c r="B52" s="6" t="s">
        <v>579</v>
      </c>
      <c r="C52" s="6" t="s">
        <v>591</v>
      </c>
      <c r="D52" s="6" t="s">
        <v>592</v>
      </c>
      <c r="E52" s="15" t="str">
        <f aca="false">IFERROR(INDEX(Features_Motor!$F:$F,MATCH($A52,Features_Motor!$A:$A,0)),"n/a")</f>
        <v>n/a</v>
      </c>
      <c r="F52" s="15" t="str">
        <f aca="false">IFERROR(INDEX(Features_Buildings!$F:$F,MATCH($A52,Features_Buildings!$A:$A,0)),"n/a")</f>
        <v>n/a</v>
      </c>
      <c r="G52" s="15" t="str">
        <f aca="false">IFERROR(INDEX(Features_Contents!$F:$F,MATCH($A52,Features_Contents!$A:$A,0)),"n/a")</f>
        <v>Test</v>
      </c>
      <c r="H52" s="6"/>
    </row>
    <row r="53" customFormat="false" ht="15" hidden="false" customHeight="true" outlineLevel="0" collapsed="false">
      <c r="A53" s="6" t="s">
        <v>594</v>
      </c>
      <c r="B53" s="6" t="s">
        <v>579</v>
      </c>
      <c r="C53" s="6" t="s">
        <v>595</v>
      </c>
      <c r="D53" s="6" t="s">
        <v>596</v>
      </c>
      <c r="E53" s="15" t="str">
        <f aca="false">IFERROR(INDEX(Features_Motor!$F:$F,MATCH($A53,Features_Motor!$A:$A,0)),"n/a")</f>
        <v>n/a</v>
      </c>
      <c r="F53" s="15" t="str">
        <f aca="false">IFERROR(INDEX(Features_Buildings!$F:$F,MATCH($A53,Features_Buildings!$A:$A,0)),"n/a")</f>
        <v>n/a</v>
      </c>
      <c r="G53" s="15" t="str">
        <f aca="false">IFERROR(INDEX(Features_Contents!$F:$F,MATCH($A53,Features_Contents!$A:$A,0)),"n/a")</f>
        <v>Test</v>
      </c>
      <c r="H53" s="6"/>
    </row>
    <row r="54" customFormat="false" ht="15" hidden="false" customHeight="true" outlineLevel="0" collapsed="false">
      <c r="A54" s="6" t="s">
        <v>598</v>
      </c>
      <c r="B54" s="6" t="s">
        <v>579</v>
      </c>
      <c r="C54" s="6" t="s">
        <v>599</v>
      </c>
      <c r="D54" s="6" t="s">
        <v>600</v>
      </c>
      <c r="E54" s="15" t="str">
        <f aca="false">IFERROR(INDEX(Features_Motor!$F:$F,MATCH($A54,Features_Motor!$A:$A,0)),"n/a")</f>
        <v>n/a</v>
      </c>
      <c r="F54" s="15" t="str">
        <f aca="false">IFERROR(INDEX(Features_Buildings!$F:$F,MATCH($A54,Features_Buildings!$A:$A,0)),"n/a")</f>
        <v>n/a</v>
      </c>
      <c r="G54" s="15" t="str">
        <f aca="false">IFERROR(INDEX(Features_Contents!$F:$F,MATCH($A54,Features_Contents!$A:$A,0)),"n/a")</f>
        <v>Include</v>
      </c>
      <c r="H54" s="6"/>
    </row>
    <row r="55" customFormat="false" ht="15" hidden="false" customHeight="true" outlineLevel="0" collapsed="false">
      <c r="A55" s="6" t="s">
        <v>299</v>
      </c>
      <c r="B55" s="6" t="s">
        <v>300</v>
      </c>
      <c r="C55" s="6" t="s">
        <v>301</v>
      </c>
      <c r="D55" s="6" t="s">
        <v>302</v>
      </c>
      <c r="E55" s="15" t="str">
        <f aca="false">IFERROR(INDEX(Features_Motor!$F:$F,MATCH($A55,Features_Motor!$A:$A,0)),"n/a")</f>
        <v>Include</v>
      </c>
      <c r="F55" s="15" t="str">
        <f aca="false">IFERROR(INDEX(Features_Buildings!$F:$F,MATCH($A55,Features_Buildings!$A:$A,0)),"n/a")</f>
        <v>Include</v>
      </c>
      <c r="G55" s="15" t="str">
        <f aca="false">IFERROR(INDEX(Features_Contents!$F:$F,MATCH($A55,Features_Contents!$A:$A,0)),"n/a")</f>
        <v>Include</v>
      </c>
      <c r="H55" s="6" t="s">
        <v>304</v>
      </c>
    </row>
    <row r="56" customFormat="false" ht="15" hidden="false" customHeight="true" outlineLevel="0" collapsed="false">
      <c r="A56" s="6" t="s">
        <v>305</v>
      </c>
      <c r="B56" s="6" t="s">
        <v>300</v>
      </c>
      <c r="C56" s="6" t="s">
        <v>306</v>
      </c>
      <c r="D56" s="6" t="s">
        <v>307</v>
      </c>
      <c r="E56" s="15" t="str">
        <f aca="false">IFERROR(INDEX(Features_Motor!$F:$F,MATCH($A56,Features_Motor!$A:$A,0)),"n/a")</f>
        <v>Include</v>
      </c>
      <c r="F56" s="15" t="str">
        <f aca="false">IFERROR(INDEX(Features_Buildings!$F:$F,MATCH($A56,Features_Buildings!$A:$A,0)),"n/a")</f>
        <v>Include</v>
      </c>
      <c r="G56" s="15" t="str">
        <f aca="false">IFERROR(INDEX(Features_Contents!$F:$F,MATCH($A56,Features_Contents!$A:$A,0)),"n/a")</f>
        <v>Include</v>
      </c>
      <c r="H56" s="6"/>
    </row>
    <row r="57" customFormat="false" ht="15" hidden="false" customHeight="true" outlineLevel="0" collapsed="false">
      <c r="A57" s="6" t="s">
        <v>309</v>
      </c>
      <c r="B57" s="6" t="s">
        <v>300</v>
      </c>
      <c r="C57" s="6" t="s">
        <v>310</v>
      </c>
      <c r="D57" s="6" t="s">
        <v>311</v>
      </c>
      <c r="E57" s="15" t="str">
        <f aca="false">IFERROR(INDEX(Features_Motor!$F:$F,MATCH($A57,Features_Motor!$A:$A,0)),"n/a")</f>
        <v>Test</v>
      </c>
      <c r="F57" s="15" t="str">
        <f aca="false">IFERROR(INDEX(Features_Buildings!$F:$F,MATCH($A57,Features_Buildings!$A:$A,0)),"n/a")</f>
        <v>Test</v>
      </c>
      <c r="G57" s="15" t="str">
        <f aca="false">IFERROR(INDEX(Features_Contents!$F:$F,MATCH($A57,Features_Contents!$A:$A,0)),"n/a")</f>
        <v>Test</v>
      </c>
      <c r="H57" s="6"/>
    </row>
    <row r="58" customFormat="false" ht="15" hidden="false" customHeight="true" outlineLevel="0" collapsed="false">
      <c r="A58" s="6" t="s">
        <v>313</v>
      </c>
      <c r="B58" s="6" t="s">
        <v>300</v>
      </c>
      <c r="C58" s="6" t="s">
        <v>314</v>
      </c>
      <c r="D58" s="6" t="s">
        <v>315</v>
      </c>
      <c r="E58" s="15" t="str">
        <f aca="false">IFERROR(INDEX(Features_Motor!$F:$F,MATCH($A58,Features_Motor!$A:$A,0)),"n/a")</f>
        <v>Test</v>
      </c>
      <c r="F58" s="15" t="str">
        <f aca="false">IFERROR(INDEX(Features_Buildings!$F:$F,MATCH($A58,Features_Buildings!$A:$A,0)),"n/a")</f>
        <v>Test</v>
      </c>
      <c r="G58" s="15" t="str">
        <f aca="false">IFERROR(INDEX(Features_Contents!$F:$F,MATCH($A58,Features_Contents!$A:$A,0)),"n/a")</f>
        <v>Test</v>
      </c>
      <c r="H58" s="6" t="s">
        <v>316</v>
      </c>
    </row>
    <row r="59" customFormat="false" ht="15" hidden="false" customHeight="true" outlineLevel="0" collapsed="false">
      <c r="A59" s="6" t="s">
        <v>317</v>
      </c>
      <c r="B59" s="6" t="s">
        <v>300</v>
      </c>
      <c r="C59" s="6" t="s">
        <v>318</v>
      </c>
      <c r="D59" s="6" t="s">
        <v>315</v>
      </c>
      <c r="E59" s="15" t="str">
        <f aca="false">IFERROR(INDEX(Features_Motor!$F:$F,MATCH($A59,Features_Motor!$A:$A,0)),"n/a")</f>
        <v>Test</v>
      </c>
      <c r="F59" s="15" t="str">
        <f aca="false">IFERROR(INDEX(Features_Buildings!$F:$F,MATCH($A59,Features_Buildings!$A:$A,0)),"n/a")</f>
        <v>Test</v>
      </c>
      <c r="G59" s="15" t="str">
        <f aca="false">IFERROR(INDEX(Features_Contents!$F:$F,MATCH($A59,Features_Contents!$A:$A,0)),"n/a")</f>
        <v>Test</v>
      </c>
      <c r="H59" s="6" t="s">
        <v>316</v>
      </c>
    </row>
    <row r="60" customFormat="false" ht="15" hidden="false" customHeight="true" outlineLevel="0" collapsed="false">
      <c r="A60" s="6" t="s">
        <v>319</v>
      </c>
      <c r="B60" s="6" t="s">
        <v>300</v>
      </c>
      <c r="C60" s="6" t="s">
        <v>320</v>
      </c>
      <c r="D60" s="6" t="s">
        <v>321</v>
      </c>
      <c r="E60" s="15" t="str">
        <f aca="false">IFERROR(INDEX(Features_Motor!$F:$F,MATCH($A60,Features_Motor!$A:$A,0)),"n/a")</f>
        <v>Test</v>
      </c>
      <c r="F60" s="15" t="str">
        <f aca="false">IFERROR(INDEX(Features_Buildings!$F:$F,MATCH($A60,Features_Buildings!$A:$A,0)),"n/a")</f>
        <v>Test</v>
      </c>
      <c r="G60" s="15" t="str">
        <f aca="false">IFERROR(INDEX(Features_Contents!$F:$F,MATCH($A60,Features_Contents!$A:$A,0)),"n/a")</f>
        <v>Test</v>
      </c>
      <c r="H60" s="6"/>
    </row>
    <row r="61" customFormat="false" ht="15" hidden="false" customHeight="true" outlineLevel="0" collapsed="false">
      <c r="A61" s="6" t="s">
        <v>323</v>
      </c>
      <c r="B61" s="6" t="s">
        <v>300</v>
      </c>
      <c r="C61" s="6" t="s">
        <v>324</v>
      </c>
      <c r="D61" s="6" t="s">
        <v>325</v>
      </c>
      <c r="E61" s="15" t="str">
        <f aca="false">IFERROR(INDEX(Features_Motor!$F:$F,MATCH($A61,Features_Motor!$A:$A,0)),"n/a")</f>
        <v>Test</v>
      </c>
      <c r="F61" s="15" t="str">
        <f aca="false">IFERROR(INDEX(Features_Buildings!$F:$F,MATCH($A61,Features_Buildings!$A:$A,0)),"n/a")</f>
        <v>Test</v>
      </c>
      <c r="G61" s="15" t="str">
        <f aca="false">IFERROR(INDEX(Features_Contents!$F:$F,MATCH($A61,Features_Contents!$A:$A,0)),"n/a")</f>
        <v>Test</v>
      </c>
      <c r="H61" s="6" t="s">
        <v>327</v>
      </c>
    </row>
    <row r="62" customFormat="false" ht="15" hidden="false" customHeight="true" outlineLevel="0" collapsed="false">
      <c r="A62" s="6" t="s">
        <v>328</v>
      </c>
      <c r="B62" s="6" t="s">
        <v>300</v>
      </c>
      <c r="C62" s="6" t="s">
        <v>329</v>
      </c>
      <c r="D62" s="6" t="s">
        <v>330</v>
      </c>
      <c r="E62" s="15" t="str">
        <f aca="false">IFERROR(INDEX(Features_Motor!$F:$F,MATCH($A62,Features_Motor!$A:$A,0)),"n/a")</f>
        <v>Test</v>
      </c>
      <c r="F62" s="15" t="str">
        <f aca="false">IFERROR(INDEX(Features_Buildings!$F:$F,MATCH($A62,Features_Buildings!$A:$A,0)),"n/a")</f>
        <v>Test</v>
      </c>
      <c r="G62" s="15" t="str">
        <f aca="false">IFERROR(INDEX(Features_Contents!$F:$F,MATCH($A62,Features_Contents!$A:$A,0)),"n/a")</f>
        <v>Test</v>
      </c>
      <c r="H62" s="6"/>
    </row>
    <row r="63" customFormat="false" ht="15" hidden="false" customHeight="true" outlineLevel="0" collapsed="false">
      <c r="A63" s="6" t="s">
        <v>332</v>
      </c>
      <c r="B63" s="6" t="s">
        <v>300</v>
      </c>
      <c r="C63" s="6" t="s">
        <v>333</v>
      </c>
      <c r="D63" s="6" t="s">
        <v>334</v>
      </c>
      <c r="E63" s="15" t="str">
        <f aca="false">IFERROR(INDEX(Features_Motor!$F:$F,MATCH($A63,Features_Motor!$A:$A,0)),"n/a")</f>
        <v>Exclude</v>
      </c>
      <c r="F63" s="15" t="str">
        <f aca="false">IFERROR(INDEX(Features_Buildings!$F:$F,MATCH($A63,Features_Buildings!$A:$A,0)),"n/a")</f>
        <v>Exclude</v>
      </c>
      <c r="G63" s="15" t="str">
        <f aca="false">IFERROR(INDEX(Features_Contents!$F:$F,MATCH($A63,Features_Contents!$A:$A,0)),"n/a")</f>
        <v>Exclude</v>
      </c>
      <c r="H63" s="6" t="s">
        <v>336</v>
      </c>
    </row>
    <row r="64" customFormat="false" ht="23.25" hidden="false" customHeight="true" outlineLevel="0" collapsed="false">
      <c r="A64" s="6" t="s">
        <v>177</v>
      </c>
      <c r="B64" s="6" t="s">
        <v>300</v>
      </c>
      <c r="C64" s="6" t="s">
        <v>337</v>
      </c>
      <c r="D64" s="6" t="s">
        <v>338</v>
      </c>
      <c r="E64" s="15" t="str">
        <f aca="false">IFERROR(INDEX(Features_Motor!$F:$F,MATCH($A64,Features_Motor!$A:$A,0)),"n/a")</f>
        <v>Exclude</v>
      </c>
      <c r="F64" s="15" t="str">
        <f aca="false">IFERROR(INDEX(Features_Buildings!$F:$F,MATCH($A64,Features_Buildings!$A:$A,0)),"n/a")</f>
        <v>Exclude</v>
      </c>
      <c r="G64" s="15" t="str">
        <f aca="false">IFERROR(INDEX(Features_Contents!$F:$F,MATCH($A64,Features_Contents!$A:$A,0)),"n/a")</f>
        <v>Exclude</v>
      </c>
      <c r="H64" s="6" t="s">
        <v>340</v>
      </c>
    </row>
    <row r="65" customFormat="false" ht="15" hidden="false" customHeight="true" outlineLevel="0" collapsed="false">
      <c r="A65" s="6" t="s">
        <v>797</v>
      </c>
      <c r="B65" s="6" t="s">
        <v>300</v>
      </c>
      <c r="C65" s="6" t="s">
        <v>798</v>
      </c>
      <c r="D65" s="6" t="s">
        <v>833</v>
      </c>
      <c r="E65" s="15" t="str">
        <f aca="false">IFERROR(INDEX(Features_Motor!$F:$F,MATCH($A65,Features_Motor!$A:$A,0)),"n/a")</f>
        <v>n/a</v>
      </c>
      <c r="F65" s="15" t="str">
        <f aca="false">IFERROR(INDEX(Features_Buildings!$F:$F,MATCH($A65,Features_Buildings!$A:$A,0)),"n/a")</f>
        <v>n/a</v>
      </c>
      <c r="G65" s="15" t="str">
        <f aca="false">IFERROR(INDEX(Features_Contents!$F:$F,MATCH($A65,Features_Contents!$A:$A,0)),"n/a")</f>
        <v>n/a</v>
      </c>
      <c r="H65" s="6" t="s">
        <v>834</v>
      </c>
    </row>
    <row r="66" customFormat="false" ht="15" hidden="false" customHeight="true" outlineLevel="0" collapsed="false">
      <c r="A66" s="6" t="s">
        <v>341</v>
      </c>
      <c r="B66" s="6" t="s">
        <v>342</v>
      </c>
      <c r="C66" s="6" t="s">
        <v>343</v>
      </c>
      <c r="D66" s="6" t="s">
        <v>344</v>
      </c>
      <c r="E66" s="15" t="str">
        <f aca="false">IFERROR(INDEX(Features_Motor!$F:$F,MATCH($A66,Features_Motor!$A:$A,0)),"n/a")</f>
        <v>Test</v>
      </c>
      <c r="F66" s="15" t="str">
        <f aca="false">IFERROR(INDEX(Features_Buildings!$F:$F,MATCH($A66,Features_Buildings!$A:$A,0)),"n/a")</f>
        <v>Exclude</v>
      </c>
      <c r="G66" s="15" t="str">
        <f aca="false">IFERROR(INDEX(Features_Contents!$F:$F,MATCH($A66,Features_Contents!$A:$A,0)),"n/a")</f>
        <v>Exclude</v>
      </c>
      <c r="H66" s="6" t="s">
        <v>346</v>
      </c>
    </row>
    <row r="67" customFormat="false" ht="15" hidden="false" customHeight="true" outlineLevel="0" collapsed="false">
      <c r="A67" s="6" t="s">
        <v>347</v>
      </c>
      <c r="B67" s="6" t="s">
        <v>342</v>
      </c>
      <c r="C67" s="6" t="s">
        <v>348</v>
      </c>
      <c r="D67" s="6" t="s">
        <v>349</v>
      </c>
      <c r="E67" s="15" t="str">
        <f aca="false">IFERROR(INDEX(Features_Motor!$F:$F,MATCH($A67,Features_Motor!$A:$A,0)),"n/a")</f>
        <v>Test</v>
      </c>
      <c r="F67" s="15" t="str">
        <f aca="false">IFERROR(INDEX(Features_Buildings!$F:$F,MATCH($A67,Features_Buildings!$A:$A,0)),"n/a")</f>
        <v>Exclude</v>
      </c>
      <c r="G67" s="15" t="str">
        <f aca="false">IFERROR(INDEX(Features_Contents!$F:$F,MATCH($A67,Features_Contents!$A:$A,0)),"n/a")</f>
        <v>Exclude</v>
      </c>
      <c r="H67" s="6" t="s">
        <v>351</v>
      </c>
    </row>
    <row r="68" customFormat="false" ht="15" hidden="false" customHeight="true" outlineLevel="0" collapsed="false">
      <c r="A68" s="6" t="s">
        <v>352</v>
      </c>
      <c r="B68" s="6" t="s">
        <v>342</v>
      </c>
      <c r="C68" s="6" t="s">
        <v>353</v>
      </c>
      <c r="D68" s="6" t="s">
        <v>354</v>
      </c>
      <c r="E68" s="15" t="str">
        <f aca="false">IFERROR(INDEX(Features_Motor!$F:$F,MATCH($A68,Features_Motor!$A:$A,0)),"n/a")</f>
        <v>Exclude</v>
      </c>
      <c r="F68" s="15" t="str">
        <f aca="false">IFERROR(INDEX(Features_Buildings!$F:$F,MATCH($A68,Features_Buildings!$A:$A,0)),"n/a")</f>
        <v>Test</v>
      </c>
      <c r="G68" s="15" t="str">
        <f aca="false">IFERROR(INDEX(Features_Contents!$F:$F,MATCH($A68,Features_Contents!$A:$A,0)),"n/a")</f>
        <v>Test</v>
      </c>
      <c r="H68" s="6"/>
    </row>
    <row r="69" customFormat="false" ht="23.25" hidden="false" customHeight="true" outlineLevel="0" collapsed="false">
      <c r="A69" s="6" t="s">
        <v>356</v>
      </c>
      <c r="B69" s="6" t="s">
        <v>342</v>
      </c>
      <c r="C69" s="6" t="s">
        <v>357</v>
      </c>
      <c r="D69" s="6" t="s">
        <v>358</v>
      </c>
      <c r="E69" s="15" t="str">
        <f aca="false">IFERROR(INDEX(Features_Motor!$F:$F,MATCH($A69,Features_Motor!$A:$A,0)),"n/a")</f>
        <v>Test</v>
      </c>
      <c r="F69" s="15" t="str">
        <f aca="false">IFERROR(INDEX(Features_Buildings!$F:$F,MATCH($A69,Features_Buildings!$A:$A,0)),"n/a")</f>
        <v>Test</v>
      </c>
      <c r="G69" s="15" t="str">
        <f aca="false">IFERROR(INDEX(Features_Contents!$F:$F,MATCH($A69,Features_Contents!$A:$A,0)),"n/a")</f>
        <v>Test</v>
      </c>
      <c r="H69" s="6" t="s">
        <v>360</v>
      </c>
    </row>
    <row r="70" customFormat="false" ht="15" hidden="false" customHeight="true" outlineLevel="0" collapsed="false">
      <c r="A70" s="6" t="s">
        <v>361</v>
      </c>
      <c r="B70" s="6" t="s">
        <v>342</v>
      </c>
      <c r="C70" s="6" t="s">
        <v>362</v>
      </c>
      <c r="D70" s="6" t="s">
        <v>160</v>
      </c>
      <c r="E70" s="15" t="str">
        <f aca="false">IFERROR(INDEX(Features_Motor!$F:$F,MATCH($A70,Features_Motor!$A:$A,0)),"n/a")</f>
        <v>Include</v>
      </c>
      <c r="F70" s="15" t="str">
        <f aca="false">IFERROR(INDEX(Features_Buildings!$F:$F,MATCH($A70,Features_Buildings!$A:$A,0)),"n/a")</f>
        <v>Include</v>
      </c>
      <c r="G70" s="15" t="str">
        <f aca="false">IFERROR(INDEX(Features_Contents!$F:$F,MATCH($A70,Features_Contents!$A:$A,0)),"n/a")</f>
        <v>Include</v>
      </c>
      <c r="H70" s="6"/>
    </row>
    <row r="71" customFormat="false" ht="15" hidden="false" customHeight="true" outlineLevel="0" collapsed="false">
      <c r="A71" s="6" t="s">
        <v>364</v>
      </c>
      <c r="B71" s="6" t="s">
        <v>342</v>
      </c>
      <c r="C71" s="6" t="s">
        <v>365</v>
      </c>
      <c r="D71" s="6" t="s">
        <v>366</v>
      </c>
      <c r="E71" s="15" t="str">
        <f aca="false">IFERROR(INDEX(Features_Motor!$F:$F,MATCH($A71,Features_Motor!$A:$A,0)),"n/a")</f>
        <v>Include</v>
      </c>
      <c r="F71" s="15" t="str">
        <f aca="false">IFERROR(INDEX(Features_Buildings!$F:$F,MATCH($A71,Features_Buildings!$A:$A,0)),"n/a")</f>
        <v>Exclude</v>
      </c>
      <c r="G71" s="15" t="str">
        <f aca="false">IFERROR(INDEX(Features_Contents!$F:$F,MATCH($A71,Features_Contents!$A:$A,0)),"n/a")</f>
        <v>Exclude</v>
      </c>
      <c r="H71" s="6"/>
    </row>
    <row r="72" customFormat="false" ht="15" hidden="false" customHeight="true" outlineLevel="0" collapsed="false">
      <c r="A72" s="6" t="s">
        <v>367</v>
      </c>
      <c r="B72" s="6" t="s">
        <v>342</v>
      </c>
      <c r="C72" s="6" t="s">
        <v>368</v>
      </c>
      <c r="D72" s="6" t="s">
        <v>369</v>
      </c>
      <c r="E72" s="15" t="str">
        <f aca="false">IFERROR(INDEX(Features_Motor!$F:$F,MATCH($A72,Features_Motor!$A:$A,0)),"n/a")</f>
        <v>Test</v>
      </c>
      <c r="F72" s="15" t="str">
        <f aca="false">IFERROR(INDEX(Features_Buildings!$F:$F,MATCH($A72,Features_Buildings!$A:$A,0)),"n/a")</f>
        <v>Test</v>
      </c>
      <c r="G72" s="15" t="str">
        <f aca="false">IFERROR(INDEX(Features_Contents!$F:$F,MATCH($A72,Features_Contents!$A:$A,0)),"n/a")</f>
        <v>Test</v>
      </c>
      <c r="H72" s="6"/>
    </row>
    <row r="73" customFormat="false" ht="23.25" hidden="false" customHeight="true" outlineLevel="0" collapsed="false">
      <c r="A73" s="6" t="s">
        <v>370</v>
      </c>
      <c r="B73" s="6" t="s">
        <v>342</v>
      </c>
      <c r="C73" s="6" t="s">
        <v>371</v>
      </c>
      <c r="D73" s="6" t="s">
        <v>372</v>
      </c>
      <c r="E73" s="15" t="str">
        <f aca="false">IFERROR(INDEX(Features_Motor!$F:$F,MATCH($A73,Features_Motor!$A:$A,0)),"n/a")</f>
        <v>Exclude</v>
      </c>
      <c r="F73" s="15" t="str">
        <f aca="false">IFERROR(INDEX(Features_Buildings!$F:$F,MATCH($A73,Features_Buildings!$A:$A,0)),"n/a")</f>
        <v>Exclude</v>
      </c>
      <c r="G73" s="15" t="str">
        <f aca="false">IFERROR(INDEX(Features_Contents!$F:$F,MATCH($A73,Features_Contents!$A:$A,0)),"n/a")</f>
        <v>Exclude</v>
      </c>
      <c r="H73" s="6" t="s">
        <v>374</v>
      </c>
    </row>
    <row r="74" customFormat="false" ht="15" hidden="false" customHeight="true" outlineLevel="0" collapsed="false">
      <c r="A74" s="6" t="s">
        <v>375</v>
      </c>
      <c r="B74" s="6" t="s">
        <v>342</v>
      </c>
      <c r="C74" s="6" t="s">
        <v>376</v>
      </c>
      <c r="D74" s="6" t="s">
        <v>256</v>
      </c>
      <c r="E74" s="15" t="str">
        <f aca="false">IFERROR(INDEX(Features_Motor!$F:$F,MATCH($A74,Features_Motor!$A:$A,0)),"n/a")</f>
        <v>Exclude</v>
      </c>
      <c r="F74" s="15" t="str">
        <f aca="false">IFERROR(INDEX(Features_Buildings!$F:$F,MATCH($A74,Features_Buildings!$A:$A,0)),"n/a")</f>
        <v>Exclude</v>
      </c>
      <c r="G74" s="15" t="str">
        <f aca="false">IFERROR(INDEX(Features_Contents!$F:$F,MATCH($A74,Features_Contents!$A:$A,0)),"n/a")</f>
        <v>Exclude</v>
      </c>
      <c r="H74" s="6" t="s">
        <v>378</v>
      </c>
    </row>
    <row r="75" customFormat="false" ht="15" hidden="false" customHeight="true" outlineLevel="0" collapsed="false">
      <c r="A75" s="6" t="s">
        <v>379</v>
      </c>
      <c r="B75" s="6" t="s">
        <v>342</v>
      </c>
      <c r="C75" s="6" t="s">
        <v>380</v>
      </c>
      <c r="D75" s="6" t="s">
        <v>381</v>
      </c>
      <c r="E75" s="15" t="str">
        <f aca="false">IFERROR(INDEX(Features_Motor!$F:$F,MATCH($A75,Features_Motor!$A:$A,0)),"n/a")</f>
        <v>Exclude</v>
      </c>
      <c r="F75" s="15" t="str">
        <f aca="false">IFERROR(INDEX(Features_Buildings!$F:$F,MATCH($A75,Features_Buildings!$A:$A,0)),"n/a")</f>
        <v>Exclude</v>
      </c>
      <c r="G75" s="15" t="str">
        <f aca="false">IFERROR(INDEX(Features_Contents!$F:$F,MATCH($A75,Features_Contents!$A:$A,0)),"n/a")</f>
        <v>Exclude</v>
      </c>
      <c r="H75" s="6" t="s">
        <v>382</v>
      </c>
    </row>
    <row r="76" customFormat="false" ht="15" hidden="false" customHeight="true" outlineLevel="0" collapsed="false">
      <c r="A76" s="6" t="s">
        <v>383</v>
      </c>
      <c r="B76" s="6" t="s">
        <v>342</v>
      </c>
      <c r="C76" s="6" t="s">
        <v>384</v>
      </c>
      <c r="D76" s="6" t="s">
        <v>385</v>
      </c>
      <c r="E76" s="15" t="str">
        <f aca="false">IFERROR(INDEX(Features_Motor!$F:$F,MATCH($A76,Features_Motor!$A:$A,0)),"n/a")</f>
        <v>Exclude</v>
      </c>
      <c r="F76" s="15" t="str">
        <f aca="false">IFERROR(INDEX(Features_Buildings!$F:$F,MATCH($A76,Features_Buildings!$A:$A,0)),"n/a")</f>
        <v>Exclude</v>
      </c>
      <c r="G76" s="15" t="str">
        <f aca="false">IFERROR(INDEX(Features_Contents!$F:$F,MATCH($A76,Features_Contents!$A:$A,0)),"n/a")</f>
        <v>Exclude</v>
      </c>
      <c r="H76" s="6" t="s">
        <v>386</v>
      </c>
    </row>
    <row r="77" customFormat="false" ht="23.25" hidden="false" customHeight="true" outlineLevel="0" collapsed="false">
      <c r="A77" s="6" t="s">
        <v>387</v>
      </c>
      <c r="B77" s="6" t="s">
        <v>342</v>
      </c>
      <c r="C77" s="6" t="s">
        <v>388</v>
      </c>
      <c r="D77" s="6" t="s">
        <v>389</v>
      </c>
      <c r="E77" s="15" t="str">
        <f aca="false">IFERROR(INDEX(Features_Motor!$F:$F,MATCH($A77,Features_Motor!$A:$A,0)),"n/a")</f>
        <v>Exclude</v>
      </c>
      <c r="F77" s="15" t="str">
        <f aca="false">IFERROR(INDEX(Features_Buildings!$F:$F,MATCH($A77,Features_Buildings!$A:$A,0)),"n/a")</f>
        <v>Exclude</v>
      </c>
      <c r="G77" s="15" t="str">
        <f aca="false">IFERROR(INDEX(Features_Contents!$F:$F,MATCH($A77,Features_Contents!$A:$A,0)),"n/a")</f>
        <v>Exclude</v>
      </c>
      <c r="H77" s="6" t="s">
        <v>391</v>
      </c>
    </row>
    <row r="78" customFormat="false" ht="15" hidden="false" customHeight="true" outlineLevel="0" collapsed="false">
      <c r="A78" s="6" t="s">
        <v>392</v>
      </c>
      <c r="B78" s="6" t="s">
        <v>342</v>
      </c>
      <c r="C78" s="6" t="s">
        <v>393</v>
      </c>
      <c r="D78" s="6" t="s">
        <v>394</v>
      </c>
      <c r="E78" s="15" t="str">
        <f aca="false">IFERROR(INDEX(Features_Motor!$F:$F,MATCH($A78,Features_Motor!$A:$A,0)),"n/a")</f>
        <v>Exclude</v>
      </c>
      <c r="F78" s="15" t="str">
        <f aca="false">IFERROR(INDEX(Features_Buildings!$F:$F,MATCH($A78,Features_Buildings!$A:$A,0)),"n/a")</f>
        <v>Exclude</v>
      </c>
      <c r="G78" s="15" t="str">
        <f aca="false">IFERROR(INDEX(Features_Contents!$F:$F,MATCH($A78,Features_Contents!$A:$A,0)),"n/a")</f>
        <v>Exclude</v>
      </c>
      <c r="H78" s="6" t="s">
        <v>395</v>
      </c>
    </row>
    <row r="79" customFormat="false" ht="15" hidden="false" customHeight="true" outlineLevel="0" collapsed="false">
      <c r="A79" s="6" t="s">
        <v>396</v>
      </c>
      <c r="B79" s="6" t="s">
        <v>342</v>
      </c>
      <c r="C79" s="6" t="s">
        <v>397</v>
      </c>
      <c r="D79" s="6" t="s">
        <v>398</v>
      </c>
      <c r="E79" s="15" t="str">
        <f aca="false">IFERROR(INDEX(Features_Motor!$F:$F,MATCH($A79,Features_Motor!$A:$A,0)),"n/a")</f>
        <v>Exclude</v>
      </c>
      <c r="F79" s="15" t="str">
        <f aca="false">IFERROR(INDEX(Features_Buildings!$F:$F,MATCH($A79,Features_Buildings!$A:$A,0)),"n/a")</f>
        <v>Exclude</v>
      </c>
      <c r="G79" s="15" t="str">
        <f aca="false">IFERROR(INDEX(Features_Contents!$F:$F,MATCH($A79,Features_Contents!$A:$A,0)),"n/a")</f>
        <v>Exclude</v>
      </c>
      <c r="H79" s="6" t="s">
        <v>399</v>
      </c>
    </row>
    <row r="80" customFormat="false" ht="23.25" hidden="false" customHeight="true" outlineLevel="0" collapsed="false">
      <c r="A80" s="6" t="s">
        <v>400</v>
      </c>
      <c r="B80" s="6" t="s">
        <v>342</v>
      </c>
      <c r="C80" s="6" t="s">
        <v>401</v>
      </c>
      <c r="D80" s="6" t="s">
        <v>402</v>
      </c>
      <c r="E80" s="15" t="str">
        <f aca="false">IFERROR(INDEX(Features_Motor!$F:$F,MATCH($A80,Features_Motor!$A:$A,0)),"n/a")</f>
        <v>Exclude</v>
      </c>
      <c r="F80" s="15" t="str">
        <f aca="false">IFERROR(INDEX(Features_Buildings!$F:$F,MATCH($A80,Features_Buildings!$A:$A,0)),"n/a")</f>
        <v>Exclude</v>
      </c>
      <c r="G80" s="15" t="str">
        <f aca="false">IFERROR(INDEX(Features_Contents!$F:$F,MATCH($A80,Features_Contents!$A:$A,0)),"n/a")</f>
        <v>Exclude</v>
      </c>
      <c r="H80" s="6" t="s">
        <v>403</v>
      </c>
    </row>
    <row r="81" customFormat="false" ht="15" hidden="false" customHeight="true" outlineLevel="0" collapsed="false">
      <c r="A81" s="6" t="s">
        <v>404</v>
      </c>
      <c r="B81" s="6" t="s">
        <v>405</v>
      </c>
      <c r="C81" s="6" t="s">
        <v>406</v>
      </c>
      <c r="D81" s="6" t="s">
        <v>407</v>
      </c>
      <c r="E81" s="15" t="str">
        <f aca="false">IFERROR(INDEX(Features_Motor!$F:$F,MATCH($A81,Features_Motor!$A:$A,0)),"n/a")</f>
        <v>Include</v>
      </c>
      <c r="F81" s="15" t="str">
        <f aca="false">IFERROR(INDEX(Features_Buildings!$F:$F,MATCH($A81,Features_Buildings!$A:$A,0)),"n/a")</f>
        <v>Include</v>
      </c>
      <c r="G81" s="15" t="str">
        <f aca="false">IFERROR(INDEX(Features_Contents!$F:$F,MATCH($A81,Features_Contents!$A:$A,0)),"n/a")</f>
        <v>Include</v>
      </c>
      <c r="H81" s="6"/>
    </row>
    <row r="82" customFormat="false" ht="15" hidden="false" customHeight="true" outlineLevel="0" collapsed="false">
      <c r="A82" s="6" t="s">
        <v>409</v>
      </c>
      <c r="B82" s="6" t="s">
        <v>405</v>
      </c>
      <c r="C82" s="6" t="s">
        <v>410</v>
      </c>
      <c r="D82" s="6" t="s">
        <v>411</v>
      </c>
      <c r="E82" s="15" t="str">
        <f aca="false">IFERROR(INDEX(Features_Motor!$F:$F,MATCH($A82,Features_Motor!$A:$A,0)),"n/a")</f>
        <v>Include</v>
      </c>
      <c r="F82" s="15" t="str">
        <f aca="false">IFERROR(INDEX(Features_Buildings!$F:$F,MATCH($A82,Features_Buildings!$A:$A,0)),"n/a")</f>
        <v>Test</v>
      </c>
      <c r="G82" s="15" t="str">
        <f aca="false">IFERROR(INDEX(Features_Contents!$F:$F,MATCH($A82,Features_Contents!$A:$A,0)),"n/a")</f>
        <v>Include</v>
      </c>
      <c r="H82" s="6"/>
    </row>
    <row r="83" customFormat="false" ht="15" hidden="false" customHeight="true" outlineLevel="0" collapsed="false">
      <c r="A83" s="6" t="s">
        <v>413</v>
      </c>
      <c r="B83" s="6" t="s">
        <v>405</v>
      </c>
      <c r="C83" s="6" t="s">
        <v>414</v>
      </c>
      <c r="D83" s="6" t="s">
        <v>415</v>
      </c>
      <c r="E83" s="15" t="str">
        <f aca="false">IFERROR(INDEX(Features_Motor!$F:$F,MATCH($A83,Features_Motor!$A:$A,0)),"n/a")</f>
        <v>Exclude</v>
      </c>
      <c r="F83" s="15" t="str">
        <f aca="false">IFERROR(INDEX(Features_Buildings!$F:$F,MATCH($A83,Features_Buildings!$A:$A,0)),"n/a")</f>
        <v>Include</v>
      </c>
      <c r="G83" s="15" t="str">
        <f aca="false">IFERROR(INDEX(Features_Contents!$F:$F,MATCH($A83,Features_Contents!$A:$A,0)),"n/a")</f>
        <v>Include</v>
      </c>
      <c r="H83" s="6"/>
    </row>
    <row r="84" customFormat="false" ht="15" hidden="false" customHeight="true" outlineLevel="0" collapsed="false">
      <c r="A84" s="6" t="s">
        <v>417</v>
      </c>
      <c r="B84" s="6" t="s">
        <v>405</v>
      </c>
      <c r="C84" s="6" t="s">
        <v>418</v>
      </c>
      <c r="D84" s="6" t="s">
        <v>415</v>
      </c>
      <c r="E84" s="15" t="str">
        <f aca="false">IFERROR(INDEX(Features_Motor!$F:$F,MATCH($A84,Features_Motor!$A:$A,0)),"n/a")</f>
        <v>Exclude</v>
      </c>
      <c r="F84" s="15" t="str">
        <f aca="false">IFERROR(INDEX(Features_Buildings!$F:$F,MATCH($A84,Features_Buildings!$A:$A,0)),"n/a")</f>
        <v>Include</v>
      </c>
      <c r="G84" s="15" t="str">
        <f aca="false">IFERROR(INDEX(Features_Contents!$F:$F,MATCH($A84,Features_Contents!$A:$A,0)),"n/a")</f>
        <v>Include</v>
      </c>
      <c r="H84" s="6"/>
    </row>
    <row r="85" customFormat="false" ht="15" hidden="false" customHeight="true" outlineLevel="0" collapsed="false">
      <c r="A85" s="6" t="s">
        <v>420</v>
      </c>
      <c r="B85" s="6" t="s">
        <v>405</v>
      </c>
      <c r="C85" s="6" t="s">
        <v>421</v>
      </c>
      <c r="D85" s="6" t="s">
        <v>415</v>
      </c>
      <c r="E85" s="15" t="str">
        <f aca="false">IFERROR(INDEX(Features_Motor!$F:$F,MATCH($A85,Features_Motor!$A:$A,0)),"n/a")</f>
        <v>Exclude</v>
      </c>
      <c r="F85" s="15" t="str">
        <f aca="false">IFERROR(INDEX(Features_Buildings!$F:$F,MATCH($A85,Features_Buildings!$A:$A,0)),"n/a")</f>
        <v>Include</v>
      </c>
      <c r="G85" s="15" t="str">
        <f aca="false">IFERROR(INDEX(Features_Contents!$F:$F,MATCH($A85,Features_Contents!$A:$A,0)),"n/a")</f>
        <v>Include</v>
      </c>
      <c r="H85" s="6"/>
    </row>
    <row r="86" customFormat="false" ht="15" hidden="false" customHeight="true" outlineLevel="0" collapsed="false">
      <c r="A86" s="6" t="s">
        <v>422</v>
      </c>
      <c r="B86" s="6" t="s">
        <v>405</v>
      </c>
      <c r="C86" s="6" t="s">
        <v>423</v>
      </c>
      <c r="D86" s="6" t="s">
        <v>424</v>
      </c>
      <c r="E86" s="15" t="str">
        <f aca="false">IFERROR(INDEX(Features_Motor!$F:$F,MATCH($A86,Features_Motor!$A:$A,0)),"n/a")</f>
        <v>Exclude</v>
      </c>
      <c r="F86" s="15" t="str">
        <f aca="false">IFERROR(INDEX(Features_Buildings!$F:$F,MATCH($A86,Features_Buildings!$A:$A,0)),"n/a")</f>
        <v>Include</v>
      </c>
      <c r="G86" s="15" t="str">
        <f aca="false">IFERROR(INDEX(Features_Contents!$F:$F,MATCH($A86,Features_Contents!$A:$A,0)),"n/a")</f>
        <v>Exclude</v>
      </c>
      <c r="H86" s="6"/>
    </row>
    <row r="87" customFormat="false" ht="15" hidden="false" customHeight="true" outlineLevel="0" collapsed="false">
      <c r="A87" s="6" t="s">
        <v>425</v>
      </c>
      <c r="B87" s="6" t="s">
        <v>405</v>
      </c>
      <c r="C87" s="6" t="s">
        <v>426</v>
      </c>
      <c r="D87" s="6" t="s">
        <v>427</v>
      </c>
      <c r="E87" s="15" t="str">
        <f aca="false">IFERROR(INDEX(Features_Motor!$F:$F,MATCH($A87,Features_Motor!$A:$A,0)),"n/a")</f>
        <v>Exclude</v>
      </c>
      <c r="F87" s="15" t="str">
        <f aca="false">IFERROR(INDEX(Features_Buildings!$F:$F,MATCH($A87,Features_Buildings!$A:$A,0)),"n/a")</f>
        <v>Include</v>
      </c>
      <c r="G87" s="15" t="str">
        <f aca="false">IFERROR(INDEX(Features_Contents!$F:$F,MATCH($A87,Features_Contents!$A:$A,0)),"n/a")</f>
        <v>Include</v>
      </c>
      <c r="H87" s="6"/>
    </row>
    <row r="88" customFormat="false" ht="15" hidden="false" customHeight="true" outlineLevel="0" collapsed="false">
      <c r="A88" s="6" t="s">
        <v>429</v>
      </c>
      <c r="B88" s="6" t="s">
        <v>405</v>
      </c>
      <c r="C88" s="6" t="s">
        <v>430</v>
      </c>
      <c r="D88" s="6" t="s">
        <v>431</v>
      </c>
      <c r="E88" s="15" t="str">
        <f aca="false">IFERROR(INDEX(Features_Motor!$F:$F,MATCH($A88,Features_Motor!$A:$A,0)),"n/a")</f>
        <v>Exclude</v>
      </c>
      <c r="F88" s="15" t="str">
        <f aca="false">IFERROR(INDEX(Features_Buildings!$F:$F,MATCH($A88,Features_Buildings!$A:$A,0)),"n/a")</f>
        <v>Include</v>
      </c>
      <c r="G88" s="15" t="str">
        <f aca="false">IFERROR(INDEX(Features_Contents!$F:$F,MATCH($A88,Features_Contents!$A:$A,0)),"n/a")</f>
        <v>Include</v>
      </c>
      <c r="H88" s="6"/>
    </row>
    <row r="89" customFormat="false" ht="15" hidden="false" customHeight="true" outlineLevel="0" collapsed="false">
      <c r="A89" s="6" t="s">
        <v>432</v>
      </c>
      <c r="B89" s="6" t="s">
        <v>405</v>
      </c>
      <c r="C89" s="6" t="s">
        <v>433</v>
      </c>
      <c r="D89" s="6" t="s">
        <v>434</v>
      </c>
      <c r="E89" s="15" t="str">
        <f aca="false">IFERROR(INDEX(Features_Motor!$F:$F,MATCH($A89,Features_Motor!$A:$A,0)),"n/a")</f>
        <v>Exclude</v>
      </c>
      <c r="F89" s="15" t="str">
        <f aca="false">IFERROR(INDEX(Features_Buildings!$F:$F,MATCH($A89,Features_Buildings!$A:$A,0)),"n/a")</f>
        <v>Include</v>
      </c>
      <c r="G89" s="15" t="str">
        <f aca="false">IFERROR(INDEX(Features_Contents!$F:$F,MATCH($A89,Features_Contents!$A:$A,0)),"n/a")</f>
        <v>Test</v>
      </c>
      <c r="H89" s="6"/>
    </row>
    <row r="90" customFormat="false" ht="15" hidden="false" customHeight="true" outlineLevel="0" collapsed="false">
      <c r="A90" s="6" t="s">
        <v>435</v>
      </c>
      <c r="B90" s="6" t="s">
        <v>405</v>
      </c>
      <c r="C90" s="6" t="s">
        <v>436</v>
      </c>
      <c r="D90" s="6" t="s">
        <v>437</v>
      </c>
      <c r="E90" s="15" t="str">
        <f aca="false">IFERROR(INDEX(Features_Motor!$F:$F,MATCH($A90,Features_Motor!$A:$A,0)),"n/a")</f>
        <v>Exclude</v>
      </c>
      <c r="F90" s="15" t="str">
        <f aca="false">IFERROR(INDEX(Features_Buildings!$F:$F,MATCH($A90,Features_Buildings!$A:$A,0)),"n/a")</f>
        <v>Include</v>
      </c>
      <c r="G90" s="15" t="str">
        <f aca="false">IFERROR(INDEX(Features_Contents!$F:$F,MATCH($A90,Features_Contents!$A:$A,0)),"n/a")</f>
        <v>Include</v>
      </c>
      <c r="H90" s="6"/>
    </row>
    <row r="91" customFormat="false" ht="23.25" hidden="false" customHeight="true" outlineLevel="0" collapsed="false">
      <c r="A91" s="6" t="s">
        <v>438</v>
      </c>
      <c r="B91" s="6" t="s">
        <v>405</v>
      </c>
      <c r="C91" s="6" t="s">
        <v>439</v>
      </c>
      <c r="D91" s="6" t="s">
        <v>440</v>
      </c>
      <c r="E91" s="15" t="str">
        <f aca="false">IFERROR(INDEX(Features_Motor!$F:$F,MATCH($A91,Features_Motor!$A:$A,0)),"n/a")</f>
        <v>Exclude</v>
      </c>
      <c r="F91" s="15" t="str">
        <f aca="false">IFERROR(INDEX(Features_Buildings!$F:$F,MATCH($A91,Features_Buildings!$A:$A,0)),"n/a")</f>
        <v>Include</v>
      </c>
      <c r="G91" s="15" t="str">
        <f aca="false">IFERROR(INDEX(Features_Contents!$F:$F,MATCH($A91,Features_Contents!$A:$A,0)),"n/a")</f>
        <v>Exclude</v>
      </c>
      <c r="H91" s="6"/>
    </row>
    <row r="92" customFormat="false" ht="15" hidden="false" customHeight="true" outlineLevel="0" collapsed="false">
      <c r="A92" s="6" t="s">
        <v>441</v>
      </c>
      <c r="B92" s="6" t="s">
        <v>405</v>
      </c>
      <c r="C92" s="6" t="s">
        <v>442</v>
      </c>
      <c r="D92" s="6" t="s">
        <v>443</v>
      </c>
      <c r="E92" s="15" t="str">
        <f aca="false">IFERROR(INDEX(Features_Motor!$F:$F,MATCH($A92,Features_Motor!$A:$A,0)),"n/a")</f>
        <v>Exclude</v>
      </c>
      <c r="F92" s="15" t="str">
        <f aca="false">IFERROR(INDEX(Features_Buildings!$F:$F,MATCH($A92,Features_Buildings!$A:$A,0)),"n/a")</f>
        <v>Include</v>
      </c>
      <c r="G92" s="15" t="str">
        <f aca="false">IFERROR(INDEX(Features_Contents!$F:$F,MATCH($A92,Features_Contents!$A:$A,0)),"n/a")</f>
        <v>Exclude</v>
      </c>
      <c r="H92" s="6"/>
    </row>
    <row r="93" customFormat="false" ht="15" hidden="false" customHeight="true" outlineLevel="0" collapsed="false">
      <c r="A93" s="6" t="s">
        <v>444</v>
      </c>
      <c r="B93" s="6" t="s">
        <v>405</v>
      </c>
      <c r="C93" s="6" t="s">
        <v>445</v>
      </c>
      <c r="D93" s="6" t="s">
        <v>446</v>
      </c>
      <c r="E93" s="15" t="str">
        <f aca="false">IFERROR(INDEX(Features_Motor!$F:$F,MATCH($A93,Features_Motor!$A:$A,0)),"n/a")</f>
        <v>Exclude</v>
      </c>
      <c r="F93" s="15" t="str">
        <f aca="false">IFERROR(INDEX(Features_Buildings!$F:$F,MATCH($A93,Features_Buildings!$A:$A,0)),"n/a")</f>
        <v>Include</v>
      </c>
      <c r="G93" s="15" t="str">
        <f aca="false">IFERROR(INDEX(Features_Contents!$F:$F,MATCH($A93,Features_Contents!$A:$A,0)),"n/a")</f>
        <v>Test</v>
      </c>
      <c r="H93" s="6"/>
    </row>
    <row r="94" customFormat="false" ht="15" hidden="false" customHeight="true" outlineLevel="0" collapsed="false">
      <c r="A94" s="6" t="s">
        <v>447</v>
      </c>
      <c r="B94" s="6" t="s">
        <v>405</v>
      </c>
      <c r="C94" s="6" t="s">
        <v>448</v>
      </c>
      <c r="D94" s="6" t="s">
        <v>449</v>
      </c>
      <c r="E94" s="15" t="str">
        <f aca="false">IFERROR(INDEX(Features_Motor!$F:$F,MATCH($A94,Features_Motor!$A:$A,0)),"n/a")</f>
        <v>Exclude</v>
      </c>
      <c r="F94" s="15" t="str">
        <f aca="false">IFERROR(INDEX(Features_Buildings!$F:$F,MATCH($A94,Features_Buildings!$A:$A,0)),"n/a")</f>
        <v>Test</v>
      </c>
      <c r="G94" s="15" t="str">
        <f aca="false">IFERROR(INDEX(Features_Contents!$F:$F,MATCH($A94,Features_Contents!$A:$A,0)),"n/a")</f>
        <v>Exclude</v>
      </c>
      <c r="H94" s="6" t="s">
        <v>450</v>
      </c>
    </row>
    <row r="95" customFormat="false" ht="15" hidden="false" customHeight="true" outlineLevel="0" collapsed="false">
      <c r="A95" s="6" t="s">
        <v>451</v>
      </c>
      <c r="B95" s="6" t="s">
        <v>405</v>
      </c>
      <c r="C95" s="6" t="s">
        <v>452</v>
      </c>
      <c r="D95" s="6" t="s">
        <v>453</v>
      </c>
      <c r="E95" s="15" t="str">
        <f aca="false">IFERROR(INDEX(Features_Motor!$F:$F,MATCH($A95,Features_Motor!$A:$A,0)),"n/a")</f>
        <v>Exclude</v>
      </c>
      <c r="F95" s="15" t="str">
        <f aca="false">IFERROR(INDEX(Features_Buildings!$F:$F,MATCH($A95,Features_Buildings!$A:$A,0)),"n/a")</f>
        <v>Test</v>
      </c>
      <c r="G95" s="15" t="str">
        <f aca="false">IFERROR(INDEX(Features_Contents!$F:$F,MATCH($A95,Features_Contents!$A:$A,0)),"n/a")</f>
        <v>Exclude</v>
      </c>
      <c r="H95" s="6"/>
    </row>
    <row r="96" customFormat="false" ht="23.25" hidden="false" customHeight="true" outlineLevel="0" collapsed="false">
      <c r="A96" s="6" t="s">
        <v>454</v>
      </c>
      <c r="B96" s="6" t="s">
        <v>455</v>
      </c>
      <c r="C96" s="6" t="s">
        <v>456</v>
      </c>
      <c r="D96" s="6" t="s">
        <v>457</v>
      </c>
      <c r="E96" s="15" t="str">
        <f aca="false">IFERROR(INDEX(Features_Motor!$F:$F,MATCH($A96,Features_Motor!$A:$A,0)),"n/a")</f>
        <v>Include</v>
      </c>
      <c r="F96" s="15" t="str">
        <f aca="false">IFERROR(INDEX(Features_Buildings!$F:$F,MATCH($A96,Features_Buildings!$A:$A,0)),"n/a")</f>
        <v>Test</v>
      </c>
      <c r="G96" s="15" t="str">
        <f aca="false">IFERROR(INDEX(Features_Contents!$F:$F,MATCH($A96,Features_Contents!$A:$A,0)),"n/a")</f>
        <v>Exclude</v>
      </c>
      <c r="H96" s="6" t="s">
        <v>459</v>
      </c>
    </row>
    <row r="97" customFormat="false" ht="15" hidden="false" customHeight="true" outlineLevel="0" collapsed="false">
      <c r="A97" s="6" t="s">
        <v>460</v>
      </c>
      <c r="B97" s="6" t="s">
        <v>455</v>
      </c>
      <c r="C97" s="6" t="s">
        <v>461</v>
      </c>
      <c r="D97" s="6" t="s">
        <v>462</v>
      </c>
      <c r="E97" s="15" t="str">
        <f aca="false">IFERROR(INDEX(Features_Motor!$F:$F,MATCH($A97,Features_Motor!$A:$A,0)),"n/a")</f>
        <v>Test</v>
      </c>
      <c r="F97" s="15" t="str">
        <f aca="false">IFERROR(INDEX(Features_Buildings!$F:$F,MATCH($A97,Features_Buildings!$A:$A,0)),"n/a")</f>
        <v>Include</v>
      </c>
      <c r="G97" s="15" t="str">
        <f aca="false">IFERROR(INDEX(Features_Contents!$F:$F,MATCH($A97,Features_Contents!$A:$A,0)),"n/a")</f>
        <v>Exclude</v>
      </c>
      <c r="H97" s="6" t="s">
        <v>464</v>
      </c>
    </row>
    <row r="98" customFormat="false" ht="15" hidden="false" customHeight="true" outlineLevel="0" collapsed="false">
      <c r="A98" s="6" t="s">
        <v>465</v>
      </c>
      <c r="B98" s="6" t="s">
        <v>455</v>
      </c>
      <c r="C98" s="6" t="s">
        <v>466</v>
      </c>
      <c r="D98" s="6" t="s">
        <v>467</v>
      </c>
      <c r="E98" s="15" t="str">
        <f aca="false">IFERROR(INDEX(Features_Motor!$F:$F,MATCH($A98,Features_Motor!$A:$A,0)),"n/a")</f>
        <v>Test</v>
      </c>
      <c r="F98" s="15" t="str">
        <f aca="false">IFERROR(INDEX(Features_Buildings!$F:$F,MATCH($A98,Features_Buildings!$A:$A,0)),"n/a")</f>
        <v>Include</v>
      </c>
      <c r="G98" s="15" t="str">
        <f aca="false">IFERROR(INDEX(Features_Contents!$F:$F,MATCH($A98,Features_Contents!$A:$A,0)),"n/a")</f>
        <v>Include</v>
      </c>
      <c r="H98" s="6" t="s">
        <v>464</v>
      </c>
    </row>
    <row r="99" customFormat="false" ht="15" hidden="false" customHeight="true" outlineLevel="0" collapsed="false">
      <c r="A99" s="6" t="s">
        <v>469</v>
      </c>
      <c r="B99" s="6" t="s">
        <v>455</v>
      </c>
      <c r="C99" s="6" t="s">
        <v>470</v>
      </c>
      <c r="D99" s="6" t="s">
        <v>471</v>
      </c>
      <c r="E99" s="15" t="str">
        <f aca="false">IFERROR(INDEX(Features_Motor!$F:$F,MATCH($A99,Features_Motor!$A:$A,0)),"n/a")</f>
        <v>Exclude</v>
      </c>
      <c r="F99" s="15" t="str">
        <f aca="false">IFERROR(INDEX(Features_Buildings!$F:$F,MATCH($A99,Features_Buildings!$A:$A,0)),"n/a")</f>
        <v>Include</v>
      </c>
      <c r="G99" s="15" t="str">
        <f aca="false">IFERROR(INDEX(Features_Contents!$F:$F,MATCH($A99,Features_Contents!$A:$A,0)),"n/a")</f>
        <v>Exclude</v>
      </c>
      <c r="H99" s="6" t="s">
        <v>464</v>
      </c>
    </row>
    <row r="100" customFormat="false" ht="15" hidden="false" customHeight="true" outlineLevel="0" collapsed="false">
      <c r="A100" s="6" t="s">
        <v>473</v>
      </c>
      <c r="B100" s="6" t="s">
        <v>455</v>
      </c>
      <c r="C100" s="6" t="s">
        <v>474</v>
      </c>
      <c r="D100" s="6" t="s">
        <v>475</v>
      </c>
      <c r="E100" s="15" t="str">
        <f aca="false">IFERROR(INDEX(Features_Motor!$F:$F,MATCH($A100,Features_Motor!$A:$A,0)),"n/a")</f>
        <v>Exclude</v>
      </c>
      <c r="F100" s="15" t="str">
        <f aca="false">IFERROR(INDEX(Features_Buildings!$F:$F,MATCH($A100,Features_Buildings!$A:$A,0)),"n/a")</f>
        <v>Include</v>
      </c>
      <c r="G100" s="15" t="str">
        <f aca="false">IFERROR(INDEX(Features_Contents!$F:$F,MATCH($A100,Features_Contents!$A:$A,0)),"n/a")</f>
        <v>Exclude</v>
      </c>
      <c r="H100" s="6" t="s">
        <v>464</v>
      </c>
    </row>
    <row r="101" customFormat="false" ht="15" hidden="false" customHeight="true" outlineLevel="0" collapsed="false">
      <c r="A101" s="6" t="s">
        <v>477</v>
      </c>
      <c r="B101" s="6" t="s">
        <v>455</v>
      </c>
      <c r="C101" s="6" t="s">
        <v>478</v>
      </c>
      <c r="D101" s="6" t="s">
        <v>479</v>
      </c>
      <c r="E101" s="15" t="str">
        <f aca="false">IFERROR(INDEX(Features_Motor!$F:$F,MATCH($A101,Features_Motor!$A:$A,0)),"n/a")</f>
        <v>Test</v>
      </c>
      <c r="F101" s="15" t="str">
        <f aca="false">IFERROR(INDEX(Features_Buildings!$F:$F,MATCH($A101,Features_Buildings!$A:$A,0)),"n/a")</f>
        <v>Include</v>
      </c>
      <c r="G101" s="15" t="str">
        <f aca="false">IFERROR(INDEX(Features_Contents!$F:$F,MATCH($A101,Features_Contents!$A:$A,0)),"n/a")</f>
        <v>Include</v>
      </c>
      <c r="H101" s="6" t="s">
        <v>464</v>
      </c>
    </row>
    <row r="102" customFormat="false" ht="15" hidden="false" customHeight="true" outlineLevel="0" collapsed="false">
      <c r="A102" s="6" t="s">
        <v>481</v>
      </c>
      <c r="B102" s="6" t="s">
        <v>455</v>
      </c>
      <c r="C102" s="6" t="s">
        <v>482</v>
      </c>
      <c r="D102" s="6" t="s">
        <v>483</v>
      </c>
      <c r="E102" s="15" t="str">
        <f aca="false">IFERROR(INDEX(Features_Motor!$F:$F,MATCH($A102,Features_Motor!$A:$A,0)),"n/a")</f>
        <v>Exclude</v>
      </c>
      <c r="F102" s="15" t="str">
        <f aca="false">IFERROR(INDEX(Features_Buildings!$F:$F,MATCH($A102,Features_Buildings!$A:$A,0)),"n/a")</f>
        <v>Test</v>
      </c>
      <c r="G102" s="15" t="str">
        <f aca="false">IFERROR(INDEX(Features_Contents!$F:$F,MATCH($A102,Features_Contents!$A:$A,0)),"n/a")</f>
        <v>Test</v>
      </c>
      <c r="H102" s="6" t="s">
        <v>464</v>
      </c>
    </row>
    <row r="103" customFormat="false" ht="15" hidden="false" customHeight="true" outlineLevel="0" collapsed="false">
      <c r="A103" s="6" t="s">
        <v>484</v>
      </c>
      <c r="B103" s="6" t="s">
        <v>485</v>
      </c>
      <c r="C103" s="6" t="s">
        <v>486</v>
      </c>
      <c r="D103" s="6" t="s">
        <v>487</v>
      </c>
      <c r="E103" s="15" t="str">
        <f aca="false">IFERROR(INDEX(Features_Motor!$F:$F,MATCH($A103,Features_Motor!$A:$A,0)),"n/a")</f>
        <v>Exclude</v>
      </c>
      <c r="F103" s="15" t="str">
        <f aca="false">IFERROR(INDEX(Features_Buildings!$F:$F,MATCH($A103,Features_Buildings!$A:$A,0)),"n/a")</f>
        <v>Exclude</v>
      </c>
      <c r="G103" s="15" t="str">
        <f aca="false">IFERROR(INDEX(Features_Contents!$F:$F,MATCH($A103,Features_Contents!$A:$A,0)),"n/a")</f>
        <v>Exclude</v>
      </c>
      <c r="H103" s="6"/>
    </row>
    <row r="104" customFormat="false" ht="15" hidden="false" customHeight="true" outlineLevel="0" collapsed="false">
      <c r="A104" s="6" t="s">
        <v>489</v>
      </c>
      <c r="B104" s="6" t="s">
        <v>485</v>
      </c>
      <c r="C104" s="6" t="s">
        <v>490</v>
      </c>
      <c r="D104" s="6" t="s">
        <v>491</v>
      </c>
      <c r="E104" s="15" t="str">
        <f aca="false">IFERROR(INDEX(Features_Motor!$F:$F,MATCH($A104,Features_Motor!$A:$A,0)),"n/a")</f>
        <v>Test</v>
      </c>
      <c r="F104" s="15" t="str">
        <f aca="false">IFERROR(INDEX(Features_Buildings!$F:$F,MATCH($A104,Features_Buildings!$A:$A,0)),"n/a")</f>
        <v>Test</v>
      </c>
      <c r="G104" s="15" t="str">
        <f aca="false">IFERROR(INDEX(Features_Contents!$F:$F,MATCH($A104,Features_Contents!$A:$A,0)),"n/a")</f>
        <v>Test</v>
      </c>
      <c r="H104" s="6"/>
    </row>
    <row r="105" customFormat="false" ht="15" hidden="false" customHeight="true" outlineLevel="0" collapsed="false">
      <c r="A105" s="6" t="s">
        <v>492</v>
      </c>
      <c r="B105" s="6" t="s">
        <v>485</v>
      </c>
      <c r="C105" s="6" t="s">
        <v>493</v>
      </c>
      <c r="D105" s="6" t="s">
        <v>494</v>
      </c>
      <c r="E105" s="15" t="str">
        <f aca="false">IFERROR(INDEX(Features_Motor!$F:$F,MATCH($A105,Features_Motor!$A:$A,0)),"n/a")</f>
        <v>Exclude</v>
      </c>
      <c r="F105" s="15" t="str">
        <f aca="false">IFERROR(INDEX(Features_Buildings!$F:$F,MATCH($A105,Features_Buildings!$A:$A,0)),"n/a")</f>
        <v>Exclude</v>
      </c>
      <c r="G105" s="15" t="str">
        <f aca="false">IFERROR(INDEX(Features_Contents!$F:$F,MATCH($A105,Features_Contents!$A:$A,0)),"n/a")</f>
        <v>Exclude</v>
      </c>
      <c r="H105" s="6"/>
    </row>
    <row r="106" customFormat="false" ht="34.5" hidden="false" customHeight="true" outlineLevel="0" collapsed="false">
      <c r="A106" s="6" t="s">
        <v>495</v>
      </c>
      <c r="B106" s="6" t="s">
        <v>496</v>
      </c>
      <c r="C106" s="6" t="s">
        <v>497</v>
      </c>
      <c r="D106" s="6" t="s">
        <v>498</v>
      </c>
      <c r="E106" s="15" t="str">
        <f aca="false">IFERROR(INDEX(Features_Motor!$F:$F,MATCH($A106,Features_Motor!$A:$A,0)),"n/a")</f>
        <v>Include</v>
      </c>
      <c r="F106" s="15" t="str">
        <f aca="false">IFERROR(INDEX(Features_Buildings!$F:$F,MATCH($A106,Features_Buildings!$A:$A,0)),"n/a")</f>
        <v>Include</v>
      </c>
      <c r="G106" s="15" t="str">
        <f aca="false">IFERROR(INDEX(Features_Contents!$F:$F,MATCH($A106,Features_Contents!$A:$A,0)),"n/a")</f>
        <v>Include</v>
      </c>
      <c r="H106" s="6" t="s">
        <v>500</v>
      </c>
    </row>
    <row r="107" customFormat="false" ht="23.25" hidden="false" customHeight="true" outlineLevel="0" collapsed="false">
      <c r="A107" s="6" t="s">
        <v>501</v>
      </c>
      <c r="B107" s="6" t="s">
        <v>496</v>
      </c>
      <c r="C107" s="6" t="s">
        <v>502</v>
      </c>
      <c r="D107" s="6" t="s">
        <v>503</v>
      </c>
      <c r="E107" s="15" t="str">
        <f aca="false">IFERROR(INDEX(Features_Motor!$F:$F,MATCH($A107,Features_Motor!$A:$A,0)),"n/a")</f>
        <v>Test</v>
      </c>
      <c r="F107" s="15" t="str">
        <f aca="false">IFERROR(INDEX(Features_Buildings!$F:$F,MATCH($A107,Features_Buildings!$A:$A,0)),"n/a")</f>
        <v>Test</v>
      </c>
      <c r="G107" s="15" t="str">
        <f aca="false">IFERROR(INDEX(Features_Contents!$F:$F,MATCH($A107,Features_Contents!$A:$A,0)),"n/a")</f>
        <v>Test</v>
      </c>
      <c r="H107" s="6" t="s">
        <v>505</v>
      </c>
    </row>
  </sheetData>
  <autoFilter ref="A1:H10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2026-10-21T10:23:13Z</dcterms:created>
  <dc:creator>openpyxl</dc:creator>
  <dc:description/>
  <dc:language>en-US</dc:language>
  <cp:lastModifiedBy/>
  <dcterms:modified xsi:type="dcterms:W3CDTF">2026-10-21T23:37:17Z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